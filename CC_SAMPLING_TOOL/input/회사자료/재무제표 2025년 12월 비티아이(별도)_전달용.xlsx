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yungsun\Downloads\"/>
    </mc:Choice>
  </mc:AlternateContent>
  <xr:revisionPtr revIDLastSave="0" documentId="8_{37C0EC1A-6E39-4E41-86AC-9A73BF78872D}" xr6:coauthVersionLast="47" xr6:coauthVersionMax="47" xr10:uidLastSave="{00000000-0000-0000-0000-000000000000}"/>
  <bookViews>
    <workbookView xWindow="-120" yWindow="-120" windowWidth="29040" windowHeight="15720" xr2:uid="{E9D42F8B-35CF-4C2B-BBB0-DF8BD8EBCB1D}"/>
  </bookViews>
  <sheets>
    <sheet name="FS_M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_IntlFixup">TRUE</definedName>
    <definedName name="_1">[1]감가상각!$A$1:$R$30</definedName>
    <definedName name="_10._유형자산">[2]FN!#REF!</definedName>
    <definedName name="_2">[1]감가상각!$A$31:$R$58</definedName>
    <definedName name="_3">[1]감가상각!$A$59:$R$88</definedName>
    <definedName name="_33._영업부문">[2]FN!#REF!</definedName>
    <definedName name="_4">[1]감가상각!$A$89:$R$106</definedName>
    <definedName name="_5._매출채권">[2]FN!#REF!</definedName>
    <definedName name="_6._기타금융자산">[2]FN!#REF!</definedName>
    <definedName name="_8._종속기업_관계기업투자자산">[2]FN!#REF!</definedName>
    <definedName name="_ACC1">'[3]C.A'!$A$3:$B$154</definedName>
    <definedName name="_xlnm._FilterDatabase" localSheetId="0" hidden="1">FS_M!$A$3:$AS$365</definedName>
    <definedName name="_Order1">255</definedName>
    <definedName name="_Order2">255</definedName>
    <definedName name="_Regression_Int">1</definedName>
    <definedName name="AA">[0]!prt6bn46bt82</definedName>
    <definedName name="AB">[0]!PRT6BN5BT41</definedName>
    <definedName name="AC">[0]!prt6bv7cc30</definedName>
    <definedName name="ACC">[4]CA!$A$6:$B$568</definedName>
    <definedName name="AccessDatabase">"C:\My Documents\입고현황_류\장비입고현황2.mdb"</definedName>
    <definedName name="anscount">4</definedName>
    <definedName name="AS2DocOpenMode">"AS2DocumentEdit"</definedName>
    <definedName name="AS2ReportLS">1</definedName>
    <definedName name="AS2SyncStepLS">0</definedName>
    <definedName name="AS2VersionLS">300</definedName>
    <definedName name="BG_Del">15</definedName>
    <definedName name="BG_Ins">4</definedName>
    <definedName name="BG_Mod">6</definedName>
    <definedName name="ddd">[5]원_VL!$E$2:$G$186</definedName>
    <definedName name="end">[6]Intro!$B$6</definedName>
    <definedName name="HTML_CodePage">949</definedName>
    <definedName name="HTML_Control">{"'손익현황'!$A$1:$J$29"}</definedName>
    <definedName name="HTML_Description">""</definedName>
    <definedName name="HTML_Email">""</definedName>
    <definedName name="HTML_Header">"손익현황"</definedName>
    <definedName name="HTML_LastUpdate">"99-04-13"</definedName>
    <definedName name="HTML_LineAfter">FALSE</definedName>
    <definedName name="HTML_LineBefore">FALSE</definedName>
    <definedName name="HTML_Name">"윤찬영"</definedName>
    <definedName name="HTML_OBDlg2">TRUE</definedName>
    <definedName name="HTML_OBDlg4">TRUE</definedName>
    <definedName name="HTML_OS">0</definedName>
    <definedName name="HTML_PathFile">"C:\d7100\MyHTML.htm"</definedName>
    <definedName name="HTML_Title">"결산요약보고3월"</definedName>
    <definedName name="HTML1_1">"[수주관리98.xls]회선현황!$A$5:$O$53"</definedName>
    <definedName name="HTML1_10">""</definedName>
    <definedName name="HTML1_11">1</definedName>
    <definedName name="HTML1_12">"C:\My Documents\98년\1월\영업현황\시험.htm"</definedName>
    <definedName name="HTML1_2">1</definedName>
    <definedName name="HTML1_3">"수주관리98"</definedName>
    <definedName name="HTML1_4">"회선현황"</definedName>
    <definedName name="HTML1_5">""</definedName>
    <definedName name="HTML1_6">-4146</definedName>
    <definedName name="HTML1_7">-4146</definedName>
    <definedName name="HTML1_8">"98-01-21"</definedName>
    <definedName name="HTML1_9">"김은광"</definedName>
    <definedName name="HTML10_1">"'[수주관리98.xls]2월1주차'!$A$1:$P$31"</definedName>
    <definedName name="HTML10_10">""</definedName>
    <definedName name="HTML10_11">1</definedName>
    <definedName name="HTML10_12">"C:\My Documents\98년\영업현황\일일현황-98.2.6.htm"</definedName>
    <definedName name="HTML10_2">1</definedName>
    <definedName name="HTML10_3">""</definedName>
    <definedName name="HTML10_4">""</definedName>
    <definedName name="HTML10_5">""</definedName>
    <definedName name="HTML10_6">-4146</definedName>
    <definedName name="HTML10_7">-4146</definedName>
    <definedName name="HTML10_8">""</definedName>
    <definedName name="HTML10_9">""</definedName>
    <definedName name="HTML11_1">"'[수주관리98.xls]2월2주차'!$A$1:$P$21"</definedName>
    <definedName name="HTML11_10">""</definedName>
    <definedName name="HTML11_11">1</definedName>
    <definedName name="HTML11_12">"C:\My Documents\98년\영업현황\일일현황-98.2.12.htm"</definedName>
    <definedName name="HTML11_2">1</definedName>
    <definedName name="HTML11_3">""</definedName>
    <definedName name="HTML11_4">""</definedName>
    <definedName name="HTML11_5">""</definedName>
    <definedName name="HTML11_6">-4146</definedName>
    <definedName name="HTML11_7">-4146</definedName>
    <definedName name="HTML11_8">""</definedName>
    <definedName name="HTML11_9">""</definedName>
    <definedName name="HTML12_1">"'[수주관리98.xls]2월2주차'!$A$1:$P$34"</definedName>
    <definedName name="HTML12_10">""</definedName>
    <definedName name="HTML12_11">1</definedName>
    <definedName name="HTML12_12">"C:\My Documents\98년\영업현황\일일현황-98.2.13.htm"</definedName>
    <definedName name="HTML12_2">1</definedName>
    <definedName name="HTML12_3">""</definedName>
    <definedName name="HTML12_4">""</definedName>
    <definedName name="HTML12_5">""</definedName>
    <definedName name="HTML12_6">-4146</definedName>
    <definedName name="HTML12_7">-4146</definedName>
    <definedName name="HTML12_8">""</definedName>
    <definedName name="HTML12_9">""</definedName>
    <definedName name="HTML13_1">"'[수주관리98.xls]2월2주차'!$A$1:$P$19"</definedName>
    <definedName name="HTML13_10">""</definedName>
    <definedName name="HTML13_11">1</definedName>
    <definedName name="HTML13_12">"C:\My Documents\98년\영업현황\일일현황-98.2.12.htm"</definedName>
    <definedName name="HTML13_2">1</definedName>
    <definedName name="HTML13_3">""</definedName>
    <definedName name="HTML13_4">""</definedName>
    <definedName name="HTML13_5">""</definedName>
    <definedName name="HTML13_6">-4146</definedName>
    <definedName name="HTML13_7">-4146</definedName>
    <definedName name="HTML13_8">""</definedName>
    <definedName name="HTML13_9">""</definedName>
    <definedName name="HTML14_1">"'[수주관리98.xls]2월2주차'!$A$1:$P$17"</definedName>
    <definedName name="HTML14_10">""</definedName>
    <definedName name="HTML14_11">1</definedName>
    <definedName name="HTML14_12">"C:\My Documents\98년\영업현황\일일현황-98.2.9.htm"</definedName>
    <definedName name="HTML14_2">1</definedName>
    <definedName name="HTML14_3">""</definedName>
    <definedName name="HTML14_4">""</definedName>
    <definedName name="HTML14_5">""</definedName>
    <definedName name="HTML14_6">-4146</definedName>
    <definedName name="HTML14_7">-4146</definedName>
    <definedName name="HTML14_8">""</definedName>
    <definedName name="HTML14_9">""</definedName>
    <definedName name="HTML15_1">"'[수주관리98.xls]2월3주차'!$A$1:$P$20"</definedName>
    <definedName name="HTML15_10">""</definedName>
    <definedName name="HTML15_11">1</definedName>
    <definedName name="HTML15_12">"C:\My Documents\98년\영업현황\일일현황-98.2.16.htm"</definedName>
    <definedName name="HTML15_2">1</definedName>
    <definedName name="HTML15_3">""</definedName>
    <definedName name="HTML15_4">""</definedName>
    <definedName name="HTML15_5">""</definedName>
    <definedName name="HTML15_6">-4146</definedName>
    <definedName name="HTML15_7">-4146</definedName>
    <definedName name="HTML15_8">""</definedName>
    <definedName name="HTML15_9">""</definedName>
    <definedName name="HTML16_1">"'[수주통합관리98_2_21.xls]2월3주차'!$A$1:$I$89"</definedName>
    <definedName name="HTML16_10">""</definedName>
    <definedName name="HTML16_11">1</definedName>
    <definedName name="HTML16_12">"C:\My Documents\98년\영업현황\일일현황-98.2.25.htm"</definedName>
    <definedName name="HTML16_2">1</definedName>
    <definedName name="HTML16_3">""</definedName>
    <definedName name="HTML16_4">""</definedName>
    <definedName name="HTML16_5">""</definedName>
    <definedName name="HTML16_6">-4146</definedName>
    <definedName name="HTML16_7">-4146</definedName>
    <definedName name="HTML16_8">""</definedName>
    <definedName name="HTML16_9">""</definedName>
    <definedName name="HTML17_1">"'[수주통합관리98_2_21.xls]2월3주차'!$A$4:$H$30"</definedName>
    <definedName name="HTML17_10">""</definedName>
    <definedName name="HTML17_11">1</definedName>
    <definedName name="HTML17_12">"C:\My Documents\98년\영업현황\1월 수주현황.htm"</definedName>
    <definedName name="HTML17_2">1</definedName>
    <definedName name="HTML17_3">""</definedName>
    <definedName name="HTML17_4">""</definedName>
    <definedName name="HTML17_5">""</definedName>
    <definedName name="HTML17_6">-4146</definedName>
    <definedName name="HTML17_7">-4146</definedName>
    <definedName name="HTML17_8">""</definedName>
    <definedName name="HTML17_9">""</definedName>
    <definedName name="HTML18_1">"'[수주통합관리98_2_21.xls]2월3주차'!$A$32:$I$58"</definedName>
    <definedName name="HTML18_10">""</definedName>
    <definedName name="HTML18_11">1</definedName>
    <definedName name="HTML18_12">"C:\My Documents\98년\영업현황\2월 수주현황(2월25일 현재).htm"</definedName>
    <definedName name="HTML18_2">1</definedName>
    <definedName name="HTML18_3">""</definedName>
    <definedName name="HTML18_4">""</definedName>
    <definedName name="HTML18_5">""</definedName>
    <definedName name="HTML18_6">-4146</definedName>
    <definedName name="HTML18_7">-4146</definedName>
    <definedName name="HTML18_8">""</definedName>
    <definedName name="HTML18_9">""</definedName>
    <definedName name="HTML19_1">"'[수주통합관리98_2_21.xls]2월3주차'!$A$63:$F$89"</definedName>
    <definedName name="HTML19_10">""</definedName>
    <definedName name="HTML19_11">1</definedName>
    <definedName name="HTML19_12">"C:\My Documents\98년\영업현황\월별현황(2월25일 현재).htm"</definedName>
    <definedName name="HTML19_2">1</definedName>
    <definedName name="HTML19_3">""</definedName>
    <definedName name="HTML19_4">""</definedName>
    <definedName name="HTML19_5">""</definedName>
    <definedName name="HTML19_6">-4146</definedName>
    <definedName name="HTML19_7">-4146</definedName>
    <definedName name="HTML19_8">""</definedName>
    <definedName name="HTML19_9">""</definedName>
    <definedName name="HTML2_1">"[수주관리98.xls]일일현황!$A$1:$L$10"</definedName>
    <definedName name="HTML2_10">""</definedName>
    <definedName name="HTML2_11">1</definedName>
    <definedName name="HTML2_12">"C:\My Documents\98년\1월\영업현황\일일현황-98.1.22.htm"</definedName>
    <definedName name="HTML2_2">1</definedName>
    <definedName name="HTML2_3">""</definedName>
    <definedName name="HTML2_4">""</definedName>
    <definedName name="HTML2_5">""</definedName>
    <definedName name="HTML2_6">-4146</definedName>
    <definedName name="HTML2_7">1</definedName>
    <definedName name="HTML2_8">"98-01-22"</definedName>
    <definedName name="HTML2_9">""</definedName>
    <definedName name="HTML20_1">"'[수주통합관리98_2_25.xls]2월4주차'!$A$71:$F$97"</definedName>
    <definedName name="HTML20_10">""</definedName>
    <definedName name="HTML20_11">1</definedName>
    <definedName name="HTML20_12">"C:\My Documents\98년\영업현황\월별현황(2월 마감분).htm"</definedName>
    <definedName name="HTML20_2">1</definedName>
    <definedName name="HTML20_3">""</definedName>
    <definedName name="HTML20_4">""</definedName>
    <definedName name="HTML20_5">""</definedName>
    <definedName name="HTML20_6">-4146</definedName>
    <definedName name="HTML20_7">-4146</definedName>
    <definedName name="HTML20_8">""</definedName>
    <definedName name="HTML20_9">""</definedName>
    <definedName name="HTML21_1">"'[수주통합관리98_2_25.xls]2월4주차'!$A$4:$H$29"</definedName>
    <definedName name="HTML21_10">""</definedName>
    <definedName name="HTML21_11">1</definedName>
    <definedName name="HTML21_12">"C:\My Documents\98년\영업현황\1월 수주현황(1월 마감분).htm"</definedName>
    <definedName name="HTML21_2">1</definedName>
    <definedName name="HTML21_3">""</definedName>
    <definedName name="HTML21_4">""</definedName>
    <definedName name="HTML21_5">""</definedName>
    <definedName name="HTML21_6">-4146</definedName>
    <definedName name="HTML21_7">-4146</definedName>
    <definedName name="HTML21_8">""</definedName>
    <definedName name="HTML21_9">""</definedName>
    <definedName name="HTML22_1">"'[수주통합관리98_2_25.xls]2월4주차'!$A$31:$I$66"</definedName>
    <definedName name="HTML22_10">""</definedName>
    <definedName name="HTML22_11">1</definedName>
    <definedName name="HTML22_12">"C:\My Documents\98년\영업현황\1월 수주현황(2월 마감분).htm"</definedName>
    <definedName name="HTML22_2">1</definedName>
    <definedName name="HTML22_3">""</definedName>
    <definedName name="HTML22_4">""</definedName>
    <definedName name="HTML22_5">""</definedName>
    <definedName name="HTML22_6">-4146</definedName>
    <definedName name="HTML22_7">-4146</definedName>
    <definedName name="HTML22_8">""</definedName>
    <definedName name="HTML22_9">""</definedName>
    <definedName name="HTML23_1">"[수주통합관리98_2_25.xls]보고양식!$A$32:$I$68"</definedName>
    <definedName name="HTML23_10">""</definedName>
    <definedName name="HTML23_11">1</definedName>
    <definedName name="HTML23_12">"C:\My Documents\98년\영업현황\2월 수주현황(2월 마감분).htm"</definedName>
    <definedName name="HTML23_2">1</definedName>
    <definedName name="HTML23_3">""</definedName>
    <definedName name="HTML23_4">""</definedName>
    <definedName name="HTML23_5">""</definedName>
    <definedName name="HTML23_6">-4146</definedName>
    <definedName name="HTML23_7">-4146</definedName>
    <definedName name="HTML23_8">""</definedName>
    <definedName name="HTML23_9">""</definedName>
    <definedName name="HTML24_1">"[수주통합관리98_2_25.xls]보고양식!$A$73:$F$98"</definedName>
    <definedName name="HTML24_10">""</definedName>
    <definedName name="HTML24_11">1</definedName>
    <definedName name="HTML24_12">"C:\My Documents\98년\영업현황\월별현황(2월 마감분).htm"</definedName>
    <definedName name="HTML24_2">1</definedName>
    <definedName name="HTML24_3">""</definedName>
    <definedName name="HTML24_4">""</definedName>
    <definedName name="HTML24_5">""</definedName>
    <definedName name="HTML24_6">-4146</definedName>
    <definedName name="HTML24_7">-4146</definedName>
    <definedName name="HTML24_8">""</definedName>
    <definedName name="HTML24_9">""</definedName>
    <definedName name="HTML25_1">"[수주통합관리98_2_25.xls]보고양식!$A$4:$I$29"</definedName>
    <definedName name="HTML25_10">""</definedName>
    <definedName name="HTML25_11">1</definedName>
    <definedName name="HTML25_12">"C:\My Documents\98년\영업현황\1월 수주현황(1월 마감분).htm"</definedName>
    <definedName name="HTML25_2">1</definedName>
    <definedName name="HTML25_3">""</definedName>
    <definedName name="HTML25_4">""</definedName>
    <definedName name="HTML25_5">""</definedName>
    <definedName name="HTML25_6">-4146</definedName>
    <definedName name="HTML25_7">-4146</definedName>
    <definedName name="HTML25_8">""</definedName>
    <definedName name="HTML25_9">""</definedName>
    <definedName name="HTML26_1">"[수주통합관리98_2_25.xls]보고양식!$A$31:$K$80"</definedName>
    <definedName name="HTML26_10">""</definedName>
    <definedName name="HTML26_11">1</definedName>
    <definedName name="HTML26_12">"C:\My Documents\98년\영업현황\2월 수주현황(2월 마감분).htm"</definedName>
    <definedName name="HTML26_2">1</definedName>
    <definedName name="HTML26_3">""</definedName>
    <definedName name="HTML26_4">""</definedName>
    <definedName name="HTML26_5">""</definedName>
    <definedName name="HTML26_6">-4146</definedName>
    <definedName name="HTML26_7">-4146</definedName>
    <definedName name="HTML26_8">""</definedName>
    <definedName name="HTML26_9">""</definedName>
    <definedName name="HTML27_1">"[수주통합관리98_2_25.xls]보고양식!$B$84:$G$109"</definedName>
    <definedName name="HTML27_10">""</definedName>
    <definedName name="HTML27_11">1</definedName>
    <definedName name="HTML27_12">"C:\My Documents\98년\영업현황\월별현황(2월 마감분).htm"</definedName>
    <definedName name="HTML27_2">1</definedName>
    <definedName name="HTML27_3">""</definedName>
    <definedName name="HTML27_4">""</definedName>
    <definedName name="HTML27_5">""</definedName>
    <definedName name="HTML27_6">-4146</definedName>
    <definedName name="HTML27_7">-4146</definedName>
    <definedName name="HTML27_8">""</definedName>
    <definedName name="HTML27_9">""</definedName>
    <definedName name="HTML28_1">"[수주통합관리98_3_2.xls]보고양식!$B$92:$G$117"</definedName>
    <definedName name="HTML28_10">""</definedName>
    <definedName name="HTML28_11">1</definedName>
    <definedName name="HTML28_12">"C:\My Documents\98년\영업현황\월별현황(2월 마감분).htm"</definedName>
    <definedName name="HTML28_2">1</definedName>
    <definedName name="HTML28_3">""</definedName>
    <definedName name="HTML28_4">""</definedName>
    <definedName name="HTML28_5">""</definedName>
    <definedName name="HTML28_6">-4146</definedName>
    <definedName name="HTML28_7">-4146</definedName>
    <definedName name="HTML28_8">""</definedName>
    <definedName name="HTML28_9">""</definedName>
    <definedName name="HTML29_1">"[수주통합관리98_3_2.xls]보고양식!$A$31:$K$88"</definedName>
    <definedName name="HTML29_10">""</definedName>
    <definedName name="HTML29_11">1</definedName>
    <definedName name="HTML29_12">"C:\My Documents\98년\영업현황\2월 수주현황(2월 마감분).htm"</definedName>
    <definedName name="HTML29_2">1</definedName>
    <definedName name="HTML29_3">""</definedName>
    <definedName name="HTML29_4">""</definedName>
    <definedName name="HTML29_5">""</definedName>
    <definedName name="HTML29_6">-4146</definedName>
    <definedName name="HTML29_7">-4146</definedName>
    <definedName name="HTML29_8">""</definedName>
    <definedName name="HTML29_9">""</definedName>
    <definedName name="HTML3_1">"[수주관리98.xls]일일현황!$A$1:$N$9"</definedName>
    <definedName name="HTML3_10">""</definedName>
    <definedName name="HTML3_11">1</definedName>
    <definedName name="HTML3_12">"C:\My Documents\98년\영업현황\일일현황-98.1.23.htm"</definedName>
    <definedName name="HTML3_2">1</definedName>
    <definedName name="HTML3_3">""</definedName>
    <definedName name="HTML3_4">""</definedName>
    <definedName name="HTML3_5">""</definedName>
    <definedName name="HTML3_6">1</definedName>
    <definedName name="HTML3_7">1</definedName>
    <definedName name="HTML3_8">""</definedName>
    <definedName name="HTML3_9">""</definedName>
    <definedName name="HTML30_1">"'[사본 - 영업통합관리(수주.매출).xls]보고양식'!$A$114:$K$131"</definedName>
    <definedName name="HTML30_10">""</definedName>
    <definedName name="HTML30_11">1</definedName>
    <definedName name="HTML30_12">"C:\My Documents\98년\영업현황\일일현황-98.3.12.htm"</definedName>
    <definedName name="HTML30_2">1</definedName>
    <definedName name="HTML30_3">""</definedName>
    <definedName name="HTML30_4">""</definedName>
    <definedName name="HTML30_5">""</definedName>
    <definedName name="HTML30_6">-4146</definedName>
    <definedName name="HTML30_7">-4146</definedName>
    <definedName name="HTML30_8">""</definedName>
    <definedName name="HTML30_9">""</definedName>
    <definedName name="HTML4_1">"[수주관리98.xls]영업!$A$1:$N$15"</definedName>
    <definedName name="HTML4_10">""</definedName>
    <definedName name="HTML4_11">1</definedName>
    <definedName name="HTML4_12">"C:\My Documents\98년\영업현황\일일현황-98.1.31.htm"</definedName>
    <definedName name="HTML4_2">1</definedName>
    <definedName name="HTML4_3">""</definedName>
    <definedName name="HTML4_4">""</definedName>
    <definedName name="HTML4_5">""</definedName>
    <definedName name="HTML4_6">1</definedName>
    <definedName name="HTML4_7">1</definedName>
    <definedName name="HTML4_8">"98-01-31"</definedName>
    <definedName name="HTML4_9">""</definedName>
    <definedName name="HTML5_1">"[수주관리98.xls]영업!$A$1:$N$29"</definedName>
    <definedName name="HTML5_10">""</definedName>
    <definedName name="HTML5_11">1</definedName>
    <definedName name="HTML5_12">"C:\My Documents\98년\영업현황\일일현황-98.1.31.v.htm"</definedName>
    <definedName name="HTML5_2">1</definedName>
    <definedName name="HTML5_3">""</definedName>
    <definedName name="HTML5_4">""</definedName>
    <definedName name="HTML5_5">""</definedName>
    <definedName name="HTML5_6">1</definedName>
    <definedName name="HTML5_7">1</definedName>
    <definedName name="HTML5_8">""</definedName>
    <definedName name="HTML5_9">""</definedName>
    <definedName name="HTML6_1">"'[수주관리98.xls]2월'!$A$1:$P$48"</definedName>
    <definedName name="HTML6_10">""</definedName>
    <definedName name="HTML6_11">1</definedName>
    <definedName name="HTML6_12">"C:\My Documents\98년\영업현황\일일현황-98.1.31.htm"</definedName>
    <definedName name="HTML6_2">1</definedName>
    <definedName name="HTML6_3">""</definedName>
    <definedName name="HTML6_4">""</definedName>
    <definedName name="HTML6_5">""</definedName>
    <definedName name="HTML6_6">-4146</definedName>
    <definedName name="HTML6_7">-4146</definedName>
    <definedName name="HTML6_8">""</definedName>
    <definedName name="HTML6_9">""</definedName>
    <definedName name="HTML7_1">"'[수주관리98.xls]2월'!$A$3:$P$30"</definedName>
    <definedName name="HTML7_10">""</definedName>
    <definedName name="HTML7_11">1</definedName>
    <definedName name="HTML7_12">"C:\My Documents\98년\영업현황\일일현황-98.1.31.htm"</definedName>
    <definedName name="HTML7_2">1</definedName>
    <definedName name="HTML7_3">""</definedName>
    <definedName name="HTML7_4">""</definedName>
    <definedName name="HTML7_5">""</definedName>
    <definedName name="HTML7_6">-4146</definedName>
    <definedName name="HTML7_7">-4146</definedName>
    <definedName name="HTML7_8">""</definedName>
    <definedName name="HTML7_9">""</definedName>
    <definedName name="HTML8_1">"'[수주관리98.xls]2월'!$A$1:$P$30"</definedName>
    <definedName name="HTML8_10">""</definedName>
    <definedName name="HTML8_11">1</definedName>
    <definedName name="HTML8_12">"C:\My Documents\98년\영업현황\일일현황-98.1.31.htm"</definedName>
    <definedName name="HTML8_2">1</definedName>
    <definedName name="HTML8_3">""</definedName>
    <definedName name="HTML8_4">""</definedName>
    <definedName name="HTML8_5">""</definedName>
    <definedName name="HTML8_6">-4146</definedName>
    <definedName name="HTML8_7">-4146</definedName>
    <definedName name="HTML8_8">""</definedName>
    <definedName name="HTML8_9">""</definedName>
    <definedName name="HTML9_1">"'[수주관리98.xls]2월'!$A$1:$P$19"</definedName>
    <definedName name="HTML9_10">""</definedName>
    <definedName name="HTML9_11">1</definedName>
    <definedName name="HTML9_12">"C:\My Documents\98년\영업현황\일일현황-98.2.10.htm"</definedName>
    <definedName name="HTML9_2">1</definedName>
    <definedName name="HTML9_3">""</definedName>
    <definedName name="HTML9_4">""</definedName>
    <definedName name="HTML9_5">""</definedName>
    <definedName name="HTML9_6">-4146</definedName>
    <definedName name="HTML9_7">-4146</definedName>
    <definedName name="HTML9_8">""</definedName>
    <definedName name="HTML9_9">""</definedName>
    <definedName name="HTMLCount">30</definedName>
    <definedName name="jjj">[5]원_VL!$N$4:$AN$321</definedName>
    <definedName name="JW">36250</definedName>
    <definedName name="kk">[7]감가상각!$A$1:$R$30</definedName>
    <definedName name="limcount">3</definedName>
    <definedName name="medi">{"'PRODUCTIONCOST SHEET'!$B$3:$G$48"}</definedName>
    <definedName name="Pinjaman">[8]Pinjaman!$B$4:$AS$22</definedName>
    <definedName name="_xlnm.Print_Area" localSheetId="0">FS_M!$C$1:$T$365</definedName>
    <definedName name="_xlnm.Print_Titles" localSheetId="0">FS_M!$2:$3</definedName>
    <definedName name="PRT6AL5AR40">#N/A</definedName>
    <definedName name="PRT6AU5BA41">#N/A</definedName>
    <definedName name="PRT6B5H25">#N/A</definedName>
    <definedName name="PRT6BD5BK32">#N/A</definedName>
    <definedName name="prt6bn252bt288">#N/A</definedName>
    <definedName name="prt6cf5cl37">#N/A</definedName>
    <definedName name="prt6co5cs41">#N/A</definedName>
    <definedName name="prt6cv5dg33">#N/A</definedName>
    <definedName name="PRT6K31U52">#N/A</definedName>
    <definedName name="PRT6K4U25">#N/A</definedName>
    <definedName name="PRT6K57W79">#N/A</definedName>
    <definedName name="PRT6K85U107">#N/A</definedName>
    <definedName name="PRT6X4AI25">#N/A</definedName>
    <definedName name="RRRRR">#N/A</definedName>
    <definedName name="sencount">3</definedName>
    <definedName name="Simpanan">[8]Simpanan!$B$4:$AS$24</definedName>
    <definedName name="TextRefCopyRangeCount">3</definedName>
    <definedName name="XRefColumnsCount">1</definedName>
    <definedName name="XRefCopyRangeCount">1</definedName>
    <definedName name="XRefPasteRangeCount">2</definedName>
    <definedName name="Z_9A428CE1_B4D9_11D0_A8AA_0000C071AEE7_.wvu.Cols">[9]MASTER!$A$1:$Q$65536,[9]MASTER!$Y$1:$Z$65536</definedName>
    <definedName name="zzz">[5]원_VL!$J$3:$K$318</definedName>
    <definedName name="ㄱ">'[10]매출(영업 VS 경리)'!$G$4</definedName>
    <definedName name="건물">{"'손익현황'!$A$1:$J$29"}</definedName>
    <definedName name="건물임.">{"'손익현황'!$A$1:$J$29"}</definedName>
    <definedName name="공">{"'손익현황'!$A$1:$J$29"}</definedName>
    <definedName name="空">'[11]RK-#1'!$X$44</definedName>
    <definedName name="공구">{"'손익현황'!$A$1:$J$29"}</definedName>
    <definedName name="공구기구">{"'손익현황'!$A$1:$J$29"}</definedName>
    <definedName name="구">{"'손익현황'!$A$1:$J$29"}</definedName>
    <definedName name="구축물">{"'손익현황'!$A$1:$J$29"}</definedName>
    <definedName name="구축물임">{"'손익현황'!$A$1:$J$29"}</definedName>
    <definedName name="기계장치">{"'손익현황'!$A$1:$J$29"}</definedName>
    <definedName name="기수">27</definedName>
    <definedName name="ㄴㄴㄴ">{"'손익현황'!$A$1:$J$29"}</definedName>
    <definedName name="더페이스2">'[12]5월경비_영업외비용'!$F$19</definedName>
    <definedName name="ㄹㅇ">10</definedName>
    <definedName name="ㅁㄹㅇㄹ">3</definedName>
    <definedName name="매출채권비율">{"'손익현황'!$A$1:$J$29"}</definedName>
    <definedName name="매출채권할인및융통어음내역">'[13]3-4현'!$B$7:$F$17</definedName>
    <definedName name="미수수익">{"'보고양식'!$A$58:$K$111"}</definedName>
    <definedName name="반품">[14]반품!$A$3:$P$142</definedName>
    <definedName name="받을어음">[15]대차대조표!$E$15:$M$16</definedName>
    <definedName name="범위">'[16]99퇴직'!$A$1:$M$4004</definedName>
    <definedName name="ㅅㅅㅅ">{"'손익현황'!$A$1:$J$29"}</definedName>
    <definedName name="ㅇㄹㄹ">16</definedName>
    <definedName name="영업외비용">[0]!prt6bn252bt288</definedName>
    <definedName name="외상매출금">[15]대차대조표!$E$13:$M$14</definedName>
    <definedName name="이사명">"박봉식"</definedName>
    <definedName name="이자수익OVERALL">[0]!prt6bn252bt288</definedName>
    <definedName name="이자제외_제조임률">'[17]5월경비_영업외비용'!$F$18</definedName>
    <definedName name="이자제외_포장임률">'[17]5월경비_영업외비용'!$F$19</definedName>
    <definedName name="정상">[14]정상!$A$3:$C$163</definedName>
    <definedName name="제조임률">'[17]5월경비_영업외비용'!$F$18</definedName>
    <definedName name="종료">36891</definedName>
    <definedName name="지급보증받은사항">'[13]3-3현'!$B$7:$F$24</definedName>
    <definedName name="ㅊㅈㅇ">5</definedName>
    <definedName name="차량운반구">{"'손익현황'!$A$1:$J$29"}</definedName>
    <definedName name="ㅋㄴㄷ">4</definedName>
    <definedName name="ㅋㄵ">[18]XREF!$A$2</definedName>
    <definedName name="ㅋㅇㅍ">21</definedName>
    <definedName name="퇴직충당금">[19]퇴충98!$A$2:$G$274</definedName>
    <definedName name="퇴충98">'[20]98실적'!$B$3:$D$269</definedName>
    <definedName name="폐기">'[14]폐기-090831'!$A$4:$N$139</definedName>
    <definedName name="포장임률">'[17]5월경비_영업외비용'!$F$19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65" i="1" l="1"/>
  <c r="AA364" i="1"/>
  <c r="U364" i="1"/>
  <c r="G364" i="1"/>
  <c r="U363" i="1"/>
  <c r="U362" i="1"/>
  <c r="U361" i="1"/>
  <c r="U360" i="1"/>
  <c r="AN359" i="1"/>
  <c r="AM359" i="1"/>
  <c r="AL359" i="1"/>
  <c r="AK359" i="1"/>
  <c r="AJ359" i="1"/>
  <c r="AK358" i="1" s="1"/>
  <c r="AI359" i="1"/>
  <c r="AJ358" i="1" s="1"/>
  <c r="AH359" i="1"/>
  <c r="AI358" i="1" s="1"/>
  <c r="AG359" i="1"/>
  <c r="AH358" i="1" s="1"/>
  <c r="AF359" i="1"/>
  <c r="AE359" i="1"/>
  <c r="AD359" i="1"/>
  <c r="AC359" i="1"/>
  <c r="U359" i="1"/>
  <c r="T359" i="1"/>
  <c r="S359" i="1"/>
  <c r="T358" i="1" s="1"/>
  <c r="R359" i="1"/>
  <c r="Q359" i="1"/>
  <c r="R358" i="1" s="1"/>
  <c r="P359" i="1"/>
  <c r="O359" i="1"/>
  <c r="P358" i="1" s="1"/>
  <c r="N359" i="1"/>
  <c r="M359" i="1"/>
  <c r="L359" i="1"/>
  <c r="K359" i="1"/>
  <c r="L358" i="1" s="1"/>
  <c r="J359" i="1"/>
  <c r="I359" i="1"/>
  <c r="J358" i="1" s="1"/>
  <c r="AN358" i="1"/>
  <c r="AM358" i="1"/>
  <c r="AL358" i="1"/>
  <c r="AG358" i="1"/>
  <c r="AF358" i="1"/>
  <c r="AE358" i="1"/>
  <c r="AD358" i="1"/>
  <c r="AA358" i="1"/>
  <c r="U358" i="1"/>
  <c r="S358" i="1"/>
  <c r="Q358" i="1"/>
  <c r="O358" i="1"/>
  <c r="N358" i="1"/>
  <c r="M358" i="1"/>
  <c r="K358" i="1"/>
  <c r="I358" i="1"/>
  <c r="G358" i="1" s="1"/>
  <c r="U357" i="1"/>
  <c r="AA356" i="1"/>
  <c r="U356" i="1"/>
  <c r="G356" i="1"/>
  <c r="AA355" i="1"/>
  <c r="U355" i="1"/>
  <c r="J355" i="1"/>
  <c r="G355" i="1"/>
  <c r="AA354" i="1"/>
  <c r="U354" i="1"/>
  <c r="G354" i="1"/>
  <c r="AA353" i="1"/>
  <c r="U353" i="1"/>
  <c r="G353" i="1"/>
  <c r="AA352" i="1"/>
  <c r="U352" i="1"/>
  <c r="G352" i="1"/>
  <c r="AA351" i="1"/>
  <c r="U351" i="1"/>
  <c r="G351" i="1"/>
  <c r="AA350" i="1"/>
  <c r="U350" i="1"/>
  <c r="G350" i="1"/>
  <c r="AA349" i="1"/>
  <c r="U349" i="1"/>
  <c r="G349" i="1"/>
  <c r="AA348" i="1"/>
  <c r="U348" i="1"/>
  <c r="G348" i="1"/>
  <c r="AA347" i="1"/>
  <c r="U347" i="1"/>
  <c r="G347" i="1"/>
  <c r="AA346" i="1"/>
  <c r="U346" i="1"/>
  <c r="G346" i="1"/>
  <c r="AA345" i="1"/>
  <c r="U345" i="1"/>
  <c r="G345" i="1"/>
  <c r="AA344" i="1"/>
  <c r="U344" i="1"/>
  <c r="G344" i="1"/>
  <c r="U343" i="1"/>
  <c r="G343" i="1"/>
  <c r="AA342" i="1"/>
  <c r="U342" i="1"/>
  <c r="G342" i="1"/>
  <c r="AA341" i="1"/>
  <c r="U341" i="1"/>
  <c r="G341" i="1"/>
  <c r="AA340" i="1"/>
  <c r="U340" i="1"/>
  <c r="G340" i="1"/>
  <c r="AA339" i="1"/>
  <c r="U339" i="1"/>
  <c r="G339" i="1"/>
  <c r="AA338" i="1"/>
  <c r="U338" i="1"/>
  <c r="G338" i="1"/>
  <c r="AA337" i="1"/>
  <c r="U337" i="1"/>
  <c r="G337" i="1"/>
  <c r="AN336" i="1"/>
  <c r="AM336" i="1"/>
  <c r="AL336" i="1"/>
  <c r="AK336" i="1"/>
  <c r="AJ336" i="1"/>
  <c r="AI336" i="1"/>
  <c r="AH336" i="1"/>
  <c r="AG336" i="1"/>
  <c r="AF336" i="1"/>
  <c r="AE336" i="1"/>
  <c r="AD336" i="1"/>
  <c r="AC336" i="1"/>
  <c r="U336" i="1"/>
  <c r="T336" i="1"/>
  <c r="S336" i="1"/>
  <c r="R336" i="1"/>
  <c r="Q336" i="1"/>
  <c r="P336" i="1"/>
  <c r="O336" i="1"/>
  <c r="N336" i="1"/>
  <c r="M336" i="1"/>
  <c r="L336" i="1"/>
  <c r="K336" i="1"/>
  <c r="J336" i="1"/>
  <c r="I336" i="1"/>
  <c r="F336" i="1"/>
  <c r="AA335" i="1"/>
  <c r="U335" i="1"/>
  <c r="K335" i="1"/>
  <c r="G335" i="1" s="1"/>
  <c r="AA334" i="1"/>
  <c r="U334" i="1"/>
  <c r="G334" i="1"/>
  <c r="AA333" i="1"/>
  <c r="U333" i="1"/>
  <c r="O333" i="1"/>
  <c r="N333" i="1"/>
  <c r="AA332" i="1"/>
  <c r="U332" i="1"/>
  <c r="G332" i="1"/>
  <c r="AN331" i="1"/>
  <c r="AM331" i="1"/>
  <c r="AL331" i="1"/>
  <c r="AK331" i="1"/>
  <c r="AJ331" i="1"/>
  <c r="AI331" i="1"/>
  <c r="AH331" i="1"/>
  <c r="AG331" i="1"/>
  <c r="AF331" i="1"/>
  <c r="AE331" i="1"/>
  <c r="AD331" i="1"/>
  <c r="AC331" i="1"/>
  <c r="U331" i="1"/>
  <c r="T331" i="1"/>
  <c r="S331" i="1"/>
  <c r="R331" i="1"/>
  <c r="Q331" i="1"/>
  <c r="P331" i="1"/>
  <c r="O331" i="1"/>
  <c r="M331" i="1"/>
  <c r="L331" i="1"/>
  <c r="K331" i="1"/>
  <c r="J331" i="1"/>
  <c r="I331" i="1"/>
  <c r="F331" i="1"/>
  <c r="AN330" i="1"/>
  <c r="AM330" i="1"/>
  <c r="AL330" i="1"/>
  <c r="AK330" i="1"/>
  <c r="AL327" i="1" s="1"/>
  <c r="AL326" i="1" s="1"/>
  <c r="AJ330" i="1"/>
  <c r="AK327" i="1" s="1"/>
  <c r="AK326" i="1" s="1"/>
  <c r="AI330" i="1"/>
  <c r="AH330" i="1"/>
  <c r="AG330" i="1"/>
  <c r="AF330" i="1"/>
  <c r="AG327" i="1" s="1"/>
  <c r="AG326" i="1" s="1"/>
  <c r="AE330" i="1"/>
  <c r="AD330" i="1"/>
  <c r="AC330" i="1"/>
  <c r="AD327" i="1" s="1"/>
  <c r="AD326" i="1" s="1"/>
  <c r="U330" i="1"/>
  <c r="T330" i="1"/>
  <c r="S330" i="1"/>
  <c r="T327" i="1" s="1"/>
  <c r="T326" i="1" s="1"/>
  <c r="R330" i="1"/>
  <c r="S327" i="1" s="1"/>
  <c r="S326" i="1" s="1"/>
  <c r="Q330" i="1"/>
  <c r="P330" i="1"/>
  <c r="Q327" i="1" s="1"/>
  <c r="Q326" i="1" s="1"/>
  <c r="O330" i="1"/>
  <c r="N330" i="1"/>
  <c r="M330" i="1"/>
  <c r="L330" i="1"/>
  <c r="K330" i="1"/>
  <c r="L327" i="1" s="1"/>
  <c r="L326" i="1" s="1"/>
  <c r="J330" i="1"/>
  <c r="K327" i="1" s="1"/>
  <c r="K326" i="1" s="1"/>
  <c r="I330" i="1"/>
  <c r="AA329" i="1"/>
  <c r="U329" i="1"/>
  <c r="K329" i="1"/>
  <c r="G329" i="1" s="1"/>
  <c r="AA328" i="1"/>
  <c r="U328" i="1"/>
  <c r="J328" i="1"/>
  <c r="G328" i="1" s="1"/>
  <c r="AN327" i="1"/>
  <c r="AM327" i="1"/>
  <c r="AJ327" i="1"/>
  <c r="AJ326" i="1" s="1"/>
  <c r="AH327" i="1"/>
  <c r="AF327" i="1"/>
  <c r="AE327" i="1"/>
  <c r="AA327" i="1"/>
  <c r="U327" i="1"/>
  <c r="R327" i="1"/>
  <c r="P327" i="1"/>
  <c r="O327" i="1"/>
  <c r="O326" i="1" s="1"/>
  <c r="N327" i="1"/>
  <c r="M327" i="1"/>
  <c r="M326" i="1" s="1"/>
  <c r="I327" i="1"/>
  <c r="I326" i="1" s="1"/>
  <c r="G327" i="1"/>
  <c r="AN326" i="1"/>
  <c r="AM326" i="1"/>
  <c r="AF326" i="1"/>
  <c r="AE326" i="1"/>
  <c r="AC326" i="1"/>
  <c r="U326" i="1"/>
  <c r="R326" i="1"/>
  <c r="N326" i="1"/>
  <c r="J326" i="1"/>
  <c r="F326" i="1"/>
  <c r="U325" i="1"/>
  <c r="U324" i="1"/>
  <c r="AN323" i="1"/>
  <c r="AM323" i="1"/>
  <c r="AM319" i="1" s="1"/>
  <c r="AM357" i="1" s="1"/>
  <c r="AM365" i="1" s="1"/>
  <c r="AL323" i="1"/>
  <c r="AK323" i="1"/>
  <c r="AJ323" i="1"/>
  <c r="AI323" i="1"/>
  <c r="AH323" i="1"/>
  <c r="AG323" i="1"/>
  <c r="AF323" i="1"/>
  <c r="AE323" i="1"/>
  <c r="AE319" i="1" s="1"/>
  <c r="AE357" i="1" s="1"/>
  <c r="AE365" i="1" s="1"/>
  <c r="AD323" i="1"/>
  <c r="AC323" i="1"/>
  <c r="U323" i="1"/>
  <c r="T323" i="1"/>
  <c r="S323" i="1"/>
  <c r="R323" i="1"/>
  <c r="Q323" i="1"/>
  <c r="P323" i="1"/>
  <c r="O323" i="1"/>
  <c r="N323" i="1"/>
  <c r="M323" i="1"/>
  <c r="N320" i="1" s="1"/>
  <c r="L323" i="1"/>
  <c r="K323" i="1"/>
  <c r="J323" i="1"/>
  <c r="K320" i="1" s="1"/>
  <c r="I323" i="1"/>
  <c r="AA322" i="1"/>
  <c r="U322" i="1"/>
  <c r="K322" i="1"/>
  <c r="J322" i="1"/>
  <c r="G322" i="1" s="1"/>
  <c r="AA321" i="1"/>
  <c r="U321" i="1"/>
  <c r="J321" i="1"/>
  <c r="AN320" i="1"/>
  <c r="AM320" i="1"/>
  <c r="AL320" i="1"/>
  <c r="AK320" i="1"/>
  <c r="AK319" i="1" s="1"/>
  <c r="AK357" i="1" s="1"/>
  <c r="AK365" i="1" s="1"/>
  <c r="AJ320" i="1"/>
  <c r="AJ319" i="1" s="1"/>
  <c r="AJ357" i="1" s="1"/>
  <c r="AJ365" i="1" s="1"/>
  <c r="AI320" i="1"/>
  <c r="AH320" i="1"/>
  <c r="AH319" i="1" s="1"/>
  <c r="AG320" i="1"/>
  <c r="AF320" i="1"/>
  <c r="AF319" i="1" s="1"/>
  <c r="AF357" i="1" s="1"/>
  <c r="AF365" i="1" s="1"/>
  <c r="AE320" i="1"/>
  <c r="AD320" i="1"/>
  <c r="AA320" i="1"/>
  <c r="U320" i="1"/>
  <c r="T320" i="1"/>
  <c r="R320" i="1"/>
  <c r="Q320" i="1"/>
  <c r="Q319" i="1" s="1"/>
  <c r="Q357" i="1" s="1"/>
  <c r="P320" i="1"/>
  <c r="O320" i="1"/>
  <c r="O319" i="1" s="1"/>
  <c r="M320" i="1"/>
  <c r="M319" i="1" s="1"/>
  <c r="M357" i="1" s="1"/>
  <c r="M365" i="1" s="1"/>
  <c r="L320" i="1"/>
  <c r="I320" i="1"/>
  <c r="G320" i="1"/>
  <c r="AN319" i="1"/>
  <c r="AN357" i="1" s="1"/>
  <c r="AN365" i="1" s="1"/>
  <c r="AL319" i="1"/>
  <c r="AI319" i="1"/>
  <c r="AG319" i="1"/>
  <c r="AD319" i="1"/>
  <c r="AD357" i="1" s="1"/>
  <c r="AD365" i="1" s="1"/>
  <c r="AC319" i="1"/>
  <c r="AC357" i="1" s="1"/>
  <c r="AC365" i="1" s="1"/>
  <c r="U319" i="1"/>
  <c r="T319" i="1"/>
  <c r="T357" i="1" s="1"/>
  <c r="T365" i="1" s="1"/>
  <c r="P319" i="1"/>
  <c r="N319" i="1"/>
  <c r="L319" i="1"/>
  <c r="L357" i="1" s="1"/>
  <c r="L365" i="1" s="1"/>
  <c r="K319" i="1"/>
  <c r="K357" i="1" s="1"/>
  <c r="K365" i="1" s="1"/>
  <c r="I319" i="1"/>
  <c r="F319" i="1"/>
  <c r="F357" i="1" s="1"/>
  <c r="U318" i="1"/>
  <c r="U317" i="1"/>
  <c r="AA316" i="1"/>
  <c r="U316" i="1"/>
  <c r="G316" i="1"/>
  <c r="AA315" i="1"/>
  <c r="U315" i="1"/>
  <c r="G315" i="1"/>
  <c r="AA314" i="1"/>
  <c r="U314" i="1"/>
  <c r="G314" i="1"/>
  <c r="U313" i="1"/>
  <c r="G313" i="1"/>
  <c r="AA312" i="1"/>
  <c r="U312" i="1"/>
  <c r="G312" i="1"/>
  <c r="AN311" i="1"/>
  <c r="AM311" i="1"/>
  <c r="AL311" i="1"/>
  <c r="AK311" i="1"/>
  <c r="AJ311" i="1"/>
  <c r="AI311" i="1"/>
  <c r="AH311" i="1"/>
  <c r="AG311" i="1"/>
  <c r="AF311" i="1"/>
  <c r="AE311" i="1"/>
  <c r="AD311" i="1"/>
  <c r="AC311" i="1"/>
  <c r="U311" i="1"/>
  <c r="T311" i="1"/>
  <c r="S311" i="1"/>
  <c r="R311" i="1"/>
  <c r="Q311" i="1"/>
  <c r="P311" i="1"/>
  <c r="O311" i="1"/>
  <c r="N311" i="1"/>
  <c r="M311" i="1"/>
  <c r="L311" i="1"/>
  <c r="K311" i="1"/>
  <c r="J311" i="1"/>
  <c r="I311" i="1"/>
  <c r="U310" i="1"/>
  <c r="AA309" i="1"/>
  <c r="U309" i="1"/>
  <c r="K309" i="1"/>
  <c r="G309" i="1" s="1"/>
  <c r="U308" i="1"/>
  <c r="AA307" i="1"/>
  <c r="U307" i="1"/>
  <c r="G307" i="1"/>
  <c r="AA306" i="1"/>
  <c r="U306" i="1"/>
  <c r="G306" i="1"/>
  <c r="AA305" i="1"/>
  <c r="U305" i="1"/>
  <c r="G305" i="1"/>
  <c r="AA304" i="1"/>
  <c r="U304" i="1"/>
  <c r="G304" i="1"/>
  <c r="AA303" i="1"/>
  <c r="U303" i="1"/>
  <c r="G303" i="1"/>
  <c r="AA302" i="1"/>
  <c r="U302" i="1"/>
  <c r="G302" i="1"/>
  <c r="AA301" i="1"/>
  <c r="U301" i="1"/>
  <c r="G301" i="1"/>
  <c r="AA300" i="1"/>
  <c r="U300" i="1"/>
  <c r="G300" i="1"/>
  <c r="AA299" i="1"/>
  <c r="U299" i="1"/>
  <c r="G299" i="1"/>
  <c r="AA298" i="1"/>
  <c r="U298" i="1"/>
  <c r="G298" i="1"/>
  <c r="AA297" i="1"/>
  <c r="U297" i="1"/>
  <c r="G297" i="1"/>
  <c r="AA296" i="1"/>
  <c r="U296" i="1"/>
  <c r="G296" i="1"/>
  <c r="AA295" i="1"/>
  <c r="W295" i="1"/>
  <c r="U295" i="1"/>
  <c r="G295" i="1"/>
  <c r="AA294" i="1"/>
  <c r="U294" i="1"/>
  <c r="G294" i="1"/>
  <c r="AA293" i="1"/>
  <c r="U293" i="1"/>
  <c r="G293" i="1"/>
  <c r="AA292" i="1"/>
  <c r="U292" i="1"/>
  <c r="G292" i="1"/>
  <c r="AN291" i="1"/>
  <c r="AM291" i="1"/>
  <c r="AL291" i="1"/>
  <c r="AK291" i="1"/>
  <c r="AJ291" i="1"/>
  <c r="AI291" i="1"/>
  <c r="AH291" i="1"/>
  <c r="AG291" i="1"/>
  <c r="AF291" i="1"/>
  <c r="AE291" i="1"/>
  <c r="AD291" i="1"/>
  <c r="AC291" i="1"/>
  <c r="U291" i="1"/>
  <c r="T291" i="1"/>
  <c r="S291" i="1"/>
  <c r="R291" i="1"/>
  <c r="Q291" i="1"/>
  <c r="P291" i="1"/>
  <c r="O291" i="1"/>
  <c r="N291" i="1"/>
  <c r="M291" i="1"/>
  <c r="L291" i="1"/>
  <c r="K291" i="1"/>
  <c r="J291" i="1"/>
  <c r="I291" i="1"/>
  <c r="AA290" i="1"/>
  <c r="U290" i="1"/>
  <c r="G290" i="1"/>
  <c r="AA289" i="1"/>
  <c r="U289" i="1"/>
  <c r="G289" i="1"/>
  <c r="AA288" i="1"/>
  <c r="U288" i="1"/>
  <c r="G288" i="1"/>
  <c r="AA287" i="1"/>
  <c r="U287" i="1"/>
  <c r="G287" i="1"/>
  <c r="AA286" i="1"/>
  <c r="U286" i="1"/>
  <c r="G286" i="1"/>
  <c r="AA285" i="1"/>
  <c r="U285" i="1"/>
  <c r="G285" i="1"/>
  <c r="AA284" i="1"/>
  <c r="U284" i="1"/>
  <c r="G284" i="1"/>
  <c r="AA283" i="1"/>
  <c r="U283" i="1"/>
  <c r="G283" i="1"/>
  <c r="AA282" i="1"/>
  <c r="U282" i="1"/>
  <c r="G282" i="1"/>
  <c r="AA281" i="1"/>
  <c r="U281" i="1"/>
  <c r="G281" i="1"/>
  <c r="AN280" i="1"/>
  <c r="AM280" i="1"/>
  <c r="AL280" i="1"/>
  <c r="AK280" i="1"/>
  <c r="AJ280" i="1"/>
  <c r="AI280" i="1"/>
  <c r="AH280" i="1"/>
  <c r="AG280" i="1"/>
  <c r="AF280" i="1"/>
  <c r="AE280" i="1"/>
  <c r="AD280" i="1"/>
  <c r="AC280" i="1"/>
  <c r="U280" i="1"/>
  <c r="T280" i="1"/>
  <c r="S280" i="1"/>
  <c r="R280" i="1"/>
  <c r="Q280" i="1"/>
  <c r="P280" i="1"/>
  <c r="O280" i="1"/>
  <c r="N280" i="1"/>
  <c r="M280" i="1"/>
  <c r="L280" i="1"/>
  <c r="K280" i="1"/>
  <c r="J280" i="1"/>
  <c r="I280" i="1"/>
  <c r="AA279" i="1"/>
  <c r="U279" i="1"/>
  <c r="G279" i="1"/>
  <c r="AA278" i="1"/>
  <c r="U278" i="1"/>
  <c r="G278" i="1"/>
  <c r="AA277" i="1"/>
  <c r="U277" i="1"/>
  <c r="G277" i="1"/>
  <c r="AA276" i="1"/>
  <c r="U276" i="1"/>
  <c r="G276" i="1"/>
  <c r="AA275" i="1"/>
  <c r="U275" i="1"/>
  <c r="G275" i="1"/>
  <c r="AA274" i="1"/>
  <c r="U274" i="1"/>
  <c r="G274" i="1"/>
  <c r="AA273" i="1"/>
  <c r="U273" i="1"/>
  <c r="G273" i="1"/>
  <c r="AA272" i="1"/>
  <c r="U272" i="1"/>
  <c r="G272" i="1"/>
  <c r="AA271" i="1"/>
  <c r="U271" i="1"/>
  <c r="G271" i="1"/>
  <c r="AA270" i="1"/>
  <c r="U270" i="1"/>
  <c r="G270" i="1"/>
  <c r="AA269" i="1"/>
  <c r="U269" i="1"/>
  <c r="G269" i="1"/>
  <c r="AA268" i="1"/>
  <c r="U268" i="1"/>
  <c r="G268" i="1"/>
  <c r="AA267" i="1"/>
  <c r="U267" i="1"/>
  <c r="G267" i="1"/>
  <c r="AA266" i="1"/>
  <c r="U266" i="1"/>
  <c r="G266" i="1"/>
  <c r="AA265" i="1"/>
  <c r="U265" i="1"/>
  <c r="G265" i="1"/>
  <c r="AA264" i="1"/>
  <c r="U264" i="1"/>
  <c r="G264" i="1"/>
  <c r="AN263" i="1"/>
  <c r="AM263" i="1"/>
  <c r="AL263" i="1"/>
  <c r="AK263" i="1"/>
  <c r="AJ263" i="1"/>
  <c r="AI263" i="1"/>
  <c r="AH263" i="1"/>
  <c r="AG263" i="1"/>
  <c r="AF263" i="1"/>
  <c r="AE263" i="1"/>
  <c r="AD263" i="1"/>
  <c r="AC263" i="1"/>
  <c r="U263" i="1"/>
  <c r="T263" i="1"/>
  <c r="S263" i="1"/>
  <c r="R263" i="1"/>
  <c r="Q263" i="1"/>
  <c r="P263" i="1"/>
  <c r="O263" i="1"/>
  <c r="N263" i="1"/>
  <c r="M263" i="1"/>
  <c r="L263" i="1"/>
  <c r="K263" i="1"/>
  <c r="J263" i="1"/>
  <c r="I263" i="1"/>
  <c r="AA262" i="1"/>
  <c r="U262" i="1"/>
  <c r="G262" i="1"/>
  <c r="AA261" i="1"/>
  <c r="U261" i="1"/>
  <c r="G261" i="1"/>
  <c r="AA260" i="1"/>
  <c r="U260" i="1"/>
  <c r="G260" i="1"/>
  <c r="AA259" i="1"/>
  <c r="U259" i="1"/>
  <c r="G259" i="1"/>
  <c r="AA258" i="1"/>
  <c r="U258" i="1"/>
  <c r="G258" i="1"/>
  <c r="G254" i="1" s="1"/>
  <c r="AA257" i="1"/>
  <c r="U257" i="1"/>
  <c r="G257" i="1"/>
  <c r="AA256" i="1"/>
  <c r="U256" i="1"/>
  <c r="G256" i="1"/>
  <c r="AA255" i="1"/>
  <c r="U255" i="1"/>
  <c r="G255" i="1"/>
  <c r="AN254" i="1"/>
  <c r="AM254" i="1"/>
  <c r="AL254" i="1"/>
  <c r="AK254" i="1"/>
  <c r="AJ254" i="1"/>
  <c r="AI254" i="1"/>
  <c r="AH254" i="1"/>
  <c r="AG254" i="1"/>
  <c r="AF254" i="1"/>
  <c r="AE254" i="1"/>
  <c r="AD254" i="1"/>
  <c r="AC254" i="1"/>
  <c r="AA254" i="1"/>
  <c r="U254" i="1"/>
  <c r="T254" i="1"/>
  <c r="S254" i="1"/>
  <c r="R254" i="1"/>
  <c r="Q254" i="1"/>
  <c r="P254" i="1"/>
  <c r="O254" i="1"/>
  <c r="N254" i="1"/>
  <c r="M254" i="1"/>
  <c r="L254" i="1"/>
  <c r="K254" i="1"/>
  <c r="J254" i="1"/>
  <c r="I254" i="1"/>
  <c r="U253" i="1"/>
  <c r="AA252" i="1"/>
  <c r="U252" i="1"/>
  <c r="G252" i="1"/>
  <c r="AA251" i="1"/>
  <c r="U251" i="1"/>
  <c r="G251" i="1"/>
  <c r="AA250" i="1"/>
  <c r="U250" i="1"/>
  <c r="G250" i="1"/>
  <c r="AA249" i="1"/>
  <c r="U249" i="1"/>
  <c r="G249" i="1"/>
  <c r="AA248" i="1"/>
  <c r="U248" i="1"/>
  <c r="G248" i="1"/>
  <c r="AA247" i="1"/>
  <c r="U247" i="1"/>
  <c r="G247" i="1"/>
  <c r="AA246" i="1"/>
  <c r="U246" i="1"/>
  <c r="G246" i="1"/>
  <c r="AA245" i="1"/>
  <c r="U245" i="1"/>
  <c r="G245" i="1"/>
  <c r="AA244" i="1"/>
  <c r="U244" i="1"/>
  <c r="G244" i="1"/>
  <c r="AA243" i="1"/>
  <c r="U243" i="1"/>
  <c r="G243" i="1"/>
  <c r="AA242" i="1"/>
  <c r="U242" i="1"/>
  <c r="G242" i="1"/>
  <c r="AA241" i="1"/>
  <c r="U241" i="1"/>
  <c r="G241" i="1"/>
  <c r="AA240" i="1"/>
  <c r="U240" i="1"/>
  <c r="G240" i="1"/>
  <c r="AA239" i="1"/>
  <c r="U239" i="1"/>
  <c r="G239" i="1"/>
  <c r="AA238" i="1"/>
  <c r="U238" i="1"/>
  <c r="G238" i="1"/>
  <c r="AA237" i="1"/>
  <c r="U237" i="1"/>
  <c r="G237" i="1"/>
  <c r="AA236" i="1"/>
  <c r="U236" i="1"/>
  <c r="G236" i="1"/>
  <c r="AA235" i="1"/>
  <c r="U235" i="1"/>
  <c r="G235" i="1"/>
  <c r="AA234" i="1"/>
  <c r="U234" i="1"/>
  <c r="G234" i="1"/>
  <c r="AA233" i="1"/>
  <c r="U233" i="1"/>
  <c r="G233" i="1"/>
  <c r="AA232" i="1"/>
  <c r="U232" i="1"/>
  <c r="G232" i="1"/>
  <c r="AA231" i="1"/>
  <c r="U231" i="1"/>
  <c r="G231" i="1"/>
  <c r="AA230" i="1"/>
  <c r="U230" i="1"/>
  <c r="G230" i="1"/>
  <c r="AA229" i="1"/>
  <c r="U229" i="1"/>
  <c r="G229" i="1"/>
  <c r="AN228" i="1"/>
  <c r="AM228" i="1"/>
  <c r="AL228" i="1"/>
  <c r="AK228" i="1"/>
  <c r="AJ228" i="1"/>
  <c r="AI228" i="1"/>
  <c r="AH228" i="1"/>
  <c r="AG228" i="1"/>
  <c r="AF228" i="1"/>
  <c r="AE228" i="1"/>
  <c r="AD228" i="1"/>
  <c r="AC228" i="1"/>
  <c r="U228" i="1"/>
  <c r="T228" i="1"/>
  <c r="S228" i="1"/>
  <c r="R228" i="1"/>
  <c r="Q228" i="1"/>
  <c r="P228" i="1"/>
  <c r="O228" i="1"/>
  <c r="N228" i="1"/>
  <c r="M228" i="1"/>
  <c r="L228" i="1"/>
  <c r="K228" i="1"/>
  <c r="J228" i="1"/>
  <c r="I228" i="1"/>
  <c r="G228" i="1"/>
  <c r="U227" i="1"/>
  <c r="AN226" i="1"/>
  <c r="I220" i="1" s="1"/>
  <c r="AM226" i="1"/>
  <c r="AL226" i="1"/>
  <c r="AK226" i="1"/>
  <c r="AJ226" i="1"/>
  <c r="AI226" i="1"/>
  <c r="AH226" i="1"/>
  <c r="AG226" i="1"/>
  <c r="AF226" i="1"/>
  <c r="AG220" i="1" s="1"/>
  <c r="AG219" i="1" s="1"/>
  <c r="AE226" i="1"/>
  <c r="AD226" i="1"/>
  <c r="AC226" i="1"/>
  <c r="U226" i="1"/>
  <c r="T226" i="1"/>
  <c r="S226" i="1"/>
  <c r="R226" i="1"/>
  <c r="Q226" i="1"/>
  <c r="P226" i="1"/>
  <c r="Q220" i="1" s="1"/>
  <c r="Q219" i="1" s="1"/>
  <c r="O226" i="1"/>
  <c r="N226" i="1"/>
  <c r="M226" i="1"/>
  <c r="N220" i="1" s="1"/>
  <c r="N219" i="1" s="1"/>
  <c r="L226" i="1"/>
  <c r="K226" i="1"/>
  <c r="J226" i="1"/>
  <c r="I226" i="1"/>
  <c r="AA225" i="1"/>
  <c r="U225" i="1"/>
  <c r="G225" i="1"/>
  <c r="AA224" i="1"/>
  <c r="U224" i="1"/>
  <c r="T224" i="1"/>
  <c r="S224" i="1"/>
  <c r="R224" i="1"/>
  <c r="Q224" i="1"/>
  <c r="P224" i="1"/>
  <c r="O224" i="1"/>
  <c r="M224" i="1"/>
  <c r="K224" i="1"/>
  <c r="J224" i="1"/>
  <c r="AA223" i="1"/>
  <c r="U223" i="1"/>
  <c r="N223" i="1"/>
  <c r="G223" i="1"/>
  <c r="AA222" i="1"/>
  <c r="U222" i="1"/>
  <c r="Q222" i="1"/>
  <c r="G222" i="1" s="1"/>
  <c r="AA221" i="1"/>
  <c r="U221" i="1"/>
  <c r="P221" i="1"/>
  <c r="K221" i="1"/>
  <c r="G221" i="1" s="1"/>
  <c r="J221" i="1"/>
  <c r="AN220" i="1"/>
  <c r="AM220" i="1"/>
  <c r="AL220" i="1"/>
  <c r="AL219" i="1" s="1"/>
  <c r="AK220" i="1"/>
  <c r="AK219" i="1" s="1"/>
  <c r="AJ220" i="1"/>
  <c r="AH220" i="1"/>
  <c r="AF220" i="1"/>
  <c r="AE220" i="1"/>
  <c r="AE219" i="1" s="1"/>
  <c r="AD220" i="1"/>
  <c r="AD219" i="1" s="1"/>
  <c r="AA220" i="1"/>
  <c r="U220" i="1"/>
  <c r="T220" i="1"/>
  <c r="T219" i="1" s="1"/>
  <c r="S220" i="1"/>
  <c r="S219" i="1" s="1"/>
  <c r="R220" i="1"/>
  <c r="P220" i="1"/>
  <c r="O220" i="1"/>
  <c r="M220" i="1"/>
  <c r="L220" i="1"/>
  <c r="L219" i="1" s="1"/>
  <c r="K220" i="1"/>
  <c r="K219" i="1" s="1"/>
  <c r="J220" i="1"/>
  <c r="AN219" i="1"/>
  <c r="AM219" i="1"/>
  <c r="AJ219" i="1"/>
  <c r="AF219" i="1"/>
  <c r="AC219" i="1"/>
  <c r="U219" i="1"/>
  <c r="R219" i="1"/>
  <c r="P219" i="1"/>
  <c r="O219" i="1"/>
  <c r="J219" i="1"/>
  <c r="U218" i="1"/>
  <c r="U217" i="1"/>
  <c r="AN216" i="1"/>
  <c r="I208" i="1" s="1"/>
  <c r="AM216" i="1"/>
  <c r="AL216" i="1"/>
  <c r="AK216" i="1"/>
  <c r="AJ216" i="1"/>
  <c r="AI216" i="1"/>
  <c r="AH216" i="1"/>
  <c r="AG216" i="1"/>
  <c r="AF216" i="1"/>
  <c r="AE216" i="1"/>
  <c r="AD216" i="1"/>
  <c r="AC216" i="1"/>
  <c r="U216" i="1"/>
  <c r="T216" i="1"/>
  <c r="S216" i="1"/>
  <c r="R216" i="1"/>
  <c r="Q216" i="1"/>
  <c r="P216" i="1"/>
  <c r="O216" i="1"/>
  <c r="N216" i="1"/>
  <c r="O208" i="1" s="1"/>
  <c r="M216" i="1"/>
  <c r="N208" i="1" s="1"/>
  <c r="L216" i="1"/>
  <c r="K216" i="1"/>
  <c r="J216" i="1"/>
  <c r="I216" i="1"/>
  <c r="AA215" i="1"/>
  <c r="U215" i="1"/>
  <c r="G215" i="1"/>
  <c r="AA214" i="1"/>
  <c r="U214" i="1"/>
  <c r="G214" i="1"/>
  <c r="AA213" i="1"/>
  <c r="U213" i="1"/>
  <c r="G213" i="1"/>
  <c r="AA212" i="1"/>
  <c r="U212" i="1"/>
  <c r="G212" i="1"/>
  <c r="AA211" i="1"/>
  <c r="U211" i="1"/>
  <c r="G211" i="1"/>
  <c r="AA210" i="1"/>
  <c r="U210" i="1"/>
  <c r="R210" i="1"/>
  <c r="Q210" i="1"/>
  <c r="P210" i="1"/>
  <c r="N210" i="1"/>
  <c r="K210" i="1"/>
  <c r="G210" i="1" s="1"/>
  <c r="AN209" i="1"/>
  <c r="AM209" i="1"/>
  <c r="AK209" i="1"/>
  <c r="AJ209" i="1"/>
  <c r="AF209" i="1"/>
  <c r="AE209" i="1"/>
  <c r="AD209" i="1"/>
  <c r="AD207" i="1" s="1"/>
  <c r="AD206" i="1" s="1"/>
  <c r="AC209" i="1"/>
  <c r="U209" i="1"/>
  <c r="T209" i="1"/>
  <c r="M209" i="1"/>
  <c r="L209" i="1"/>
  <c r="K209" i="1"/>
  <c r="AN208" i="1"/>
  <c r="AN207" i="1" s="1"/>
  <c r="AN206" i="1" s="1"/>
  <c r="AM208" i="1"/>
  <c r="AL208" i="1"/>
  <c r="AK208" i="1"/>
  <c r="AJ208" i="1"/>
  <c r="AI208" i="1"/>
  <c r="AH208" i="1"/>
  <c r="AG208" i="1"/>
  <c r="AF208" i="1"/>
  <c r="AF207" i="1" s="1"/>
  <c r="AF206" i="1" s="1"/>
  <c r="AE208" i="1"/>
  <c r="AE207" i="1" s="1"/>
  <c r="AD208" i="1"/>
  <c r="AA208" i="1"/>
  <c r="U208" i="1"/>
  <c r="T208" i="1"/>
  <c r="T207" i="1" s="1"/>
  <c r="T206" i="1" s="1"/>
  <c r="S208" i="1"/>
  <c r="R208" i="1"/>
  <c r="Q208" i="1"/>
  <c r="P208" i="1"/>
  <c r="M208" i="1"/>
  <c r="L208" i="1"/>
  <c r="L207" i="1" s="1"/>
  <c r="L206" i="1" s="1"/>
  <c r="K208" i="1"/>
  <c r="J208" i="1"/>
  <c r="AK207" i="1"/>
  <c r="AJ207" i="1"/>
  <c r="AC207" i="1"/>
  <c r="U207" i="1"/>
  <c r="K207" i="1"/>
  <c r="AK206" i="1"/>
  <c r="AJ206" i="1"/>
  <c r="AC206" i="1"/>
  <c r="U206" i="1"/>
  <c r="K206" i="1"/>
  <c r="AA205" i="1"/>
  <c r="U205" i="1"/>
  <c r="G205" i="1"/>
  <c r="AA204" i="1"/>
  <c r="U204" i="1"/>
  <c r="G204" i="1"/>
  <c r="AA203" i="1"/>
  <c r="U203" i="1"/>
  <c r="G203" i="1"/>
  <c r="AA202" i="1"/>
  <c r="U202" i="1"/>
  <c r="G202" i="1"/>
  <c r="AA201" i="1"/>
  <c r="U201" i="1"/>
  <c r="G201" i="1"/>
  <c r="AA200" i="1"/>
  <c r="U200" i="1"/>
  <c r="G200" i="1"/>
  <c r="AN199" i="1"/>
  <c r="AM199" i="1"/>
  <c r="AL199" i="1"/>
  <c r="AK199" i="1"/>
  <c r="AJ199" i="1"/>
  <c r="AI199" i="1"/>
  <c r="AH199" i="1"/>
  <c r="AG199" i="1"/>
  <c r="AF199" i="1"/>
  <c r="AE199" i="1"/>
  <c r="AD199" i="1"/>
  <c r="AC199" i="1"/>
  <c r="U199" i="1"/>
  <c r="T199" i="1"/>
  <c r="S199" i="1"/>
  <c r="R199" i="1"/>
  <c r="Q199" i="1"/>
  <c r="Q194" i="1" s="1"/>
  <c r="P199" i="1"/>
  <c r="O199" i="1"/>
  <c r="N199" i="1"/>
  <c r="M199" i="1"/>
  <c r="L199" i="1"/>
  <c r="K199" i="1"/>
  <c r="J199" i="1"/>
  <c r="I199" i="1"/>
  <c r="AA198" i="1"/>
  <c r="U198" i="1"/>
  <c r="G198" i="1"/>
  <c r="AA197" i="1"/>
  <c r="U197" i="1"/>
  <c r="T197" i="1"/>
  <c r="O197" i="1"/>
  <c r="N197" i="1"/>
  <c r="M197" i="1"/>
  <c r="M196" i="1" s="1"/>
  <c r="M194" i="1" s="1"/>
  <c r="L197" i="1"/>
  <c r="AN196" i="1"/>
  <c r="AM196" i="1"/>
  <c r="AM194" i="1" s="1"/>
  <c r="AL196" i="1"/>
  <c r="AL194" i="1" s="1"/>
  <c r="AK196" i="1"/>
  <c r="AK194" i="1" s="1"/>
  <c r="AK227" i="1" s="1"/>
  <c r="AK253" i="1" s="1"/>
  <c r="AK308" i="1" s="1"/>
  <c r="AJ196" i="1"/>
  <c r="AI196" i="1"/>
  <c r="AH196" i="1"/>
  <c r="AG196" i="1"/>
  <c r="AF196" i="1"/>
  <c r="AE196" i="1"/>
  <c r="AE194" i="1" s="1"/>
  <c r="AD196" i="1"/>
  <c r="AD194" i="1" s="1"/>
  <c r="AC196" i="1"/>
  <c r="U196" i="1"/>
  <c r="T196" i="1"/>
  <c r="T194" i="1" s="1"/>
  <c r="T227" i="1" s="1"/>
  <c r="T253" i="1" s="1"/>
  <c r="T308" i="1" s="1"/>
  <c r="S196" i="1"/>
  <c r="S194" i="1" s="1"/>
  <c r="R196" i="1"/>
  <c r="Q196" i="1"/>
  <c r="P196" i="1"/>
  <c r="O196" i="1"/>
  <c r="O194" i="1" s="1"/>
  <c r="N196" i="1"/>
  <c r="K196" i="1"/>
  <c r="J196" i="1"/>
  <c r="I196" i="1"/>
  <c r="AA195" i="1"/>
  <c r="U195" i="1"/>
  <c r="G195" i="1"/>
  <c r="AN194" i="1"/>
  <c r="AJ194" i="1"/>
  <c r="AI194" i="1"/>
  <c r="AH194" i="1"/>
  <c r="AG194" i="1"/>
  <c r="AF194" i="1"/>
  <c r="AF227" i="1" s="1"/>
  <c r="AF253" i="1" s="1"/>
  <c r="AF308" i="1" s="1"/>
  <c r="AC194" i="1"/>
  <c r="AC227" i="1" s="1"/>
  <c r="AC253" i="1" s="1"/>
  <c r="AC308" i="1" s="1"/>
  <c r="U194" i="1"/>
  <c r="R194" i="1"/>
  <c r="P194" i="1"/>
  <c r="N194" i="1"/>
  <c r="J194" i="1"/>
  <c r="F194" i="1"/>
  <c r="U193" i="1"/>
  <c r="U192" i="1"/>
  <c r="U191" i="1"/>
  <c r="U190" i="1"/>
  <c r="U189" i="1"/>
  <c r="AA188" i="1"/>
  <c r="U188" i="1"/>
  <c r="S188" i="1"/>
  <c r="T188" i="1" s="1"/>
  <c r="U187" i="1"/>
  <c r="Q187" i="1"/>
  <c r="R187" i="1" s="1"/>
  <c r="S187" i="1" s="1"/>
  <c r="T187" i="1" s="1"/>
  <c r="L187" i="1"/>
  <c r="M187" i="1" s="1"/>
  <c r="N187" i="1" s="1"/>
  <c r="O187" i="1" s="1"/>
  <c r="P187" i="1" s="1"/>
  <c r="I187" i="1"/>
  <c r="J187" i="1" s="1"/>
  <c r="F187" i="1"/>
  <c r="U186" i="1"/>
  <c r="U185" i="1"/>
  <c r="M185" i="1"/>
  <c r="N185" i="1" s="1"/>
  <c r="O185" i="1" s="1"/>
  <c r="P185" i="1" s="1"/>
  <c r="Q185" i="1" s="1"/>
  <c r="R185" i="1" s="1"/>
  <c r="S185" i="1" s="1"/>
  <c r="T185" i="1" s="1"/>
  <c r="L185" i="1"/>
  <c r="U184" i="1"/>
  <c r="U183" i="1"/>
  <c r="U182" i="1"/>
  <c r="U181" i="1"/>
  <c r="F181" i="1"/>
  <c r="U180" i="1"/>
  <c r="F180" i="1"/>
  <c r="U179" i="1"/>
  <c r="F179" i="1"/>
  <c r="U178" i="1"/>
  <c r="F178" i="1"/>
  <c r="U177" i="1"/>
  <c r="F177" i="1"/>
  <c r="U176" i="1"/>
  <c r="F176" i="1"/>
  <c r="U175" i="1"/>
  <c r="F175" i="1"/>
  <c r="U174" i="1"/>
  <c r="U173" i="1"/>
  <c r="U172" i="1"/>
  <c r="U171" i="1"/>
  <c r="AN170" i="1"/>
  <c r="AM170" i="1"/>
  <c r="AL170" i="1"/>
  <c r="AK170" i="1"/>
  <c r="AJ170" i="1"/>
  <c r="AI170" i="1"/>
  <c r="AH170" i="1"/>
  <c r="AG170" i="1"/>
  <c r="AF170" i="1"/>
  <c r="AE170" i="1"/>
  <c r="AD170" i="1"/>
  <c r="AC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I170" i="1"/>
  <c r="U169" i="1"/>
  <c r="U168" i="1"/>
  <c r="U167" i="1"/>
  <c r="U166" i="1"/>
  <c r="U165" i="1"/>
  <c r="U164" i="1"/>
  <c r="AN163" i="1"/>
  <c r="AM163" i="1"/>
  <c r="AL163" i="1"/>
  <c r="AK163" i="1"/>
  <c r="AJ163" i="1"/>
  <c r="AI163" i="1"/>
  <c r="AH163" i="1"/>
  <c r="AG163" i="1"/>
  <c r="AF163" i="1"/>
  <c r="AE163" i="1"/>
  <c r="AD163" i="1"/>
  <c r="AC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I163" i="1"/>
  <c r="U162" i="1"/>
  <c r="U161" i="1"/>
  <c r="U160" i="1"/>
  <c r="U159" i="1"/>
  <c r="U158" i="1"/>
  <c r="U157" i="1"/>
  <c r="U156" i="1"/>
  <c r="U155" i="1"/>
  <c r="AN154" i="1"/>
  <c r="AM154" i="1"/>
  <c r="AL154" i="1"/>
  <c r="AK154" i="1"/>
  <c r="AJ154" i="1"/>
  <c r="AI154" i="1"/>
  <c r="AH154" i="1"/>
  <c r="AG154" i="1"/>
  <c r="AF154" i="1"/>
  <c r="AE154" i="1"/>
  <c r="AD154" i="1"/>
  <c r="AC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I154" i="1"/>
  <c r="U153" i="1"/>
  <c r="AN152" i="1"/>
  <c r="AM152" i="1"/>
  <c r="AL152" i="1"/>
  <c r="AK152" i="1"/>
  <c r="AJ152" i="1"/>
  <c r="AI152" i="1"/>
  <c r="AH152" i="1"/>
  <c r="AG152" i="1"/>
  <c r="AF152" i="1"/>
  <c r="AE152" i="1"/>
  <c r="AD152" i="1"/>
  <c r="AC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I152" i="1"/>
  <c r="U151" i="1"/>
  <c r="U150" i="1"/>
  <c r="U149" i="1"/>
  <c r="U148" i="1"/>
  <c r="U147" i="1"/>
  <c r="U146" i="1"/>
  <c r="O146" i="1"/>
  <c r="O144" i="1" s="1"/>
  <c r="M146" i="1"/>
  <c r="K146" i="1"/>
  <c r="J146" i="1"/>
  <c r="U145" i="1"/>
  <c r="AN144" i="1"/>
  <c r="AN129" i="1" s="1"/>
  <c r="AM144" i="1"/>
  <c r="AM129" i="1" s="1"/>
  <c r="AL144" i="1"/>
  <c r="AK144" i="1"/>
  <c r="AJ144" i="1"/>
  <c r="AI144" i="1"/>
  <c r="AH144" i="1"/>
  <c r="AG144" i="1"/>
  <c r="AF144" i="1"/>
  <c r="AF129" i="1" s="1"/>
  <c r="AE144" i="1"/>
  <c r="AE129" i="1" s="1"/>
  <c r="AD144" i="1"/>
  <c r="AC144" i="1"/>
  <c r="U144" i="1"/>
  <c r="T144" i="1"/>
  <c r="S144" i="1"/>
  <c r="R144" i="1"/>
  <c r="Q144" i="1"/>
  <c r="P144" i="1"/>
  <c r="N144" i="1"/>
  <c r="M144" i="1"/>
  <c r="L144" i="1"/>
  <c r="K144" i="1"/>
  <c r="J144" i="1"/>
  <c r="I144" i="1"/>
  <c r="U143" i="1"/>
  <c r="U142" i="1"/>
  <c r="U141" i="1"/>
  <c r="U140" i="1"/>
  <c r="U139" i="1"/>
  <c r="U138" i="1"/>
  <c r="U137" i="1"/>
  <c r="U136" i="1"/>
  <c r="U135" i="1"/>
  <c r="U134" i="1"/>
  <c r="U133" i="1"/>
  <c r="U132" i="1"/>
  <c r="U131" i="1"/>
  <c r="AN130" i="1"/>
  <c r="AM130" i="1"/>
  <c r="AL130" i="1"/>
  <c r="AL129" i="1" s="1"/>
  <c r="AK130" i="1"/>
  <c r="AJ130" i="1"/>
  <c r="AI130" i="1"/>
  <c r="AI129" i="1" s="1"/>
  <c r="AH130" i="1"/>
  <c r="AH129" i="1" s="1"/>
  <c r="AG130" i="1"/>
  <c r="AF130" i="1"/>
  <c r="AE130" i="1"/>
  <c r="AD130" i="1"/>
  <c r="AD129" i="1" s="1"/>
  <c r="AC130" i="1"/>
  <c r="U130" i="1"/>
  <c r="T130" i="1"/>
  <c r="S130" i="1"/>
  <c r="R130" i="1"/>
  <c r="R129" i="1" s="1"/>
  <c r="Q130" i="1"/>
  <c r="P130" i="1"/>
  <c r="O130" i="1"/>
  <c r="N130" i="1"/>
  <c r="M130" i="1"/>
  <c r="M129" i="1" s="1"/>
  <c r="L130" i="1"/>
  <c r="L129" i="1" s="1"/>
  <c r="K130" i="1"/>
  <c r="J130" i="1"/>
  <c r="J129" i="1" s="1"/>
  <c r="I130" i="1"/>
  <c r="AK129" i="1"/>
  <c r="AJ129" i="1"/>
  <c r="AG129" i="1"/>
  <c r="AC129" i="1"/>
  <c r="U129" i="1"/>
  <c r="T129" i="1"/>
  <c r="S129" i="1"/>
  <c r="Q129" i="1"/>
  <c r="P129" i="1"/>
  <c r="O129" i="1"/>
  <c r="N129" i="1"/>
  <c r="K129" i="1"/>
  <c r="I129" i="1"/>
  <c r="U128" i="1"/>
  <c r="U127" i="1"/>
  <c r="U126" i="1"/>
  <c r="U125" i="1"/>
  <c r="T125" i="1"/>
  <c r="T124" i="1" s="1"/>
  <c r="S125" i="1"/>
  <c r="AN124" i="1"/>
  <c r="AM124" i="1"/>
  <c r="AM102" i="1" s="1"/>
  <c r="AM149" i="1" s="1"/>
  <c r="AL124" i="1"/>
  <c r="AK124" i="1"/>
  <c r="AJ124" i="1"/>
  <c r="AI124" i="1"/>
  <c r="AH124" i="1"/>
  <c r="AG124" i="1"/>
  <c r="AF124" i="1"/>
  <c r="AE124" i="1"/>
  <c r="AE102" i="1" s="1"/>
  <c r="AE149" i="1" s="1"/>
  <c r="AD124" i="1"/>
  <c r="AC124" i="1"/>
  <c r="U124" i="1"/>
  <c r="S124" i="1"/>
  <c r="R124" i="1"/>
  <c r="Q124" i="1"/>
  <c r="P124" i="1"/>
  <c r="O124" i="1"/>
  <c r="N124" i="1"/>
  <c r="M124" i="1"/>
  <c r="L124" i="1"/>
  <c r="K124" i="1"/>
  <c r="K102" i="1" s="1"/>
  <c r="K149" i="1" s="1"/>
  <c r="J124" i="1"/>
  <c r="I124" i="1"/>
  <c r="U123" i="1"/>
  <c r="S123" i="1"/>
  <c r="S102" i="1" s="1"/>
  <c r="S149" i="1" s="1"/>
  <c r="U122" i="1"/>
  <c r="U121" i="1"/>
  <c r="U120" i="1"/>
  <c r="U119" i="1"/>
  <c r="U118" i="1"/>
  <c r="U117" i="1"/>
  <c r="U116" i="1"/>
  <c r="U115" i="1"/>
  <c r="U114" i="1"/>
  <c r="U113" i="1"/>
  <c r="U112" i="1"/>
  <c r="U111" i="1"/>
  <c r="U110" i="1"/>
  <c r="U109" i="1"/>
  <c r="U108" i="1"/>
  <c r="U107" i="1"/>
  <c r="AN106" i="1"/>
  <c r="AM106" i="1"/>
  <c r="AL106" i="1"/>
  <c r="AK106" i="1"/>
  <c r="AJ106" i="1"/>
  <c r="AJ102" i="1" s="1"/>
  <c r="AJ149" i="1" s="1"/>
  <c r="AI106" i="1"/>
  <c r="AH106" i="1"/>
  <c r="AG106" i="1"/>
  <c r="AG102" i="1" s="1"/>
  <c r="AG149" i="1" s="1"/>
  <c r="AF106" i="1"/>
  <c r="AF102" i="1" s="1"/>
  <c r="AF149" i="1" s="1"/>
  <c r="AE106" i="1"/>
  <c r="AD106" i="1"/>
  <c r="AC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U105" i="1"/>
  <c r="U104" i="1"/>
  <c r="AN103" i="1"/>
  <c r="AM103" i="1"/>
  <c r="AL103" i="1"/>
  <c r="AL102" i="1" s="1"/>
  <c r="AK103" i="1"/>
  <c r="AJ103" i="1"/>
  <c r="AI103" i="1"/>
  <c r="AH103" i="1"/>
  <c r="AH102" i="1" s="1"/>
  <c r="AH149" i="1" s="1"/>
  <c r="AG103" i="1"/>
  <c r="AF103" i="1"/>
  <c r="AE103" i="1"/>
  <c r="AD103" i="1"/>
  <c r="AD102" i="1" s="1"/>
  <c r="AC103" i="1"/>
  <c r="AC102" i="1" s="1"/>
  <c r="AC149" i="1" s="1"/>
  <c r="U103" i="1"/>
  <c r="T103" i="1"/>
  <c r="S103" i="1"/>
  <c r="R103" i="1"/>
  <c r="R102" i="1" s="1"/>
  <c r="R149" i="1" s="1"/>
  <c r="Q103" i="1"/>
  <c r="Q102" i="1" s="1"/>
  <c r="Q149" i="1" s="1"/>
  <c r="P103" i="1"/>
  <c r="O103" i="1"/>
  <c r="N103" i="1"/>
  <c r="N102" i="1" s="1"/>
  <c r="N149" i="1" s="1"/>
  <c r="M103" i="1"/>
  <c r="L103" i="1"/>
  <c r="K103" i="1"/>
  <c r="J103" i="1"/>
  <c r="J102" i="1" s="1"/>
  <c r="J149" i="1" s="1"/>
  <c r="I103" i="1"/>
  <c r="I102" i="1" s="1"/>
  <c r="I149" i="1" s="1"/>
  <c r="AN102" i="1"/>
  <c r="AK102" i="1"/>
  <c r="AK149" i="1" s="1"/>
  <c r="AI102" i="1"/>
  <c r="U102" i="1"/>
  <c r="T102" i="1"/>
  <c r="T149" i="1" s="1"/>
  <c r="P102" i="1"/>
  <c r="P149" i="1" s="1"/>
  <c r="O102" i="1"/>
  <c r="M102" i="1"/>
  <c r="M149" i="1" s="1"/>
  <c r="L102" i="1"/>
  <c r="L149" i="1" s="1"/>
  <c r="U101" i="1"/>
  <c r="U100" i="1"/>
  <c r="U99" i="1"/>
  <c r="U98" i="1"/>
  <c r="U97" i="1"/>
  <c r="AN96" i="1"/>
  <c r="AM96" i="1"/>
  <c r="AL96" i="1"/>
  <c r="AK96" i="1"/>
  <c r="AJ96" i="1"/>
  <c r="AI96" i="1"/>
  <c r="AH96" i="1"/>
  <c r="AG96" i="1"/>
  <c r="AF96" i="1"/>
  <c r="AE96" i="1"/>
  <c r="AD96" i="1"/>
  <c r="AC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U95" i="1"/>
  <c r="U94" i="1"/>
  <c r="K94" i="1"/>
  <c r="K87" i="1" s="1"/>
  <c r="U93" i="1"/>
  <c r="U92" i="1"/>
  <c r="U91" i="1"/>
  <c r="U90" i="1"/>
  <c r="U89" i="1"/>
  <c r="U88" i="1"/>
  <c r="AN87" i="1"/>
  <c r="AM87" i="1"/>
  <c r="AL87" i="1"/>
  <c r="AK87" i="1"/>
  <c r="AJ87" i="1"/>
  <c r="AI87" i="1"/>
  <c r="AH87" i="1"/>
  <c r="AG87" i="1"/>
  <c r="AF87" i="1"/>
  <c r="AE87" i="1"/>
  <c r="AD87" i="1"/>
  <c r="AC87" i="1"/>
  <c r="U87" i="1"/>
  <c r="T87" i="1"/>
  <c r="S87" i="1"/>
  <c r="R87" i="1"/>
  <c r="Q87" i="1"/>
  <c r="P87" i="1"/>
  <c r="O87" i="1"/>
  <c r="N87" i="1"/>
  <c r="M87" i="1"/>
  <c r="L87" i="1"/>
  <c r="J87" i="1"/>
  <c r="I87" i="1"/>
  <c r="U86" i="1"/>
  <c r="K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H65" i="1"/>
  <c r="U64" i="1"/>
  <c r="AN63" i="1"/>
  <c r="AM63" i="1"/>
  <c r="AL63" i="1"/>
  <c r="AK63" i="1"/>
  <c r="AJ63" i="1"/>
  <c r="AI63" i="1"/>
  <c r="AH63" i="1"/>
  <c r="AG63" i="1"/>
  <c r="AF63" i="1"/>
  <c r="AE63" i="1"/>
  <c r="AD63" i="1"/>
  <c r="AC63" i="1"/>
  <c r="U63" i="1"/>
  <c r="T63" i="1"/>
  <c r="S63" i="1"/>
  <c r="R63" i="1"/>
  <c r="Q63" i="1"/>
  <c r="P63" i="1"/>
  <c r="O63" i="1"/>
  <c r="N63" i="1"/>
  <c r="M63" i="1"/>
  <c r="L63" i="1"/>
  <c r="L46" i="1" s="1"/>
  <c r="K63" i="1"/>
  <c r="J63" i="1"/>
  <c r="I63" i="1"/>
  <c r="U62" i="1"/>
  <c r="U61" i="1"/>
  <c r="T61" i="1"/>
  <c r="S61" i="1"/>
  <c r="S60" i="1" s="1"/>
  <c r="R61" i="1"/>
  <c r="Q61" i="1"/>
  <c r="P61" i="1"/>
  <c r="P60" i="1" s="1"/>
  <c r="N61" i="1"/>
  <c r="N60" i="1" s="1"/>
  <c r="K61" i="1"/>
  <c r="K60" i="1" s="1"/>
  <c r="J61" i="1"/>
  <c r="AN60" i="1"/>
  <c r="AM60" i="1"/>
  <c r="AL60" i="1"/>
  <c r="AK60" i="1"/>
  <c r="AK46" i="1" s="1"/>
  <c r="AJ60" i="1"/>
  <c r="AI60" i="1"/>
  <c r="AH60" i="1"/>
  <c r="AG60" i="1"/>
  <c r="AG46" i="1" s="1"/>
  <c r="AF60" i="1"/>
  <c r="AE60" i="1"/>
  <c r="AD60" i="1"/>
  <c r="AC60" i="1"/>
  <c r="AC46" i="1" s="1"/>
  <c r="U60" i="1"/>
  <c r="T60" i="1"/>
  <c r="R60" i="1"/>
  <c r="Q60" i="1"/>
  <c r="O60" i="1"/>
  <c r="M60" i="1"/>
  <c r="L60" i="1"/>
  <c r="J60" i="1"/>
  <c r="I60" i="1"/>
  <c r="U59" i="1"/>
  <c r="U58" i="1"/>
  <c r="U57" i="1"/>
  <c r="U56" i="1"/>
  <c r="U55" i="1"/>
  <c r="U54" i="1"/>
  <c r="U53" i="1"/>
  <c r="U52" i="1"/>
  <c r="U51" i="1"/>
  <c r="AN50" i="1"/>
  <c r="AN46" i="1" s="1"/>
  <c r="AM50" i="1"/>
  <c r="AL50" i="1"/>
  <c r="AK50" i="1"/>
  <c r="AJ50" i="1"/>
  <c r="AJ46" i="1" s="1"/>
  <c r="AI50" i="1"/>
  <c r="AH50" i="1"/>
  <c r="AG50" i="1"/>
  <c r="AF50" i="1"/>
  <c r="AF46" i="1" s="1"/>
  <c r="AE50" i="1"/>
  <c r="AD50" i="1"/>
  <c r="AC50" i="1"/>
  <c r="U50" i="1"/>
  <c r="T50" i="1"/>
  <c r="T46" i="1" s="1"/>
  <c r="S50" i="1"/>
  <c r="R50" i="1"/>
  <c r="Q50" i="1"/>
  <c r="P50" i="1"/>
  <c r="P46" i="1" s="1"/>
  <c r="O50" i="1"/>
  <c r="O46" i="1" s="1"/>
  <c r="N50" i="1"/>
  <c r="M50" i="1"/>
  <c r="L50" i="1"/>
  <c r="K50" i="1"/>
  <c r="J50" i="1"/>
  <c r="I50" i="1"/>
  <c r="U49" i="1"/>
  <c r="U48" i="1"/>
  <c r="AN47" i="1"/>
  <c r="U47" i="1"/>
  <c r="T47" i="1"/>
  <c r="S47" i="1"/>
  <c r="R47" i="1"/>
  <c r="Q47" i="1"/>
  <c r="Q46" i="1" s="1"/>
  <c r="P47" i="1"/>
  <c r="O47" i="1"/>
  <c r="N47" i="1"/>
  <c r="M47" i="1"/>
  <c r="L47" i="1"/>
  <c r="K47" i="1"/>
  <c r="J47" i="1"/>
  <c r="I47" i="1"/>
  <c r="I46" i="1" s="1"/>
  <c r="U46" i="1"/>
  <c r="M46" i="1"/>
  <c r="U45" i="1"/>
  <c r="U44" i="1"/>
  <c r="U43" i="1"/>
  <c r="U42" i="1"/>
  <c r="AN41" i="1"/>
  <c r="AN5" i="1" s="1"/>
  <c r="AM41" i="1"/>
  <c r="AL41" i="1"/>
  <c r="AK41" i="1"/>
  <c r="AJ41" i="1"/>
  <c r="AJ5" i="1" s="1"/>
  <c r="AI41" i="1"/>
  <c r="AH41" i="1"/>
  <c r="AG41" i="1"/>
  <c r="AF41" i="1"/>
  <c r="AE41" i="1"/>
  <c r="AD41" i="1"/>
  <c r="AC41" i="1"/>
  <c r="U41" i="1"/>
  <c r="T41" i="1"/>
  <c r="S41" i="1"/>
  <c r="R41" i="1"/>
  <c r="Q41" i="1"/>
  <c r="P41" i="1"/>
  <c r="P5" i="1" s="1"/>
  <c r="O41" i="1"/>
  <c r="N41" i="1"/>
  <c r="M41" i="1"/>
  <c r="L41" i="1"/>
  <c r="K41" i="1"/>
  <c r="J41" i="1"/>
  <c r="I41" i="1"/>
  <c r="U40" i="1"/>
  <c r="U39" i="1"/>
  <c r="U38" i="1"/>
  <c r="U37" i="1"/>
  <c r="U36" i="1"/>
  <c r="U35" i="1"/>
  <c r="U34" i="1"/>
  <c r="U33" i="1"/>
  <c r="U32" i="1"/>
  <c r="U31" i="1"/>
  <c r="U30" i="1"/>
  <c r="U29" i="1"/>
  <c r="AN28" i="1"/>
  <c r="AM28" i="1"/>
  <c r="AL28" i="1"/>
  <c r="AK28" i="1"/>
  <c r="AJ28" i="1"/>
  <c r="AI28" i="1"/>
  <c r="AH28" i="1"/>
  <c r="AG28" i="1"/>
  <c r="AF28" i="1"/>
  <c r="AE28" i="1"/>
  <c r="AD28" i="1"/>
  <c r="AC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U27" i="1"/>
  <c r="U26" i="1"/>
  <c r="U25" i="1"/>
  <c r="U24" i="1"/>
  <c r="U23" i="1"/>
  <c r="U21" i="1"/>
  <c r="U20" i="1"/>
  <c r="AA19" i="1"/>
  <c r="U18" i="1"/>
  <c r="U17" i="1"/>
  <c r="U16" i="1"/>
  <c r="AN15" i="1"/>
  <c r="AM15" i="1"/>
  <c r="AL15" i="1"/>
  <c r="AK15" i="1"/>
  <c r="AK5" i="1" s="1"/>
  <c r="AJ15" i="1"/>
  <c r="AI15" i="1"/>
  <c r="AH15" i="1"/>
  <c r="AG15" i="1"/>
  <c r="AF15" i="1"/>
  <c r="AE15" i="1"/>
  <c r="AD15" i="1"/>
  <c r="AC15" i="1"/>
  <c r="U15" i="1"/>
  <c r="T15" i="1"/>
  <c r="S15" i="1"/>
  <c r="R15" i="1"/>
  <c r="R5" i="1" s="1"/>
  <c r="Q15" i="1"/>
  <c r="Q5" i="1" s="1"/>
  <c r="Q100" i="1" s="1"/>
  <c r="P15" i="1"/>
  <c r="O15" i="1"/>
  <c r="N15" i="1"/>
  <c r="M15" i="1"/>
  <c r="M5" i="1" s="1"/>
  <c r="M100" i="1" s="1"/>
  <c r="L15" i="1"/>
  <c r="K15" i="1"/>
  <c r="J15" i="1"/>
  <c r="J5" i="1" s="1"/>
  <c r="I15" i="1"/>
  <c r="I5" i="1" s="1"/>
  <c r="I100" i="1" s="1"/>
  <c r="U14" i="1"/>
  <c r="U13" i="1"/>
  <c r="U12" i="1"/>
  <c r="U11" i="1"/>
  <c r="O11" i="1"/>
  <c r="J11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U9" i="1"/>
  <c r="U8" i="1"/>
  <c r="U7" i="1"/>
  <c r="AN6" i="1"/>
  <c r="AM6" i="1"/>
  <c r="AM5" i="1" s="1"/>
  <c r="AL6" i="1"/>
  <c r="AL5" i="1" s="1"/>
  <c r="AK6" i="1"/>
  <c r="AJ6" i="1"/>
  <c r="AI6" i="1"/>
  <c r="AI5" i="1" s="1"/>
  <c r="AH6" i="1"/>
  <c r="AG6" i="1"/>
  <c r="AF6" i="1"/>
  <c r="AE6" i="1"/>
  <c r="AE5" i="1" s="1"/>
  <c r="AD6" i="1"/>
  <c r="AD5" i="1" s="1"/>
  <c r="AC6" i="1"/>
  <c r="U6" i="1"/>
  <c r="T6" i="1"/>
  <c r="S6" i="1"/>
  <c r="R6" i="1"/>
  <c r="Q6" i="1"/>
  <c r="P6" i="1"/>
  <c r="O6" i="1"/>
  <c r="N6" i="1"/>
  <c r="M6" i="1"/>
  <c r="L6" i="1"/>
  <c r="K6" i="1"/>
  <c r="J6" i="1"/>
  <c r="I6" i="1"/>
  <c r="AH5" i="1"/>
  <c r="AG5" i="1"/>
  <c r="AC5" i="1"/>
  <c r="U5" i="1"/>
  <c r="N5" i="1"/>
  <c r="B5" i="1"/>
  <c r="B6" i="1" s="1"/>
  <c r="V4" i="1"/>
  <c r="U4" i="1"/>
  <c r="AA3" i="1"/>
  <c r="Z3" i="1"/>
  <c r="Y3" i="1"/>
  <c r="U3" i="1"/>
  <c r="G3" i="1"/>
  <c r="F3" i="1"/>
  <c r="E3" i="1"/>
  <c r="W1" i="1"/>
  <c r="C1" i="1"/>
  <c r="AK100" i="1" l="1"/>
  <c r="AD100" i="1"/>
  <c r="B7" i="1"/>
  <c r="V6" i="1"/>
  <c r="J100" i="1"/>
  <c r="J46" i="1"/>
  <c r="R46" i="1"/>
  <c r="R100" i="1" s="1"/>
  <c r="AD149" i="1"/>
  <c r="AL149" i="1"/>
  <c r="AC100" i="1"/>
  <c r="AN149" i="1"/>
  <c r="AC310" i="1"/>
  <c r="AC318" i="1"/>
  <c r="AG100" i="1"/>
  <c r="K5" i="1"/>
  <c r="S5" i="1"/>
  <c r="AF5" i="1"/>
  <c r="AF100" i="1" s="1"/>
  <c r="AE46" i="1"/>
  <c r="AE100" i="1" s="1"/>
  <c r="AM46" i="1"/>
  <c r="AM100" i="1" s="1"/>
  <c r="G197" i="1"/>
  <c r="L196" i="1"/>
  <c r="L194" i="1" s="1"/>
  <c r="L227" i="1" s="1"/>
  <c r="L253" i="1" s="1"/>
  <c r="L308" i="1" s="1"/>
  <c r="V5" i="1"/>
  <c r="F314" i="1"/>
  <c r="F312" i="1"/>
  <c r="F306" i="1"/>
  <c r="F364" i="1"/>
  <c r="F309" i="1"/>
  <c r="F358" i="1"/>
  <c r="F303" i="1"/>
  <c r="F296" i="1"/>
  <c r="F281" i="1"/>
  <c r="F280" i="1" s="1"/>
  <c r="F275" i="1"/>
  <c r="F315" i="1"/>
  <c r="F300" i="1"/>
  <c r="F305" i="1"/>
  <c r="F293" i="1"/>
  <c r="F283" i="1"/>
  <c r="F277" i="1"/>
  <c r="F269" i="1"/>
  <c r="F299" i="1"/>
  <c r="F295" i="1"/>
  <c r="F304" i="1"/>
  <c r="F297" i="1"/>
  <c r="F292" i="1"/>
  <c r="F282" i="1"/>
  <c r="F316" i="1"/>
  <c r="F301" i="1"/>
  <c r="F246" i="1"/>
  <c r="F238" i="1"/>
  <c r="F230" i="1"/>
  <c r="F265" i="1"/>
  <c r="F251" i="1"/>
  <c r="F243" i="1"/>
  <c r="F235" i="1"/>
  <c r="F294" i="1"/>
  <c r="F290" i="1"/>
  <c r="F284" i="1"/>
  <c r="F278" i="1"/>
  <c r="F256" i="1"/>
  <c r="F248" i="1"/>
  <c r="F240" i="1"/>
  <c r="F232" i="1"/>
  <c r="F302" i="1"/>
  <c r="F273" i="1"/>
  <c r="F268" i="1"/>
  <c r="F245" i="1"/>
  <c r="F237" i="1"/>
  <c r="F229" i="1"/>
  <c r="F279" i="1"/>
  <c r="F272" i="1"/>
  <c r="F264" i="1"/>
  <c r="F263" i="1" s="1"/>
  <c r="F260" i="1"/>
  <c r="F259" i="1"/>
  <c r="F250" i="1"/>
  <c r="F242" i="1"/>
  <c r="F234" i="1"/>
  <c r="F276" i="1"/>
  <c r="F258" i="1"/>
  <c r="F252" i="1"/>
  <c r="F244" i="1"/>
  <c r="F236" i="1"/>
  <c r="F225" i="1"/>
  <c r="F223" i="1"/>
  <c r="F307" i="1"/>
  <c r="F255" i="1"/>
  <c r="F222" i="1"/>
  <c r="F215" i="1"/>
  <c r="F212" i="1"/>
  <c r="F271" i="1"/>
  <c r="F224" i="1"/>
  <c r="F274" i="1"/>
  <c r="F249" i="1"/>
  <c r="F241" i="1"/>
  <c r="F233" i="1"/>
  <c r="F211" i="1"/>
  <c r="F266" i="1"/>
  <c r="F220" i="1"/>
  <c r="F247" i="1"/>
  <c r="F239" i="1"/>
  <c r="F231" i="1"/>
  <c r="F213" i="1"/>
  <c r="F257" i="1"/>
  <c r="F270" i="1"/>
  <c r="F267" i="1"/>
  <c r="F262" i="1"/>
  <c r="AN100" i="1"/>
  <c r="AH46" i="1"/>
  <c r="AH100" i="1" s="1"/>
  <c r="AJ100" i="1"/>
  <c r="S227" i="1"/>
  <c r="S253" i="1" s="1"/>
  <c r="S308" i="1" s="1"/>
  <c r="P100" i="1"/>
  <c r="AD46" i="1"/>
  <c r="AL46" i="1"/>
  <c r="AL100" i="1" s="1"/>
  <c r="T5" i="1"/>
  <c r="T100" i="1" s="1"/>
  <c r="S46" i="1"/>
  <c r="N46" i="1"/>
  <c r="N100" i="1" s="1"/>
  <c r="Z337" i="1"/>
  <c r="Z334" i="1"/>
  <c r="Z328" i="1"/>
  <c r="Z321" i="1"/>
  <c r="Z354" i="1"/>
  <c r="Z350" i="1"/>
  <c r="Z346" i="1"/>
  <c r="Z358" i="1"/>
  <c r="Z340" i="1"/>
  <c r="Z333" i="1"/>
  <c r="Z353" i="1"/>
  <c r="Z349" i="1"/>
  <c r="Z345" i="1"/>
  <c r="Z342" i="1"/>
  <c r="Z315" i="1"/>
  <c r="Z307" i="1"/>
  <c r="Z356" i="1"/>
  <c r="Z339" i="1"/>
  <c r="Z355" i="1"/>
  <c r="Z338" i="1"/>
  <c r="Z332" i="1"/>
  <c r="Z327" i="1"/>
  <c r="Z352" i="1"/>
  <c r="Z320" i="1"/>
  <c r="Z301" i="1"/>
  <c r="Z279" i="1"/>
  <c r="Z273" i="1"/>
  <c r="Z364" i="1"/>
  <c r="Z309" i="1"/>
  <c r="Z294" i="1"/>
  <c r="Z284" i="1"/>
  <c r="Z335" i="1"/>
  <c r="Z316" i="1"/>
  <c r="Z303" i="1"/>
  <c r="Z296" i="1"/>
  <c r="Z281" i="1"/>
  <c r="Z275" i="1"/>
  <c r="Z267" i="1"/>
  <c r="Z347" i="1"/>
  <c r="Z344" i="1"/>
  <c r="Z322" i="1"/>
  <c r="Z293" i="1"/>
  <c r="Z283" i="1"/>
  <c r="Z277" i="1"/>
  <c r="Z329" i="1"/>
  <c r="Z305" i="1"/>
  <c r="Z302" i="1"/>
  <c r="Z295" i="1"/>
  <c r="Z290" i="1"/>
  <c r="Z274" i="1"/>
  <c r="Z271" i="1"/>
  <c r="Z252" i="1"/>
  <c r="Z244" i="1"/>
  <c r="Z236" i="1"/>
  <c r="Z225" i="1"/>
  <c r="Z351" i="1"/>
  <c r="Z299" i="1"/>
  <c r="Z292" i="1"/>
  <c r="Z282" i="1"/>
  <c r="Z266" i="1"/>
  <c r="Z258" i="1"/>
  <c r="Z249" i="1"/>
  <c r="Z241" i="1"/>
  <c r="Z233" i="1"/>
  <c r="Z304" i="1"/>
  <c r="Z276" i="1"/>
  <c r="Z270" i="1"/>
  <c r="Z257" i="1"/>
  <c r="Z246" i="1"/>
  <c r="Z238" i="1"/>
  <c r="Z230" i="1"/>
  <c r="Z300" i="1"/>
  <c r="Z297" i="1"/>
  <c r="Z269" i="1"/>
  <c r="Z251" i="1"/>
  <c r="Z243" i="1"/>
  <c r="Z235" i="1"/>
  <c r="Z224" i="1"/>
  <c r="Z222" i="1"/>
  <c r="Z287" i="1"/>
  <c r="Z265" i="1"/>
  <c r="Z256" i="1"/>
  <c r="Z248" i="1"/>
  <c r="Z240" i="1"/>
  <c r="Z232" i="1"/>
  <c r="Z264" i="1"/>
  <c r="Z250" i="1"/>
  <c r="Z242" i="1"/>
  <c r="Z234" i="1"/>
  <c r="Z210" i="1"/>
  <c r="Z195" i="1"/>
  <c r="Z199" i="1"/>
  <c r="Z312" i="1"/>
  <c r="Z311" i="1" s="1"/>
  <c r="Z272" i="1"/>
  <c r="Z247" i="1"/>
  <c r="Z239" i="1"/>
  <c r="Z231" i="1"/>
  <c r="Z220" i="1"/>
  <c r="Z215" i="1"/>
  <c r="Z212" i="1"/>
  <c r="Z196" i="1"/>
  <c r="Z245" i="1"/>
  <c r="Z237" i="1"/>
  <c r="Z229" i="1"/>
  <c r="Z221" i="1"/>
  <c r="Z208" i="1"/>
  <c r="Z255" i="1"/>
  <c r="Z223" i="1"/>
  <c r="Z214" i="1"/>
  <c r="Z211" i="1"/>
  <c r="Z213" i="1"/>
  <c r="Z348" i="1"/>
  <c r="Z268" i="1"/>
  <c r="L5" i="1"/>
  <c r="L100" i="1" s="1"/>
  <c r="K46" i="1"/>
  <c r="O5" i="1"/>
  <c r="O100" i="1" s="1"/>
  <c r="AI46" i="1"/>
  <c r="AI100" i="1" s="1"/>
  <c r="AE206" i="1"/>
  <c r="AE227" i="1" s="1"/>
  <c r="AE253" i="1" s="1"/>
  <c r="AE308" i="1" s="1"/>
  <c r="AM207" i="1"/>
  <c r="AM206" i="1" s="1"/>
  <c r="AF318" i="1"/>
  <c r="AF310" i="1"/>
  <c r="AF317" i="1" s="1"/>
  <c r="R227" i="1"/>
  <c r="R253" i="1" s="1"/>
  <c r="R308" i="1" s="1"/>
  <c r="G196" i="1"/>
  <c r="K194" i="1"/>
  <c r="K227" i="1" s="1"/>
  <c r="K253" i="1" s="1"/>
  <c r="K308" i="1" s="1"/>
  <c r="K310" i="1" s="1"/>
  <c r="K317" i="1" s="1"/>
  <c r="O207" i="1"/>
  <c r="O206" i="1" s="1"/>
  <c r="O227" i="1" s="1"/>
  <c r="O253" i="1" s="1"/>
  <c r="O308" i="1" s="1"/>
  <c r="T318" i="1"/>
  <c r="T310" i="1"/>
  <c r="T317" i="1" s="1"/>
  <c r="O149" i="1"/>
  <c r="AI149" i="1"/>
  <c r="AK310" i="1"/>
  <c r="AK317" i="1" s="1"/>
  <c r="AK318" i="1"/>
  <c r="AA199" i="1"/>
  <c r="AA194" i="1" s="1"/>
  <c r="G220" i="1"/>
  <c r="I219" i="1"/>
  <c r="AJ227" i="1"/>
  <c r="AJ253" i="1" s="1"/>
  <c r="AJ308" i="1" s="1"/>
  <c r="AA196" i="1"/>
  <c r="AI207" i="1"/>
  <c r="AI206" i="1" s="1"/>
  <c r="AI227" i="1" s="1"/>
  <c r="AI253" i="1" s="1"/>
  <c r="AI308" i="1" s="1"/>
  <c r="G208" i="1"/>
  <c r="AD227" i="1"/>
  <c r="AD253" i="1" s="1"/>
  <c r="AD308" i="1" s="1"/>
  <c r="G199" i="1"/>
  <c r="M207" i="1"/>
  <c r="M206" i="1" s="1"/>
  <c r="M227" i="1" s="1"/>
  <c r="M253" i="1" s="1"/>
  <c r="M308" i="1" s="1"/>
  <c r="M219" i="1"/>
  <c r="AI220" i="1"/>
  <c r="AI219" i="1" s="1"/>
  <c r="AH219" i="1"/>
  <c r="AN227" i="1"/>
  <c r="AN253" i="1" s="1"/>
  <c r="AN308" i="1" s="1"/>
  <c r="AM227" i="1"/>
  <c r="AM253" i="1" s="1"/>
  <c r="AM308" i="1" s="1"/>
  <c r="I194" i="1"/>
  <c r="AA263" i="1"/>
  <c r="G291" i="1"/>
  <c r="AA311" i="1"/>
  <c r="AI357" i="1"/>
  <c r="AI365" i="1" s="1"/>
  <c r="AI209" i="1" s="1"/>
  <c r="AA331" i="1"/>
  <c r="G224" i="1"/>
  <c r="O357" i="1"/>
  <c r="O365" i="1" s="1"/>
  <c r="O209" i="1" s="1"/>
  <c r="G333" i="1"/>
  <c r="N331" i="1"/>
  <c r="N357" i="1" s="1"/>
  <c r="N365" i="1" s="1"/>
  <c r="N209" i="1" s="1"/>
  <c r="N207" i="1" s="1"/>
  <c r="N206" i="1" s="1"/>
  <c r="N227" i="1" s="1"/>
  <c r="N253" i="1" s="1"/>
  <c r="N308" i="1" s="1"/>
  <c r="Q365" i="1"/>
  <c r="Q209" i="1" s="1"/>
  <c r="Q207" i="1" s="1"/>
  <c r="Q206" i="1" s="1"/>
  <c r="Q227" i="1" s="1"/>
  <c r="Q253" i="1" s="1"/>
  <c r="Q308" i="1" s="1"/>
  <c r="AA228" i="1"/>
  <c r="G263" i="1"/>
  <c r="G280" i="1"/>
  <c r="J319" i="1"/>
  <c r="J357" i="1" s="1"/>
  <c r="J365" i="1" s="1"/>
  <c r="J209" i="1" s="1"/>
  <c r="J207" i="1" s="1"/>
  <c r="J206" i="1" s="1"/>
  <c r="J227" i="1" s="1"/>
  <c r="J253" i="1" s="1"/>
  <c r="J308" i="1" s="1"/>
  <c r="G321" i="1"/>
  <c r="AI327" i="1"/>
  <c r="AI326" i="1" s="1"/>
  <c r="AH326" i="1"/>
  <c r="AH357" i="1"/>
  <c r="AH365" i="1" s="1"/>
  <c r="AH209" i="1" s="1"/>
  <c r="AH207" i="1" s="1"/>
  <c r="S320" i="1"/>
  <c r="S319" i="1" s="1"/>
  <c r="S357" i="1" s="1"/>
  <c r="S365" i="1" s="1"/>
  <c r="S209" i="1" s="1"/>
  <c r="S207" i="1" s="1"/>
  <c r="S206" i="1" s="1"/>
  <c r="R319" i="1"/>
  <c r="R357" i="1" s="1"/>
  <c r="R365" i="1" s="1"/>
  <c r="R209" i="1" s="1"/>
  <c r="R207" i="1" s="1"/>
  <c r="R206" i="1" s="1"/>
  <c r="G336" i="1"/>
  <c r="AA280" i="1"/>
  <c r="AA291" i="1"/>
  <c r="G311" i="1"/>
  <c r="P326" i="1"/>
  <c r="P357" i="1" s="1"/>
  <c r="P365" i="1" s="1"/>
  <c r="P209" i="1" s="1"/>
  <c r="P207" i="1" s="1"/>
  <c r="P206" i="1" s="1"/>
  <c r="P227" i="1" s="1"/>
  <c r="P253" i="1" s="1"/>
  <c r="P308" i="1" s="1"/>
  <c r="AA336" i="1"/>
  <c r="AG357" i="1"/>
  <c r="AG365" i="1" s="1"/>
  <c r="AG209" i="1" s="1"/>
  <c r="Z209" i="1" s="1"/>
  <c r="K318" i="1"/>
  <c r="I357" i="1"/>
  <c r="I365" i="1" s="1"/>
  <c r="I209" i="1" s="1"/>
  <c r="AL357" i="1"/>
  <c r="AL365" i="1" s="1"/>
  <c r="AL209" i="1" s="1"/>
  <c r="AL207" i="1" s="1"/>
  <c r="AL206" i="1" s="1"/>
  <c r="AL227" i="1" s="1"/>
  <c r="AL253" i="1" s="1"/>
  <c r="AL308" i="1" s="1"/>
  <c r="N318" i="1" l="1"/>
  <c r="N310" i="1"/>
  <c r="N317" i="1" s="1"/>
  <c r="P310" i="1"/>
  <c r="P317" i="1" s="1"/>
  <c r="P318" i="1"/>
  <c r="AB353" i="1"/>
  <c r="AB349" i="1"/>
  <c r="AB345" i="1"/>
  <c r="AB342" i="1"/>
  <c r="AB339" i="1"/>
  <c r="AB312" i="1"/>
  <c r="AB346" i="1"/>
  <c r="AB281" i="1"/>
  <c r="AB275" i="1"/>
  <c r="AB300" i="1"/>
  <c r="AB278" i="1"/>
  <c r="AB350" i="1"/>
  <c r="AB347" i="1"/>
  <c r="AB315" i="1"/>
  <c r="AB354" i="1"/>
  <c r="AB351" i="1"/>
  <c r="AB307" i="1"/>
  <c r="AB321" i="1"/>
  <c r="AB246" i="1"/>
  <c r="AB238" i="1"/>
  <c r="AB230" i="1"/>
  <c r="AB286" i="1"/>
  <c r="AB305" i="1"/>
  <c r="AB265" i="1"/>
  <c r="AB256" i="1"/>
  <c r="AB248" i="1"/>
  <c r="AB240" i="1"/>
  <c r="AB232" i="1"/>
  <c r="AB290" i="1"/>
  <c r="AB264" i="1"/>
  <c r="AB298" i="1"/>
  <c r="AB295" i="1"/>
  <c r="AB274" i="1"/>
  <c r="AB302" i="1"/>
  <c r="AB294" i="1"/>
  <c r="AB272" i="1"/>
  <c r="AB259" i="1"/>
  <c r="AB247" i="1"/>
  <c r="AB239" i="1"/>
  <c r="AB231" i="1"/>
  <c r="AB220" i="1"/>
  <c r="AB215" i="1"/>
  <c r="AB212" i="1"/>
  <c r="AB202" i="1"/>
  <c r="AB262" i="1"/>
  <c r="AB221" i="1"/>
  <c r="AB218" i="1"/>
  <c r="AB284" i="1"/>
  <c r="AB255" i="1"/>
  <c r="AB223" i="1"/>
  <c r="AB214" i="1"/>
  <c r="AB211" i="1"/>
  <c r="AB320" i="1"/>
  <c r="AB273" i="1"/>
  <c r="AB217" i="1"/>
  <c r="AB288" i="1"/>
  <c r="AB258" i="1"/>
  <c r="AB194" i="1"/>
  <c r="AB285" i="1"/>
  <c r="AB249" i="1"/>
  <c r="AB233" i="1"/>
  <c r="AB203" i="1"/>
  <c r="AB241" i="1"/>
  <c r="AB210" i="1"/>
  <c r="AB266" i="1"/>
  <c r="AB222" i="1"/>
  <c r="AB257" i="1"/>
  <c r="AB236" i="1"/>
  <c r="AB316" i="1"/>
  <c r="AB304" i="1"/>
  <c r="AB303" i="1"/>
  <c r="AB327" i="1"/>
  <c r="AB341" i="1"/>
  <c r="AB243" i="1"/>
  <c r="AB348" i="1"/>
  <c r="AB296" i="1"/>
  <c r="AB355" i="1"/>
  <c r="AB314" i="1"/>
  <c r="AB213" i="1"/>
  <c r="AB235" i="1"/>
  <c r="AB229" i="1"/>
  <c r="AB250" i="1"/>
  <c r="AB244" i="1"/>
  <c r="AB283" i="1"/>
  <c r="AB335" i="1"/>
  <c r="AB225" i="1"/>
  <c r="AB237" i="1"/>
  <c r="AB352" i="1"/>
  <c r="AB242" i="1"/>
  <c r="AB297" i="1"/>
  <c r="AB328" i="1"/>
  <c r="AB337" i="1"/>
  <c r="AB200" i="1"/>
  <c r="AB267" i="1"/>
  <c r="AB289" i="1"/>
  <c r="AB252" i="1"/>
  <c r="AB306" i="1"/>
  <c r="AB322" i="1"/>
  <c r="AB287" i="1"/>
  <c r="AB333" i="1"/>
  <c r="AB309" i="1"/>
  <c r="AB364" i="1"/>
  <c r="AB201" i="1"/>
  <c r="AB268" i="1"/>
  <c r="AB270" i="1"/>
  <c r="AB276" i="1"/>
  <c r="AB293" i="1"/>
  <c r="AB195" i="1"/>
  <c r="AB344" i="1"/>
  <c r="AB358" i="1"/>
  <c r="AB254" i="1"/>
  <c r="AB279" i="1"/>
  <c r="AB261" i="1"/>
  <c r="AB269" i="1"/>
  <c r="AB282" i="1"/>
  <c r="AB334" i="1"/>
  <c r="AB356" i="1"/>
  <c r="AB204" i="1"/>
  <c r="AB198" i="1"/>
  <c r="AB340" i="1"/>
  <c r="AB197" i="1"/>
  <c r="AB205" i="1"/>
  <c r="AB271" i="1"/>
  <c r="AB208" i="1"/>
  <c r="AB301" i="1"/>
  <c r="AB251" i="1"/>
  <c r="AB245" i="1"/>
  <c r="AB234" i="1"/>
  <c r="AB332" i="1"/>
  <c r="AB292" i="1"/>
  <c r="AB338" i="1"/>
  <c r="AB329" i="1"/>
  <c r="AB260" i="1"/>
  <c r="AB277" i="1"/>
  <c r="AB224" i="1"/>
  <c r="AB299" i="1"/>
  <c r="O310" i="1"/>
  <c r="O317" i="1" s="1"/>
  <c r="O318" i="1"/>
  <c r="Q310" i="1"/>
  <c r="Q317" i="1" s="1"/>
  <c r="Q318" i="1"/>
  <c r="AL310" i="1"/>
  <c r="AL317" i="1" s="1"/>
  <c r="AL318" i="1"/>
  <c r="AI310" i="1"/>
  <c r="AI317" i="1" s="1"/>
  <c r="AI318" i="1"/>
  <c r="M318" i="1"/>
  <c r="M310" i="1"/>
  <c r="M317" i="1" s="1"/>
  <c r="J310" i="1"/>
  <c r="J317" i="1" s="1"/>
  <c r="J318" i="1"/>
  <c r="AE318" i="1"/>
  <c r="AE310" i="1"/>
  <c r="AE317" i="1" s="1"/>
  <c r="G209" i="1"/>
  <c r="H209" i="1" s="1"/>
  <c r="AB291" i="1"/>
  <c r="I227" i="1"/>
  <c r="I253" i="1" s="1"/>
  <c r="I308" i="1" s="1"/>
  <c r="H263" i="1"/>
  <c r="AB196" i="1"/>
  <c r="F254" i="1"/>
  <c r="R310" i="1"/>
  <c r="R317" i="1" s="1"/>
  <c r="R318" i="1"/>
  <c r="Z263" i="1"/>
  <c r="AB228" i="1"/>
  <c r="G331" i="1"/>
  <c r="H331" i="1" s="1"/>
  <c r="AB331" i="1"/>
  <c r="AA209" i="1"/>
  <c r="Z194" i="1"/>
  <c r="Z280" i="1"/>
  <c r="Z331" i="1"/>
  <c r="Z336" i="1"/>
  <c r="F228" i="1"/>
  <c r="F291" i="1"/>
  <c r="AG207" i="1"/>
  <c r="AG206" i="1" s="1"/>
  <c r="AG227" i="1" s="1"/>
  <c r="AG253" i="1" s="1"/>
  <c r="AG308" i="1" s="1"/>
  <c r="V7" i="1"/>
  <c r="Y7" i="1" s="1"/>
  <c r="B8" i="1"/>
  <c r="E7" i="1"/>
  <c r="AB311" i="1"/>
  <c r="AB280" i="1"/>
  <c r="Z291" i="1"/>
  <c r="F219" i="1"/>
  <c r="H336" i="1"/>
  <c r="AM310" i="1"/>
  <c r="AM317" i="1" s="1"/>
  <c r="AM318" i="1"/>
  <c r="AB199" i="1"/>
  <c r="S310" i="1"/>
  <c r="S317" i="1" s="1"/>
  <c r="S318" i="1"/>
  <c r="AB336" i="1"/>
  <c r="AJ310" i="1"/>
  <c r="AJ317" i="1" s="1"/>
  <c r="AJ318" i="1"/>
  <c r="AB263" i="1"/>
  <c r="I207" i="1"/>
  <c r="I206" i="1" s="1"/>
  <c r="Z228" i="1"/>
  <c r="F207" i="1"/>
  <c r="F206" i="1" s="1"/>
  <c r="F227" i="1" s="1"/>
  <c r="F253" i="1" s="1"/>
  <c r="F308" i="1" s="1"/>
  <c r="F310" i="1" s="1"/>
  <c r="F317" i="1" s="1"/>
  <c r="S100" i="1"/>
  <c r="H196" i="1"/>
  <c r="G194" i="1"/>
  <c r="H224" i="1" s="1"/>
  <c r="AC317" i="1"/>
  <c r="AC189" i="1"/>
  <c r="AH206" i="1"/>
  <c r="AH227" i="1" s="1"/>
  <c r="AH253" i="1" s="1"/>
  <c r="AH308" i="1" s="1"/>
  <c r="H280" i="1"/>
  <c r="AN318" i="1"/>
  <c r="AN310" i="1"/>
  <c r="AN317" i="1" s="1"/>
  <c r="AD318" i="1"/>
  <c r="AD310" i="1"/>
  <c r="AD317" i="1" s="1"/>
  <c r="H208" i="1"/>
  <c r="H220" i="1"/>
  <c r="Z254" i="1"/>
  <c r="L318" i="1"/>
  <c r="L310" i="1"/>
  <c r="L317" i="1" s="1"/>
  <c r="K100" i="1"/>
  <c r="AB209" i="1" l="1"/>
  <c r="I310" i="1"/>
  <c r="I318" i="1"/>
  <c r="AG318" i="1"/>
  <c r="AG310" i="1"/>
  <c r="AG317" i="1" s="1"/>
  <c r="H291" i="1"/>
  <c r="G7" i="1"/>
  <c r="AA7" i="1"/>
  <c r="H364" i="1"/>
  <c r="H352" i="1"/>
  <c r="H348" i="1"/>
  <c r="H344" i="1"/>
  <c r="H338" i="1"/>
  <c r="H283" i="1"/>
  <c r="H277" i="1"/>
  <c r="H345" i="1"/>
  <c r="H307" i="1"/>
  <c r="H302" i="1"/>
  <c r="H290" i="1"/>
  <c r="H274" i="1"/>
  <c r="H353" i="1"/>
  <c r="H350" i="1"/>
  <c r="H328" i="1"/>
  <c r="H248" i="1"/>
  <c r="H240" i="1"/>
  <c r="H232" i="1"/>
  <c r="H349" i="1"/>
  <c r="H320" i="1"/>
  <c r="H313" i="1"/>
  <c r="H285" i="1"/>
  <c r="H281" i="1"/>
  <c r="H272" i="1"/>
  <c r="H264" i="1"/>
  <c r="H260" i="1"/>
  <c r="H259" i="1"/>
  <c r="H250" i="1"/>
  <c r="H242" i="1"/>
  <c r="H234" i="1"/>
  <c r="H315" i="1"/>
  <c r="H292" i="1"/>
  <c r="H282" i="1"/>
  <c r="H342" i="1"/>
  <c r="H309" i="1"/>
  <c r="H304" i="1"/>
  <c r="H286" i="1"/>
  <c r="H276" i="1"/>
  <c r="H327" i="1"/>
  <c r="H287" i="1"/>
  <c r="H265" i="1"/>
  <c r="H223" i="1"/>
  <c r="H249" i="1"/>
  <c r="H241" i="1"/>
  <c r="H233" i="1"/>
  <c r="H300" i="1"/>
  <c r="H266" i="1"/>
  <c r="H269" i="1"/>
  <c r="H213" i="1"/>
  <c r="H204" i="1"/>
  <c r="H354" i="1"/>
  <c r="H312" i="1"/>
  <c r="H257" i="1"/>
  <c r="H203" i="1"/>
  <c r="H314" i="1"/>
  <c r="H270" i="1"/>
  <c r="H243" i="1"/>
  <c r="H201" i="1"/>
  <c r="H346" i="1"/>
  <c r="H195" i="1"/>
  <c r="H194" i="1"/>
  <c r="H251" i="1"/>
  <c r="H235" i="1"/>
  <c r="H212" i="1"/>
  <c r="H200" i="1"/>
  <c r="H297" i="1"/>
  <c r="H202" i="1"/>
  <c r="H221" i="1"/>
  <c r="H231" i="1"/>
  <c r="H228" i="1"/>
  <c r="H246" i="1"/>
  <c r="H289" i="1"/>
  <c r="H332" i="1"/>
  <c r="H334" i="1"/>
  <c r="H198" i="1"/>
  <c r="H278" i="1"/>
  <c r="H279" i="1"/>
  <c r="H298" i="1"/>
  <c r="H225" i="1"/>
  <c r="H237" i="1"/>
  <c r="H262" i="1"/>
  <c r="H261" i="1"/>
  <c r="H293" i="1"/>
  <c r="H306" i="1"/>
  <c r="H337" i="1"/>
  <c r="H351" i="1"/>
  <c r="H210" i="1"/>
  <c r="H252" i="1"/>
  <c r="H271" i="1"/>
  <c r="H288" i="1"/>
  <c r="H301" i="1"/>
  <c r="H222" i="1"/>
  <c r="H267" i="1"/>
  <c r="H239" i="1"/>
  <c r="H236" i="1"/>
  <c r="H268" i="1"/>
  <c r="H335" i="1"/>
  <c r="H339" i="1"/>
  <c r="H229" i="1"/>
  <c r="H258" i="1"/>
  <c r="H340" i="1"/>
  <c r="H347" i="1"/>
  <c r="H355" i="1"/>
  <c r="H256" i="1"/>
  <c r="H211" i="1"/>
  <c r="H245" i="1"/>
  <c r="H205" i="1"/>
  <c r="H247" i="1"/>
  <c r="H244" i="1"/>
  <c r="H230" i="1"/>
  <c r="H295" i="1"/>
  <c r="H284" i="1"/>
  <c r="H356" i="1"/>
  <c r="H322" i="1"/>
  <c r="H214" i="1"/>
  <c r="H215" i="1"/>
  <c r="H303" i="1"/>
  <c r="H316" i="1"/>
  <c r="H358" i="1"/>
  <c r="H329" i="1"/>
  <c r="H255" i="1"/>
  <c r="H254" i="1"/>
  <c r="H275" i="1"/>
  <c r="H296" i="1"/>
  <c r="H273" i="1"/>
  <c r="H294" i="1"/>
  <c r="H305" i="1"/>
  <c r="H238" i="1"/>
  <c r="H299" i="1"/>
  <c r="AH318" i="1"/>
  <c r="AH310" i="1"/>
  <c r="AH317" i="1" s="1"/>
  <c r="H197" i="1"/>
  <c r="H311" i="1"/>
  <c r="H199" i="1"/>
  <c r="H333" i="1"/>
  <c r="V8" i="1"/>
  <c r="Y8" i="1" s="1"/>
  <c r="AA8" i="1" s="1"/>
  <c r="E8" i="1"/>
  <c r="G8" i="1" s="1"/>
  <c r="B9" i="1"/>
  <c r="AD189" i="1"/>
  <c r="AC181" i="1"/>
  <c r="AC175" i="1" s="1"/>
  <c r="AC151" i="1" s="1"/>
  <c r="AC191" i="1" s="1"/>
  <c r="H321" i="1"/>
  <c r="AE189" i="1" l="1"/>
  <c r="AD181" i="1"/>
  <c r="AD175" i="1" s="1"/>
  <c r="AD151" i="1" s="1"/>
  <c r="AD191" i="1" s="1"/>
  <c r="E9" i="1"/>
  <c r="G9" i="1" s="1"/>
  <c r="G6" i="1" s="1"/>
  <c r="B10" i="1"/>
  <c r="V9" i="1"/>
  <c r="Y9" i="1" s="1"/>
  <c r="AA9" i="1" s="1"/>
  <c r="AA6" i="1" s="1"/>
  <c r="I317" i="1"/>
  <c r="I189" i="1"/>
  <c r="J189" i="1" s="1"/>
  <c r="K189" i="1" s="1"/>
  <c r="L189" i="1" s="1"/>
  <c r="M189" i="1" s="1"/>
  <c r="N189" i="1" s="1"/>
  <c r="O189" i="1" s="1"/>
  <c r="P189" i="1" s="1"/>
  <c r="Q189" i="1" s="1"/>
  <c r="R189" i="1" s="1"/>
  <c r="S189" i="1" s="1"/>
  <c r="T189" i="1" s="1"/>
  <c r="AC193" i="1"/>
  <c r="AC2" i="1" s="1"/>
  <c r="AC192" i="1"/>
  <c r="E6" i="1"/>
  <c r="Y6" i="1" l="1"/>
  <c r="AD193" i="1"/>
  <c r="AD2" i="1" s="1"/>
  <c r="AD192" i="1"/>
  <c r="B11" i="1"/>
  <c r="V10" i="1"/>
  <c r="AF189" i="1"/>
  <c r="AE181" i="1"/>
  <c r="AE175" i="1" s="1"/>
  <c r="AE151" i="1" s="1"/>
  <c r="AE191" i="1" s="1"/>
  <c r="AE193" i="1" l="1"/>
  <c r="AE2" i="1" s="1"/>
  <c r="AE192" i="1"/>
  <c r="E11" i="1"/>
  <c r="V11" i="1"/>
  <c r="Y11" i="1" s="1"/>
  <c r="B12" i="1"/>
  <c r="AG189" i="1"/>
  <c r="AF181" i="1"/>
  <c r="AF175" i="1" s="1"/>
  <c r="AF151" i="1" s="1"/>
  <c r="AF191" i="1" s="1"/>
  <c r="AH189" i="1" l="1"/>
  <c r="AG181" i="1"/>
  <c r="AG175" i="1" s="1"/>
  <c r="AG151" i="1" s="1"/>
  <c r="AG191" i="1" s="1"/>
  <c r="B13" i="1"/>
  <c r="V12" i="1"/>
  <c r="Y12" i="1" s="1"/>
  <c r="AA12" i="1" s="1"/>
  <c r="E12" i="1"/>
  <c r="G12" i="1" s="1"/>
  <c r="AF193" i="1"/>
  <c r="AF2" i="1" s="1"/>
  <c r="AF192" i="1"/>
  <c r="AA11" i="1"/>
  <c r="G11" i="1"/>
  <c r="B14" i="1" l="1"/>
  <c r="V13" i="1"/>
  <c r="Y13" i="1" s="1"/>
  <c r="AA13" i="1" s="1"/>
  <c r="E13" i="1"/>
  <c r="G13" i="1" s="1"/>
  <c r="AG193" i="1"/>
  <c r="AG2" i="1" s="1"/>
  <c r="AG192" i="1"/>
  <c r="AH181" i="1"/>
  <c r="AH175" i="1" s="1"/>
  <c r="AH151" i="1" s="1"/>
  <c r="AH191" i="1" s="1"/>
  <c r="AI189" i="1"/>
  <c r="AI181" i="1" l="1"/>
  <c r="AI175" i="1" s="1"/>
  <c r="AI151" i="1" s="1"/>
  <c r="AI191" i="1" s="1"/>
  <c r="AJ189" i="1"/>
  <c r="AH193" i="1"/>
  <c r="AH2" i="1" s="1"/>
  <c r="AH192" i="1"/>
  <c r="E14" i="1"/>
  <c r="G14" i="1" s="1"/>
  <c r="G10" i="1" s="1"/>
  <c r="V14" i="1"/>
  <c r="Y14" i="1" s="1"/>
  <c r="AA14" i="1" s="1"/>
  <c r="AA10" i="1" s="1"/>
  <c r="B15" i="1"/>
  <c r="AJ181" i="1" l="1"/>
  <c r="AJ175" i="1" s="1"/>
  <c r="AJ151" i="1" s="1"/>
  <c r="AJ191" i="1" s="1"/>
  <c r="AK189" i="1"/>
  <c r="E10" i="1"/>
  <c r="AI193" i="1"/>
  <c r="AI2" i="1" s="1"/>
  <c r="AI192" i="1"/>
  <c r="Y10" i="1"/>
  <c r="V15" i="1"/>
  <c r="B16" i="1"/>
  <c r="AJ193" i="1" l="1"/>
  <c r="AJ2" i="1" s="1"/>
  <c r="AJ192" i="1"/>
  <c r="AL189" i="1"/>
  <c r="AK181" i="1"/>
  <c r="AK175" i="1" s="1"/>
  <c r="AK151" i="1" s="1"/>
  <c r="AK191" i="1" s="1"/>
  <c r="B17" i="1"/>
  <c r="V16" i="1"/>
  <c r="Y16" i="1" s="1"/>
  <c r="E16" i="1"/>
  <c r="V17" i="1" l="1"/>
  <c r="Y17" i="1" s="1"/>
  <c r="AA17" i="1" s="1"/>
  <c r="B18" i="1"/>
  <c r="E17" i="1"/>
  <c r="G17" i="1" s="1"/>
  <c r="AK193" i="1"/>
  <c r="AK2" i="1" s="1"/>
  <c r="AK192" i="1"/>
  <c r="AM189" i="1"/>
  <c r="AL181" i="1"/>
  <c r="AL175" i="1" s="1"/>
  <c r="AL151" i="1" s="1"/>
  <c r="AL191" i="1" s="1"/>
  <c r="AA16" i="1"/>
  <c r="G16" i="1"/>
  <c r="AL193" i="1" l="1"/>
  <c r="AL2" i="1" s="1"/>
  <c r="AL192" i="1"/>
  <c r="V18" i="1"/>
  <c r="Y18" i="1" s="1"/>
  <c r="E18" i="1"/>
  <c r="B19" i="1"/>
  <c r="AN189" i="1"/>
  <c r="AN181" i="1" s="1"/>
  <c r="AM181" i="1"/>
  <c r="AM175" i="1" s="1"/>
  <c r="AM151" i="1" s="1"/>
  <c r="AM191" i="1" s="1"/>
  <c r="E19" i="1" l="1"/>
  <c r="G19" i="1" s="1"/>
  <c r="B20" i="1"/>
  <c r="AN175" i="1"/>
  <c r="AN151" i="1" s="1"/>
  <c r="AN191" i="1" s="1"/>
  <c r="I182" i="1"/>
  <c r="G18" i="1"/>
  <c r="AA18" i="1"/>
  <c r="AM193" i="1"/>
  <c r="AM2" i="1" s="1"/>
  <c r="AM192" i="1"/>
  <c r="J182" i="1" l="1"/>
  <c r="I181" i="1"/>
  <c r="I175" i="1" s="1"/>
  <c r="I151" i="1" s="1"/>
  <c r="I191" i="1" s="1"/>
  <c r="AN193" i="1"/>
  <c r="AN2" i="1" s="1"/>
  <c r="AN192" i="1"/>
  <c r="E20" i="1"/>
  <c r="G20" i="1" s="1"/>
  <c r="B21" i="1"/>
  <c r="V20" i="1"/>
  <c r="Y20" i="1" s="1"/>
  <c r="J181" i="1" l="1"/>
  <c r="J175" i="1" s="1"/>
  <c r="J151" i="1" s="1"/>
  <c r="J191" i="1" s="1"/>
  <c r="K182" i="1"/>
  <c r="I193" i="1"/>
  <c r="I2" i="1" s="1"/>
  <c r="I192" i="1"/>
  <c r="AA20" i="1"/>
  <c r="B22" i="1"/>
  <c r="V21" i="1"/>
  <c r="Y21" i="1" s="1"/>
  <c r="AA21" i="1" s="1"/>
  <c r="E21" i="1"/>
  <c r="G21" i="1" s="1"/>
  <c r="V22" i="1" l="1"/>
  <c r="Y22" i="1" s="1"/>
  <c r="AA22" i="1" s="1"/>
  <c r="B23" i="1"/>
  <c r="E22" i="1"/>
  <c r="G22" i="1" s="1"/>
  <c r="L182" i="1"/>
  <c r="K181" i="1"/>
  <c r="K175" i="1" s="1"/>
  <c r="K151" i="1" s="1"/>
  <c r="K191" i="1" s="1"/>
  <c r="J193" i="1"/>
  <c r="J2" i="1" s="1"/>
  <c r="J192" i="1"/>
  <c r="K193" i="1" l="1"/>
  <c r="K2" i="1" s="1"/>
  <c r="K192" i="1"/>
  <c r="M182" i="1"/>
  <c r="L181" i="1"/>
  <c r="L175" i="1" s="1"/>
  <c r="L151" i="1" s="1"/>
  <c r="L191" i="1" s="1"/>
  <c r="E23" i="1"/>
  <c r="G23" i="1" s="1"/>
  <c r="B24" i="1"/>
  <c r="V23" i="1"/>
  <c r="Y23" i="1" s="1"/>
  <c r="AA23" i="1" s="1"/>
  <c r="B25" i="1" l="1"/>
  <c r="E24" i="1"/>
  <c r="G24" i="1" s="1"/>
  <c r="V24" i="1"/>
  <c r="Y24" i="1" s="1"/>
  <c r="AA24" i="1" s="1"/>
  <c r="L193" i="1"/>
  <c r="L2" i="1" s="1"/>
  <c r="L192" i="1"/>
  <c r="N182" i="1"/>
  <c r="M181" i="1"/>
  <c r="M175" i="1" s="1"/>
  <c r="M151" i="1" s="1"/>
  <c r="M191" i="1" s="1"/>
  <c r="M193" i="1" l="1"/>
  <c r="M2" i="1" s="1"/>
  <c r="M192" i="1"/>
  <c r="O182" i="1"/>
  <c r="N181" i="1"/>
  <c r="N175" i="1" s="1"/>
  <c r="N151" i="1" s="1"/>
  <c r="N191" i="1" s="1"/>
  <c r="B26" i="1"/>
  <c r="V25" i="1"/>
  <c r="Y25" i="1" s="1"/>
  <c r="AA25" i="1" s="1"/>
  <c r="E25" i="1"/>
  <c r="G25" i="1" s="1"/>
  <c r="E26" i="1" l="1"/>
  <c r="G26" i="1" s="1"/>
  <c r="V26" i="1"/>
  <c r="Y26" i="1" s="1"/>
  <c r="AA26" i="1" s="1"/>
  <c r="B27" i="1"/>
  <c r="N193" i="1"/>
  <c r="N2" i="1" s="1"/>
  <c r="N192" i="1"/>
  <c r="P182" i="1"/>
  <c r="O181" i="1"/>
  <c r="O175" i="1" s="1"/>
  <c r="O151" i="1" s="1"/>
  <c r="O191" i="1" s="1"/>
  <c r="O193" i="1" l="1"/>
  <c r="O2" i="1" s="1"/>
  <c r="O192" i="1"/>
  <c r="E27" i="1"/>
  <c r="B28" i="1"/>
  <c r="V27" i="1"/>
  <c r="Y27" i="1" s="1"/>
  <c r="P181" i="1"/>
  <c r="P175" i="1" s="1"/>
  <c r="P151" i="1" s="1"/>
  <c r="P191" i="1" s="1"/>
  <c r="Q182" i="1"/>
  <c r="P193" i="1" l="1"/>
  <c r="P2" i="1" s="1"/>
  <c r="P192" i="1"/>
  <c r="AA27" i="1"/>
  <c r="AA15" i="1" s="1"/>
  <c r="Y15" i="1"/>
  <c r="Q181" i="1"/>
  <c r="Q175" i="1" s="1"/>
  <c r="Q151" i="1" s="1"/>
  <c r="Q191" i="1" s="1"/>
  <c r="R182" i="1"/>
  <c r="B29" i="1"/>
  <c r="V28" i="1"/>
  <c r="G27" i="1"/>
  <c r="G15" i="1" s="1"/>
  <c r="E15" i="1"/>
  <c r="Q193" i="1" l="1"/>
  <c r="Q2" i="1" s="1"/>
  <c r="Q192" i="1"/>
  <c r="S182" i="1"/>
  <c r="R181" i="1"/>
  <c r="R175" i="1" s="1"/>
  <c r="R151" i="1" s="1"/>
  <c r="R191" i="1" s="1"/>
  <c r="V29" i="1"/>
  <c r="Y29" i="1" s="1"/>
  <c r="B30" i="1"/>
  <c r="E29" i="1"/>
  <c r="V30" i="1" l="1"/>
  <c r="Y30" i="1" s="1"/>
  <c r="AA30" i="1" s="1"/>
  <c r="E30" i="1"/>
  <c r="G30" i="1" s="1"/>
  <c r="B31" i="1"/>
  <c r="R193" i="1"/>
  <c r="R2" i="1" s="1"/>
  <c r="R192" i="1"/>
  <c r="AA29" i="1"/>
  <c r="T182" i="1"/>
  <c r="T181" i="1" s="1"/>
  <c r="T175" i="1" s="1"/>
  <c r="T151" i="1" s="1"/>
  <c r="T191" i="1" s="1"/>
  <c r="S181" i="1"/>
  <c r="S175" i="1" s="1"/>
  <c r="S151" i="1" s="1"/>
  <c r="S191" i="1" s="1"/>
  <c r="G29" i="1"/>
  <c r="T193" i="1" l="1"/>
  <c r="T2" i="1" s="1"/>
  <c r="T192" i="1"/>
  <c r="E31" i="1"/>
  <c r="B32" i="1"/>
  <c r="V31" i="1"/>
  <c r="Y31" i="1" s="1"/>
  <c r="S193" i="1"/>
  <c r="S2" i="1" s="1"/>
  <c r="S192" i="1"/>
  <c r="G31" i="1" l="1"/>
  <c r="B33" i="1"/>
  <c r="E32" i="1"/>
  <c r="G32" i="1" s="1"/>
  <c r="V32" i="1"/>
  <c r="Y32" i="1" s="1"/>
  <c r="AA32" i="1" s="1"/>
  <c r="AA31" i="1"/>
  <c r="B34" i="1" l="1"/>
  <c r="V33" i="1"/>
  <c r="Y33" i="1" s="1"/>
  <c r="E33" i="1"/>
  <c r="G33" i="1" s="1"/>
  <c r="G359" i="1" s="1"/>
  <c r="H359" i="1" s="1"/>
  <c r="AA33" i="1" l="1"/>
  <c r="E34" i="1"/>
  <c r="G34" i="1" s="1"/>
  <c r="V34" i="1"/>
  <c r="Y34" i="1" s="1"/>
  <c r="AA34" i="1" s="1"/>
  <c r="B35" i="1"/>
  <c r="E35" i="1" l="1"/>
  <c r="G35" i="1" s="1"/>
  <c r="B36" i="1"/>
  <c r="V35" i="1"/>
  <c r="Y35" i="1" s="1"/>
  <c r="AA35" i="1" s="1"/>
  <c r="B37" i="1" l="1"/>
  <c r="E36" i="1"/>
  <c r="G36" i="1" s="1"/>
  <c r="V36" i="1"/>
  <c r="Y36" i="1" s="1"/>
  <c r="AA36" i="1" s="1"/>
  <c r="V37" i="1" l="1"/>
  <c r="Y37" i="1" s="1"/>
  <c r="AA37" i="1" s="1"/>
  <c r="B38" i="1"/>
  <c r="E37" i="1"/>
  <c r="G37" i="1" s="1"/>
  <c r="V38" i="1" l="1"/>
  <c r="Y38" i="1" s="1"/>
  <c r="AA38" i="1" s="1"/>
  <c r="E38" i="1"/>
  <c r="G38" i="1" s="1"/>
  <c r="B39" i="1"/>
  <c r="E39" i="1" l="1"/>
  <c r="B40" i="1"/>
  <c r="V39" i="1"/>
  <c r="Y39" i="1" s="1"/>
  <c r="G39" i="1" l="1"/>
  <c r="G28" i="1" s="1"/>
  <c r="E28" i="1"/>
  <c r="AA39" i="1"/>
  <c r="AA28" i="1" s="1"/>
  <c r="Y28" i="1"/>
  <c r="B41" i="1"/>
  <c r="E40" i="1"/>
  <c r="G40" i="1" s="1"/>
  <c r="V40" i="1"/>
  <c r="Y40" i="1" s="1"/>
  <c r="AA40" i="1" s="1"/>
  <c r="V41" i="1" l="1"/>
  <c r="B42" i="1"/>
  <c r="E42" i="1" l="1"/>
  <c r="V42" i="1"/>
  <c r="Y42" i="1" s="1"/>
  <c r="B43" i="1"/>
  <c r="AA42" i="1" l="1"/>
  <c r="E43" i="1"/>
  <c r="G43" i="1" s="1"/>
  <c r="B44" i="1"/>
  <c r="V43" i="1"/>
  <c r="Y43" i="1" s="1"/>
  <c r="AA43" i="1" s="1"/>
  <c r="G42" i="1"/>
  <c r="B45" i="1" l="1"/>
  <c r="E44" i="1"/>
  <c r="V44" i="1"/>
  <c r="Y44" i="1" s="1"/>
  <c r="AA44" i="1" s="1"/>
  <c r="G44" i="1" l="1"/>
  <c r="V45" i="1"/>
  <c r="Y45" i="1" s="1"/>
  <c r="AA45" i="1" s="1"/>
  <c r="AA41" i="1" s="1"/>
  <c r="AA5" i="1" s="1"/>
  <c r="B46" i="1"/>
  <c r="E45" i="1"/>
  <c r="G45" i="1" s="1"/>
  <c r="Y41" i="1" l="1"/>
  <c r="Y5" i="1" s="1"/>
  <c r="V46" i="1"/>
  <c r="B47" i="1"/>
  <c r="E41" i="1"/>
  <c r="E5" i="1" s="1"/>
  <c r="G41" i="1"/>
  <c r="G5" i="1" s="1"/>
  <c r="V47" i="1" l="1"/>
  <c r="B48" i="1"/>
  <c r="E48" i="1" l="1"/>
  <c r="B49" i="1"/>
  <c r="V48" i="1"/>
  <c r="Y48" i="1" s="1"/>
  <c r="AA48" i="1" l="1"/>
  <c r="B50" i="1"/>
  <c r="V49" i="1"/>
  <c r="Y49" i="1" s="1"/>
  <c r="AA49" i="1" s="1"/>
  <c r="E49" i="1"/>
  <c r="G49" i="1" s="1"/>
  <c r="G48" i="1"/>
  <c r="V50" i="1" l="1"/>
  <c r="B51" i="1"/>
  <c r="Y47" i="1"/>
  <c r="E47" i="1"/>
  <c r="G47" i="1"/>
  <c r="AA47" i="1"/>
  <c r="V51" i="1" l="1"/>
  <c r="Y51" i="1" s="1"/>
  <c r="E51" i="1"/>
  <c r="B52" i="1"/>
  <c r="G51" i="1" l="1"/>
  <c r="AA51" i="1"/>
  <c r="E52" i="1"/>
  <c r="G52" i="1" s="1"/>
  <c r="B53" i="1"/>
  <c r="V52" i="1"/>
  <c r="Y52" i="1" s="1"/>
  <c r="AA52" i="1" s="1"/>
  <c r="B54" i="1" l="1"/>
  <c r="E53" i="1"/>
  <c r="G53" i="1" s="1"/>
  <c r="V53" i="1"/>
  <c r="Y53" i="1" s="1"/>
  <c r="AA53" i="1" s="1"/>
  <c r="B55" i="1" l="1"/>
  <c r="V54" i="1"/>
  <c r="Y54" i="1" s="1"/>
  <c r="E54" i="1"/>
  <c r="AA54" i="1" l="1"/>
  <c r="G54" i="1"/>
  <c r="E55" i="1"/>
  <c r="G55" i="1" s="1"/>
  <c r="V55" i="1"/>
  <c r="Y55" i="1" s="1"/>
  <c r="AA55" i="1" s="1"/>
  <c r="B56" i="1"/>
  <c r="E56" i="1" l="1"/>
  <c r="G56" i="1" s="1"/>
  <c r="B57" i="1"/>
  <c r="V56" i="1"/>
  <c r="Y56" i="1" s="1"/>
  <c r="AA56" i="1" s="1"/>
  <c r="B58" i="1" l="1"/>
  <c r="V57" i="1"/>
  <c r="Y57" i="1" s="1"/>
  <c r="AA57" i="1" s="1"/>
  <c r="E57" i="1"/>
  <c r="G57" i="1" s="1"/>
  <c r="V58" i="1" l="1"/>
  <c r="Y58" i="1" s="1"/>
  <c r="AA58" i="1" s="1"/>
  <c r="B59" i="1"/>
  <c r="E58" i="1"/>
  <c r="G58" i="1" s="1"/>
  <c r="V59" i="1" l="1"/>
  <c r="Y59" i="1" s="1"/>
  <c r="E59" i="1"/>
  <c r="B60" i="1"/>
  <c r="B61" i="1" l="1"/>
  <c r="V60" i="1"/>
  <c r="G59" i="1"/>
  <c r="G50" i="1" s="1"/>
  <c r="E50" i="1"/>
  <c r="AA59" i="1"/>
  <c r="AA50" i="1" s="1"/>
  <c r="Y50" i="1"/>
  <c r="B62" i="1" l="1"/>
  <c r="E61" i="1"/>
  <c r="V61" i="1"/>
  <c r="Y61" i="1" s="1"/>
  <c r="G61" i="1" l="1"/>
  <c r="AA61" i="1"/>
  <c r="B63" i="1"/>
  <c r="V62" i="1"/>
  <c r="Y62" i="1" s="1"/>
  <c r="AA62" i="1" s="1"/>
  <c r="E62" i="1"/>
  <c r="G62" i="1" s="1"/>
  <c r="AA60" i="1" l="1"/>
  <c r="E60" i="1"/>
  <c r="V63" i="1"/>
  <c r="B64" i="1"/>
  <c r="Y60" i="1"/>
  <c r="G60" i="1"/>
  <c r="E64" i="1" l="1"/>
  <c r="V64" i="1"/>
  <c r="Y64" i="1" s="1"/>
  <c r="B65" i="1"/>
  <c r="V65" i="1" l="1"/>
  <c r="Y65" i="1" s="1"/>
  <c r="AA65" i="1" s="1"/>
  <c r="B66" i="1"/>
  <c r="E65" i="1"/>
  <c r="G65" i="1" s="1"/>
  <c r="G64" i="1"/>
  <c r="AA64" i="1"/>
  <c r="B67" i="1" l="1"/>
  <c r="E66" i="1"/>
  <c r="V66" i="1"/>
  <c r="Y66" i="1" s="1"/>
  <c r="AA66" i="1" l="1"/>
  <c r="G66" i="1"/>
  <c r="V67" i="1"/>
  <c r="Y67" i="1" s="1"/>
  <c r="AA67" i="1" s="1"/>
  <c r="B68" i="1"/>
  <c r="E67" i="1"/>
  <c r="G67" i="1" s="1"/>
  <c r="V68" i="1" l="1"/>
  <c r="Y68" i="1" s="1"/>
  <c r="AA68" i="1" s="1"/>
  <c r="E68" i="1"/>
  <c r="G68" i="1" s="1"/>
  <c r="B69" i="1"/>
  <c r="E69" i="1" l="1"/>
  <c r="V69" i="1"/>
  <c r="Y69" i="1" s="1"/>
  <c r="B70" i="1"/>
  <c r="G69" i="1" l="1"/>
  <c r="B71" i="1"/>
  <c r="E70" i="1"/>
  <c r="G70" i="1" s="1"/>
  <c r="V70" i="1"/>
  <c r="Y70" i="1" s="1"/>
  <c r="AA70" i="1" s="1"/>
  <c r="AA69" i="1"/>
  <c r="B72" i="1" l="1"/>
  <c r="V71" i="1"/>
  <c r="Y71" i="1" s="1"/>
  <c r="E71" i="1"/>
  <c r="G71" i="1" s="1"/>
  <c r="AA71" i="1" l="1"/>
  <c r="E72" i="1"/>
  <c r="G72" i="1" s="1"/>
  <c r="V72" i="1"/>
  <c r="Y72" i="1" s="1"/>
  <c r="AA72" i="1" s="1"/>
  <c r="B73" i="1"/>
  <c r="E73" i="1" l="1"/>
  <c r="G73" i="1" s="1"/>
  <c r="V73" i="1"/>
  <c r="Y73" i="1" s="1"/>
  <c r="AA73" i="1" s="1"/>
  <c r="B74" i="1"/>
  <c r="B75" i="1" l="1"/>
  <c r="E74" i="1"/>
  <c r="G74" i="1" s="1"/>
  <c r="V74" i="1"/>
  <c r="Y74" i="1" s="1"/>
  <c r="AA74" i="1" s="1"/>
  <c r="V75" i="1" l="1"/>
  <c r="Y75" i="1" s="1"/>
  <c r="AA75" i="1" s="1"/>
  <c r="B76" i="1"/>
  <c r="E75" i="1"/>
  <c r="G75" i="1" s="1"/>
  <c r="V76" i="1" l="1"/>
  <c r="Y76" i="1" s="1"/>
  <c r="AA76" i="1" s="1"/>
  <c r="E76" i="1"/>
  <c r="G76" i="1" s="1"/>
  <c r="B77" i="1"/>
  <c r="E77" i="1" l="1"/>
  <c r="G77" i="1" s="1"/>
  <c r="V77" i="1"/>
  <c r="Y77" i="1" s="1"/>
  <c r="AA77" i="1" s="1"/>
  <c r="B78" i="1"/>
  <c r="B79" i="1" l="1"/>
  <c r="E78" i="1"/>
  <c r="G78" i="1" s="1"/>
  <c r="V78" i="1"/>
  <c r="Y78" i="1" s="1"/>
  <c r="AA78" i="1" s="1"/>
  <c r="B80" i="1" l="1"/>
  <c r="V79" i="1"/>
  <c r="Y79" i="1" s="1"/>
  <c r="AA79" i="1" s="1"/>
  <c r="E79" i="1"/>
  <c r="G79" i="1" s="1"/>
  <c r="E80" i="1" l="1"/>
  <c r="G80" i="1" s="1"/>
  <c r="V80" i="1"/>
  <c r="Y80" i="1" s="1"/>
  <c r="AA80" i="1" s="1"/>
  <c r="B81" i="1"/>
  <c r="E81" i="1" l="1"/>
  <c r="G81" i="1" s="1"/>
  <c r="B82" i="1"/>
  <c r="V81" i="1"/>
  <c r="Y81" i="1" s="1"/>
  <c r="AA81" i="1" s="1"/>
  <c r="B83" i="1" l="1"/>
  <c r="E82" i="1"/>
  <c r="G82" i="1" s="1"/>
  <c r="V82" i="1"/>
  <c r="Y82" i="1" s="1"/>
  <c r="AA82" i="1" s="1"/>
  <c r="V83" i="1" l="1"/>
  <c r="Y83" i="1" s="1"/>
  <c r="AA83" i="1" s="1"/>
  <c r="B84" i="1"/>
  <c r="E83" i="1"/>
  <c r="G83" i="1" s="1"/>
  <c r="V84" i="1" l="1"/>
  <c r="Y84" i="1" s="1"/>
  <c r="AA84" i="1" s="1"/>
  <c r="E84" i="1"/>
  <c r="G84" i="1" s="1"/>
  <c r="B85" i="1"/>
  <c r="E85" i="1" l="1"/>
  <c r="G85" i="1" s="1"/>
  <c r="V85" i="1"/>
  <c r="Y85" i="1" s="1"/>
  <c r="AA85" i="1" s="1"/>
  <c r="B86" i="1"/>
  <c r="E86" i="1" l="1"/>
  <c r="V86" i="1"/>
  <c r="Y86" i="1" s="1"/>
  <c r="B87" i="1"/>
  <c r="B88" i="1" l="1"/>
  <c r="V87" i="1"/>
  <c r="AA86" i="1"/>
  <c r="AA63" i="1" s="1"/>
  <c r="Y63" i="1"/>
  <c r="G86" i="1"/>
  <c r="G63" i="1" s="1"/>
  <c r="E63" i="1"/>
  <c r="B89" i="1" l="1"/>
  <c r="V88" i="1"/>
  <c r="Y88" i="1" s="1"/>
  <c r="E88" i="1"/>
  <c r="G88" i="1" l="1"/>
  <c r="E89" i="1"/>
  <c r="G89" i="1" s="1"/>
  <c r="V89" i="1"/>
  <c r="Y89" i="1" s="1"/>
  <c r="AA89" i="1" s="1"/>
  <c r="B90" i="1"/>
  <c r="AA88" i="1"/>
  <c r="E90" i="1" l="1"/>
  <c r="G90" i="1" s="1"/>
  <c r="V90" i="1"/>
  <c r="Y90" i="1" s="1"/>
  <c r="AA90" i="1" s="1"/>
  <c r="B91" i="1"/>
  <c r="B92" i="1" l="1"/>
  <c r="V91" i="1"/>
  <c r="Y91" i="1" s="1"/>
  <c r="E91" i="1"/>
  <c r="G91" i="1" l="1"/>
  <c r="AA91" i="1"/>
  <c r="V92" i="1"/>
  <c r="Y92" i="1" s="1"/>
  <c r="AA92" i="1" s="1"/>
  <c r="B93" i="1"/>
  <c r="E92" i="1"/>
  <c r="G92" i="1" s="1"/>
  <c r="V93" i="1" l="1"/>
  <c r="Y93" i="1" s="1"/>
  <c r="AA93" i="1" s="1"/>
  <c r="E93" i="1"/>
  <c r="G93" i="1" s="1"/>
  <c r="B94" i="1"/>
  <c r="V94" i="1" l="1"/>
  <c r="Y94" i="1" s="1"/>
  <c r="E94" i="1"/>
  <c r="B95" i="1"/>
  <c r="G94" i="1" l="1"/>
  <c r="G87" i="1" s="1"/>
  <c r="E87" i="1"/>
  <c r="E95" i="1"/>
  <c r="G95" i="1" s="1"/>
  <c r="B96" i="1"/>
  <c r="V95" i="1"/>
  <c r="Y95" i="1" s="1"/>
  <c r="AA95" i="1" s="1"/>
  <c r="AA94" i="1"/>
  <c r="AA87" i="1" s="1"/>
  <c r="Y87" i="1"/>
  <c r="B97" i="1" l="1"/>
  <c r="V96" i="1"/>
  <c r="Y96" i="1" s="1"/>
  <c r="Y46" i="1"/>
  <c r="Y100" i="1" s="1"/>
  <c r="B98" i="1" l="1"/>
  <c r="V97" i="1"/>
  <c r="Y97" i="1" s="1"/>
  <c r="AA97" i="1" s="1"/>
  <c r="E97" i="1"/>
  <c r="E98" i="1" l="1"/>
  <c r="G98" i="1" s="1"/>
  <c r="V98" i="1"/>
  <c r="Y98" i="1" s="1"/>
  <c r="AA98" i="1" s="1"/>
  <c r="B99" i="1"/>
  <c r="G97" i="1"/>
  <c r="E99" i="1" l="1"/>
  <c r="B100" i="1"/>
  <c r="V99" i="1"/>
  <c r="Y99" i="1" s="1"/>
  <c r="AA99" i="1" s="1"/>
  <c r="AA96" i="1" s="1"/>
  <c r="AA46" i="1" s="1"/>
  <c r="AA100" i="1" s="1"/>
  <c r="G99" i="1" l="1"/>
  <c r="G96" i="1" s="1"/>
  <c r="G46" i="1" s="1"/>
  <c r="G100" i="1" s="1"/>
  <c r="E96" i="1"/>
  <c r="E46" i="1" s="1"/>
  <c r="E100" i="1" s="1"/>
  <c r="B101" i="1"/>
  <c r="V100" i="1"/>
  <c r="B102" i="1" l="1"/>
  <c r="V101" i="1"/>
  <c r="V102" i="1" l="1"/>
  <c r="B103" i="1"/>
  <c r="B104" i="1" l="1"/>
  <c r="V103" i="1"/>
  <c r="B105" i="1" l="1"/>
  <c r="E104" i="1"/>
  <c r="V104" i="1"/>
  <c r="Y104" i="1" s="1"/>
  <c r="G104" i="1" l="1"/>
  <c r="AA104" i="1"/>
  <c r="V105" i="1"/>
  <c r="Y105" i="1" s="1"/>
  <c r="AA105" i="1" s="1"/>
  <c r="B106" i="1"/>
  <c r="E105" i="1"/>
  <c r="G105" i="1" s="1"/>
  <c r="V106" i="1" l="1"/>
  <c r="B107" i="1"/>
  <c r="AA103" i="1"/>
  <c r="Y103" i="1"/>
  <c r="E103" i="1"/>
  <c r="G103" i="1"/>
  <c r="E107" i="1" l="1"/>
  <c r="B108" i="1"/>
  <c r="V107" i="1"/>
  <c r="Y107" i="1" s="1"/>
  <c r="AA107" i="1" l="1"/>
  <c r="B109" i="1"/>
  <c r="E108" i="1"/>
  <c r="G108" i="1" s="1"/>
  <c r="V108" i="1"/>
  <c r="Y108" i="1" s="1"/>
  <c r="AA108" i="1" s="1"/>
  <c r="G107" i="1"/>
  <c r="B110" i="1" l="1"/>
  <c r="V109" i="1"/>
  <c r="Y109" i="1" s="1"/>
  <c r="AA109" i="1" s="1"/>
  <c r="E109" i="1"/>
  <c r="G109" i="1" s="1"/>
  <c r="E110" i="1" l="1"/>
  <c r="G110" i="1" s="1"/>
  <c r="V110" i="1"/>
  <c r="Y110" i="1" s="1"/>
  <c r="B111" i="1"/>
  <c r="E111" i="1" l="1"/>
  <c r="G111" i="1" s="1"/>
  <c r="V111" i="1"/>
  <c r="Y111" i="1" s="1"/>
  <c r="AA111" i="1" s="1"/>
  <c r="B112" i="1"/>
  <c r="AA110" i="1"/>
  <c r="B113" i="1" l="1"/>
  <c r="E112" i="1"/>
  <c r="V112" i="1"/>
  <c r="Y112" i="1" s="1"/>
  <c r="AA112" i="1" s="1"/>
  <c r="G112" i="1" l="1"/>
  <c r="V113" i="1"/>
  <c r="Y113" i="1" s="1"/>
  <c r="AA113" i="1" s="1"/>
  <c r="B114" i="1"/>
  <c r="E113" i="1"/>
  <c r="G113" i="1" s="1"/>
  <c r="V114" i="1" l="1"/>
  <c r="Y114" i="1" s="1"/>
  <c r="AA114" i="1" s="1"/>
  <c r="E114" i="1"/>
  <c r="G114" i="1" s="1"/>
  <c r="B115" i="1"/>
  <c r="E115" i="1" l="1"/>
  <c r="G115" i="1" s="1"/>
  <c r="B116" i="1"/>
  <c r="V115" i="1"/>
  <c r="Y115" i="1" s="1"/>
  <c r="AA115" i="1" s="1"/>
  <c r="B117" i="1" l="1"/>
  <c r="E116" i="1"/>
  <c r="G116" i="1" s="1"/>
  <c r="V116" i="1"/>
  <c r="Y116" i="1" s="1"/>
  <c r="AA116" i="1" s="1"/>
  <c r="B118" i="1" l="1"/>
  <c r="V117" i="1"/>
  <c r="Y117" i="1" s="1"/>
  <c r="AA117" i="1" s="1"/>
  <c r="E117" i="1"/>
  <c r="G117" i="1" s="1"/>
  <c r="E118" i="1" l="1"/>
  <c r="G118" i="1" s="1"/>
  <c r="V118" i="1"/>
  <c r="Y118" i="1" s="1"/>
  <c r="AA118" i="1" s="1"/>
  <c r="B119" i="1"/>
  <c r="E119" i="1" l="1"/>
  <c r="G119" i="1" s="1"/>
  <c r="B120" i="1"/>
  <c r="V119" i="1"/>
  <c r="Y119" i="1" s="1"/>
  <c r="AA119" i="1" s="1"/>
  <c r="V120" i="1" l="1"/>
  <c r="Y120" i="1" s="1"/>
  <c r="AA120" i="1" s="1"/>
  <c r="E120" i="1"/>
  <c r="G120" i="1" s="1"/>
  <c r="B121" i="1"/>
  <c r="B122" i="1" l="1"/>
  <c r="E121" i="1"/>
  <c r="G121" i="1" s="1"/>
  <c r="V121" i="1"/>
  <c r="Y121" i="1" s="1"/>
  <c r="AA121" i="1" s="1"/>
  <c r="B123" i="1" l="1"/>
  <c r="V122" i="1"/>
  <c r="Y122" i="1" s="1"/>
  <c r="E122" i="1"/>
  <c r="AA122" i="1" l="1"/>
  <c r="AA106" i="1" s="1"/>
  <c r="Y106" i="1"/>
  <c r="G122" i="1"/>
  <c r="G106" i="1" s="1"/>
  <c r="E106" i="1"/>
  <c r="E123" i="1"/>
  <c r="G123" i="1" s="1"/>
  <c r="V123" i="1"/>
  <c r="Y123" i="1" s="1"/>
  <c r="AA123" i="1" s="1"/>
  <c r="B124" i="1"/>
  <c r="B125" i="1" l="1"/>
  <c r="V124" i="1"/>
  <c r="V125" i="1" l="1"/>
  <c r="Y125" i="1" s="1"/>
  <c r="E125" i="1"/>
  <c r="B126" i="1"/>
  <c r="G125" i="1" l="1"/>
  <c r="E126" i="1"/>
  <c r="G126" i="1" s="1"/>
  <c r="B127" i="1"/>
  <c r="V126" i="1"/>
  <c r="Y126" i="1" s="1"/>
  <c r="AA126" i="1" s="1"/>
  <c r="AA125" i="1"/>
  <c r="B128" i="1" l="1"/>
  <c r="V127" i="1"/>
  <c r="Y127" i="1" s="1"/>
  <c r="AA127" i="1" s="1"/>
  <c r="E127" i="1"/>
  <c r="G127" i="1" s="1"/>
  <c r="E128" i="1" l="1"/>
  <c r="V128" i="1"/>
  <c r="Y128" i="1" s="1"/>
  <c r="AA128" i="1" s="1"/>
  <c r="AA124" i="1" s="1"/>
  <c r="AA102" i="1" s="1"/>
  <c r="B129" i="1"/>
  <c r="V129" i="1" l="1"/>
  <c r="B130" i="1"/>
  <c r="Y124" i="1"/>
  <c r="Y102" i="1" s="1"/>
  <c r="G128" i="1"/>
  <c r="G124" i="1" s="1"/>
  <c r="G102" i="1" s="1"/>
  <c r="E124" i="1"/>
  <c r="E102" i="1" s="1"/>
  <c r="B131" i="1" l="1"/>
  <c r="V130" i="1"/>
  <c r="V131" i="1" l="1"/>
  <c r="Y131" i="1" s="1"/>
  <c r="E131" i="1"/>
  <c r="B132" i="1"/>
  <c r="G131" i="1" l="1"/>
  <c r="B133" i="1"/>
  <c r="E132" i="1"/>
  <c r="G132" i="1" s="1"/>
  <c r="V132" i="1"/>
  <c r="Y132" i="1" s="1"/>
  <c r="AA132" i="1" s="1"/>
  <c r="AA131" i="1"/>
  <c r="V133" i="1" l="1"/>
  <c r="Y133" i="1" s="1"/>
  <c r="AA133" i="1" s="1"/>
  <c r="B134" i="1"/>
  <c r="E133" i="1"/>
  <c r="G133" i="1" s="1"/>
  <c r="E134" i="1" l="1"/>
  <c r="G134" i="1" s="1"/>
  <c r="V134" i="1"/>
  <c r="Y134" i="1" s="1"/>
  <c r="AA134" i="1" s="1"/>
  <c r="B135" i="1"/>
  <c r="B136" i="1" l="1"/>
  <c r="V135" i="1"/>
  <c r="Y135" i="1" s="1"/>
  <c r="AA135" i="1" s="1"/>
  <c r="E135" i="1"/>
  <c r="G135" i="1" l="1"/>
  <c r="E136" i="1"/>
  <c r="G136" i="1" s="1"/>
  <c r="V136" i="1"/>
  <c r="Y136" i="1" s="1"/>
  <c r="AA136" i="1" s="1"/>
  <c r="B137" i="1"/>
  <c r="V137" i="1" l="1"/>
  <c r="Y137" i="1" s="1"/>
  <c r="AA137" i="1" s="1"/>
  <c r="E137" i="1"/>
  <c r="G137" i="1" s="1"/>
  <c r="B138" i="1"/>
  <c r="V138" i="1" l="1"/>
  <c r="Y138" i="1" s="1"/>
  <c r="AA138" i="1" s="1"/>
  <c r="E138" i="1"/>
  <c r="G138" i="1" s="1"/>
  <c r="B139" i="1"/>
  <c r="B140" i="1" l="1"/>
  <c r="E139" i="1"/>
  <c r="G139" i="1" s="1"/>
  <c r="V139" i="1"/>
  <c r="Y139" i="1" s="1"/>
  <c r="AA139" i="1" s="1"/>
  <c r="B141" i="1" l="1"/>
  <c r="V140" i="1"/>
  <c r="Y140" i="1" s="1"/>
  <c r="AA140" i="1" s="1"/>
  <c r="E140" i="1"/>
  <c r="G140" i="1" s="1"/>
  <c r="B142" i="1" l="1"/>
  <c r="E141" i="1"/>
  <c r="G141" i="1" s="1"/>
  <c r="V141" i="1"/>
  <c r="Y141" i="1" s="1"/>
  <c r="AA141" i="1" s="1"/>
  <c r="E142" i="1" l="1"/>
  <c r="G142" i="1" s="1"/>
  <c r="B143" i="1"/>
  <c r="V142" i="1"/>
  <c r="Y142" i="1" s="1"/>
  <c r="AA142" i="1" s="1"/>
  <c r="E143" i="1" l="1"/>
  <c r="B144" i="1"/>
  <c r="V143" i="1"/>
  <c r="Y143" i="1" s="1"/>
  <c r="AA143" i="1" l="1"/>
  <c r="AA130" i="1" s="1"/>
  <c r="Y130" i="1"/>
  <c r="V144" i="1"/>
  <c r="B145" i="1"/>
  <c r="G143" i="1"/>
  <c r="G130" i="1" s="1"/>
  <c r="E130" i="1"/>
  <c r="V145" i="1" l="1"/>
  <c r="Y145" i="1" s="1"/>
  <c r="E145" i="1"/>
  <c r="B146" i="1"/>
  <c r="G145" i="1" l="1"/>
  <c r="B147" i="1"/>
  <c r="E146" i="1"/>
  <c r="G146" i="1" s="1"/>
  <c r="V146" i="1"/>
  <c r="Y146" i="1" s="1"/>
  <c r="AA146" i="1" s="1"/>
  <c r="AA145" i="1"/>
  <c r="AA144" i="1" s="1"/>
  <c r="Y144" i="1" l="1"/>
  <c r="E144" i="1"/>
  <c r="E147" i="1"/>
  <c r="G147" i="1" s="1"/>
  <c r="B148" i="1"/>
  <c r="V147" i="1"/>
  <c r="Y147" i="1" s="1"/>
  <c r="AA147" i="1" s="1"/>
  <c r="G144" i="1"/>
  <c r="E148" i="1" l="1"/>
  <c r="G148" i="1" s="1"/>
  <c r="G129" i="1" s="1"/>
  <c r="G149" i="1" s="1"/>
  <c r="B149" i="1"/>
  <c r="V148" i="1"/>
  <c r="Y148" i="1" s="1"/>
  <c r="AA148" i="1" s="1"/>
  <c r="AA129" i="1" s="1"/>
  <c r="AA149" i="1" s="1"/>
  <c r="E129" i="1"/>
  <c r="E149" i="1" s="1"/>
  <c r="Y129" i="1" l="1"/>
  <c r="Y149" i="1" s="1"/>
  <c r="V149" i="1"/>
  <c r="B150" i="1"/>
  <c r="B151" i="1" l="1"/>
  <c r="V150" i="1"/>
  <c r="V151" i="1" l="1"/>
  <c r="B152" i="1"/>
  <c r="V152" i="1" l="1"/>
  <c r="B153" i="1"/>
  <c r="V153" i="1" l="1"/>
  <c r="Y153" i="1" s="1"/>
  <c r="E153" i="1"/>
  <c r="B154" i="1"/>
  <c r="G153" i="1" l="1"/>
  <c r="G152" i="1" s="1"/>
  <c r="E152" i="1"/>
  <c r="V154" i="1"/>
  <c r="B155" i="1"/>
  <c r="Y152" i="1"/>
  <c r="AA153" i="1"/>
  <c r="AA152" i="1" s="1"/>
  <c r="V155" i="1" l="1"/>
  <c r="Y155" i="1" s="1"/>
  <c r="E155" i="1"/>
  <c r="B156" i="1"/>
  <c r="B157" i="1" l="1"/>
  <c r="V156" i="1"/>
  <c r="Y156" i="1" s="1"/>
  <c r="AA156" i="1" s="1"/>
  <c r="E156" i="1"/>
  <c r="G156" i="1" s="1"/>
  <c r="AA155" i="1"/>
  <c r="G155" i="1"/>
  <c r="B158" i="1" l="1"/>
  <c r="V157" i="1"/>
  <c r="Y157" i="1" s="1"/>
  <c r="E157" i="1"/>
  <c r="AA157" i="1" l="1"/>
  <c r="E158" i="1"/>
  <c r="G158" i="1" s="1"/>
  <c r="B159" i="1"/>
  <c r="V158" i="1"/>
  <c r="Y158" i="1" s="1"/>
  <c r="AA158" i="1" s="1"/>
  <c r="G157" i="1"/>
  <c r="E159" i="1" l="1"/>
  <c r="B160" i="1"/>
  <c r="V159" i="1"/>
  <c r="Y159" i="1" s="1"/>
  <c r="AA159" i="1" s="1"/>
  <c r="E160" i="1" l="1"/>
  <c r="G160" i="1" s="1"/>
  <c r="B161" i="1"/>
  <c r="V160" i="1"/>
  <c r="Y160" i="1" s="1"/>
  <c r="AA160" i="1" s="1"/>
  <c r="G159" i="1"/>
  <c r="V161" i="1" l="1"/>
  <c r="Y161" i="1" s="1"/>
  <c r="AA161" i="1" s="1"/>
  <c r="E161" i="1"/>
  <c r="B162" i="1"/>
  <c r="V162" i="1" l="1"/>
  <c r="Y162" i="1" s="1"/>
  <c r="E162" i="1"/>
  <c r="G162" i="1" s="1"/>
  <c r="G154" i="1" s="1"/>
  <c r="B163" i="1"/>
  <c r="G161" i="1"/>
  <c r="E154" i="1"/>
  <c r="V163" i="1" l="1"/>
  <c r="B164" i="1"/>
  <c r="AA162" i="1"/>
  <c r="AA154" i="1" s="1"/>
  <c r="Y154" i="1"/>
  <c r="B165" i="1" l="1"/>
  <c r="V164" i="1"/>
  <c r="Y164" i="1" s="1"/>
  <c r="E164" i="1"/>
  <c r="G164" i="1" l="1"/>
  <c r="AA164" i="1"/>
  <c r="B166" i="1"/>
  <c r="V165" i="1"/>
  <c r="Y165" i="1" s="1"/>
  <c r="AA165" i="1" s="1"/>
  <c r="E165" i="1"/>
  <c r="G165" i="1" s="1"/>
  <c r="E166" i="1" l="1"/>
  <c r="G166" i="1" s="1"/>
  <c r="B167" i="1"/>
  <c r="V166" i="1"/>
  <c r="Y166" i="1" s="1"/>
  <c r="AA166" i="1" s="1"/>
  <c r="E167" i="1" l="1"/>
  <c r="B168" i="1"/>
  <c r="V167" i="1"/>
  <c r="Y167" i="1" s="1"/>
  <c r="AA167" i="1" s="1"/>
  <c r="E168" i="1" l="1"/>
  <c r="G168" i="1" s="1"/>
  <c r="B169" i="1"/>
  <c r="V168" i="1"/>
  <c r="Y168" i="1" s="1"/>
  <c r="AA168" i="1" s="1"/>
  <c r="G167" i="1"/>
  <c r="V169" i="1" l="1"/>
  <c r="Y169" i="1" s="1"/>
  <c r="E169" i="1"/>
  <c r="B170" i="1"/>
  <c r="AA169" i="1" l="1"/>
  <c r="AA163" i="1" s="1"/>
  <c r="Y163" i="1"/>
  <c r="V170" i="1"/>
  <c r="B171" i="1"/>
  <c r="G169" i="1"/>
  <c r="G163" i="1" s="1"/>
  <c r="E163" i="1"/>
  <c r="V171" i="1" l="1"/>
  <c r="Y171" i="1" s="1"/>
  <c r="B172" i="1"/>
  <c r="E171" i="1"/>
  <c r="AA171" i="1" l="1"/>
  <c r="G171" i="1"/>
  <c r="B173" i="1"/>
  <c r="V172" i="1"/>
  <c r="Y172" i="1" s="1"/>
  <c r="AA172" i="1" s="1"/>
  <c r="E172" i="1"/>
  <c r="G172" i="1" s="1"/>
  <c r="B174" i="1" l="1"/>
  <c r="V173" i="1"/>
  <c r="Y173" i="1" s="1"/>
  <c r="AA173" i="1" s="1"/>
  <c r="E173" i="1"/>
  <c r="G173" i="1" s="1"/>
  <c r="E174" i="1" l="1"/>
  <c r="G174" i="1" s="1"/>
  <c r="G170" i="1" s="1"/>
  <c r="B175" i="1"/>
  <c r="V174" i="1"/>
  <c r="Y174" i="1" s="1"/>
  <c r="AA174" i="1" s="1"/>
  <c r="AA170" i="1" s="1"/>
  <c r="E170" i="1"/>
  <c r="V175" i="1" l="1"/>
  <c r="B176" i="1"/>
  <c r="Y170" i="1"/>
  <c r="E176" i="1" l="1"/>
  <c r="B177" i="1"/>
  <c r="V176" i="1"/>
  <c r="Y176" i="1" s="1"/>
  <c r="AA176" i="1" l="1"/>
  <c r="E177" i="1"/>
  <c r="G177" i="1" s="1"/>
  <c r="B178" i="1"/>
  <c r="V177" i="1"/>
  <c r="Y177" i="1" s="1"/>
  <c r="AA177" i="1" s="1"/>
  <c r="G176" i="1"/>
  <c r="E178" i="1" l="1"/>
  <c r="B179" i="1"/>
  <c r="V178" i="1"/>
  <c r="Y178" i="1" s="1"/>
  <c r="AA178" i="1" s="1"/>
  <c r="G178" i="1" l="1"/>
  <c r="E179" i="1"/>
  <c r="G179" i="1" s="1"/>
  <c r="B180" i="1"/>
  <c r="V179" i="1"/>
  <c r="Y179" i="1" s="1"/>
  <c r="AA179" i="1" l="1"/>
  <c r="E180" i="1"/>
  <c r="G180" i="1" s="1"/>
  <c r="B181" i="1"/>
  <c r="V180" i="1"/>
  <c r="Y180" i="1" s="1"/>
  <c r="AA180" i="1" s="1"/>
  <c r="V181" i="1" l="1"/>
  <c r="Y181" i="1" s="1"/>
  <c r="E181" i="1"/>
  <c r="E175" i="1" s="1"/>
  <c r="E151" i="1" s="1"/>
  <c r="B182" i="1"/>
  <c r="Y175" i="1"/>
  <c r="Y151" i="1" s="1"/>
  <c r="E182" i="1" l="1"/>
  <c r="G182" i="1" s="1"/>
  <c r="V182" i="1"/>
  <c r="Y182" i="1" s="1"/>
  <c r="AA182" i="1" s="1"/>
  <c r="B183" i="1"/>
  <c r="B184" i="1" l="1"/>
  <c r="V183" i="1"/>
  <c r="Y183" i="1" s="1"/>
  <c r="AA183" i="1" s="1"/>
  <c r="E183" i="1"/>
  <c r="G183" i="1" s="1"/>
  <c r="B185" i="1" l="1"/>
  <c r="V184" i="1"/>
  <c r="Y184" i="1" s="1"/>
  <c r="AA184" i="1" s="1"/>
  <c r="E184" i="1"/>
  <c r="G184" i="1" s="1"/>
  <c r="E185" i="1" l="1"/>
  <c r="G185" i="1" s="1"/>
  <c r="B186" i="1"/>
  <c r="V185" i="1"/>
  <c r="Y185" i="1" s="1"/>
  <c r="AA185" i="1" s="1"/>
  <c r="E186" i="1" l="1"/>
  <c r="G186" i="1" s="1"/>
  <c r="B187" i="1"/>
  <c r="V186" i="1"/>
  <c r="Y186" i="1" s="1"/>
  <c r="AA186" i="1" s="1"/>
  <c r="E187" i="1" l="1"/>
  <c r="G187" i="1" s="1"/>
  <c r="V187" i="1"/>
  <c r="Y187" i="1" s="1"/>
  <c r="AA187" i="1" s="1"/>
  <c r="B188" i="1"/>
  <c r="V188" i="1" l="1"/>
  <c r="B189" i="1"/>
  <c r="E188" i="1"/>
  <c r="G188" i="1" s="1"/>
  <c r="B190" i="1" l="1"/>
  <c r="E189" i="1"/>
  <c r="G189" i="1" s="1"/>
  <c r="G181" i="1" s="1"/>
  <c r="G175" i="1" s="1"/>
  <c r="G151" i="1" s="1"/>
  <c r="V189" i="1"/>
  <c r="Y189" i="1" s="1"/>
  <c r="AA189" i="1" s="1"/>
  <c r="AA181" i="1" s="1"/>
  <c r="AA175" i="1" s="1"/>
  <c r="AA151" i="1" s="1"/>
  <c r="E190" i="1" l="1"/>
  <c r="B191" i="1"/>
  <c r="V190" i="1"/>
  <c r="Y190" i="1" s="1"/>
  <c r="AA190" i="1" l="1"/>
  <c r="AA191" i="1" s="1"/>
  <c r="Y191" i="1"/>
  <c r="B192" i="1"/>
  <c r="V191" i="1"/>
  <c r="G190" i="1"/>
  <c r="G191" i="1" s="1"/>
  <c r="E191" i="1"/>
  <c r="E193" i="1" l="1"/>
  <c r="E192" i="1"/>
  <c r="G193" i="1"/>
  <c r="G2" i="1" s="1"/>
  <c r="G192" i="1"/>
  <c r="B193" i="1"/>
  <c r="V192" i="1"/>
  <c r="Y193" i="1"/>
  <c r="Y192" i="1"/>
  <c r="AA193" i="1"/>
  <c r="AA2" i="1" s="1"/>
  <c r="AA192" i="1"/>
  <c r="V193" i="1" l="1"/>
  <c r="B194" i="1"/>
  <c r="B195" i="1" s="1"/>
  <c r="V195" i="1" l="1"/>
  <c r="B196" i="1"/>
  <c r="E195" i="1"/>
  <c r="V196" i="1" l="1"/>
  <c r="Y196" i="1" s="1"/>
  <c r="E196" i="1"/>
  <c r="B197" i="1"/>
  <c r="Y195" i="1"/>
  <c r="V197" i="1" l="1"/>
  <c r="Y197" i="1" s="1"/>
  <c r="E197" i="1"/>
  <c r="B198" i="1"/>
  <c r="V198" i="1" l="1"/>
  <c r="Y198" i="1" s="1"/>
  <c r="B199" i="1"/>
  <c r="E198" i="1"/>
  <c r="B200" i="1" l="1"/>
  <c r="V199" i="1"/>
  <c r="E199" i="1"/>
  <c r="E194" i="1" s="1"/>
  <c r="Y199" i="1" l="1"/>
  <c r="Y194" i="1" s="1"/>
  <c r="V194" i="1"/>
  <c r="B201" i="1"/>
  <c r="E200" i="1"/>
  <c r="V200" i="1"/>
  <c r="Y200" i="1" s="1"/>
  <c r="B202" i="1" l="1"/>
  <c r="E201" i="1"/>
  <c r="V201" i="1"/>
  <c r="Y201" i="1" s="1"/>
  <c r="V202" i="1" l="1"/>
  <c r="Y202" i="1" s="1"/>
  <c r="B203" i="1"/>
  <c r="E202" i="1"/>
  <c r="V203" i="1" l="1"/>
  <c r="Y203" i="1" s="1"/>
  <c r="E203" i="1"/>
  <c r="B204" i="1"/>
  <c r="V204" i="1" l="1"/>
  <c r="Y204" i="1" s="1"/>
  <c r="B205" i="1"/>
  <c r="E204" i="1"/>
  <c r="V205" i="1" l="1"/>
  <c r="Y205" i="1" s="1"/>
  <c r="B206" i="1"/>
  <c r="E205" i="1"/>
  <c r="B207" i="1" l="1"/>
  <c r="V206" i="1"/>
  <c r="E206" i="1"/>
  <c r="V207" i="1" l="1"/>
  <c r="E207" i="1"/>
  <c r="B208" i="1"/>
  <c r="V208" i="1" l="1"/>
  <c r="Y208" i="1" s="1"/>
  <c r="B209" i="1"/>
  <c r="E208" i="1"/>
  <c r="B210" i="1" l="1"/>
  <c r="V209" i="1"/>
  <c r="Y209" i="1" s="1"/>
  <c r="E209" i="1"/>
  <c r="V210" i="1" l="1"/>
  <c r="Y210" i="1" s="1"/>
  <c r="E210" i="1"/>
  <c r="B211" i="1"/>
  <c r="B212" i="1" l="1"/>
  <c r="E211" i="1"/>
  <c r="V211" i="1"/>
  <c r="Y211" i="1" s="1"/>
  <c r="E212" i="1" l="1"/>
  <c r="V212" i="1"/>
  <c r="Y212" i="1" s="1"/>
  <c r="B213" i="1"/>
  <c r="V213" i="1" l="1"/>
  <c r="Y213" i="1" s="1"/>
  <c r="B214" i="1"/>
  <c r="E213" i="1"/>
  <c r="B215" i="1" l="1"/>
  <c r="E214" i="1"/>
  <c r="V214" i="1"/>
  <c r="Y214" i="1" s="1"/>
  <c r="E215" i="1" l="1"/>
  <c r="V215" i="1"/>
  <c r="Y215" i="1" s="1"/>
  <c r="B216" i="1"/>
  <c r="B217" i="1" l="1"/>
  <c r="E216" i="1"/>
  <c r="G216" i="1" s="1"/>
  <c r="V216" i="1"/>
  <c r="Y216" i="1" l="1"/>
  <c r="Z216" i="1"/>
  <c r="Z207" i="1" s="1"/>
  <c r="B218" i="1"/>
  <c r="E217" i="1"/>
  <c r="G217" i="1" s="1"/>
  <c r="H217" i="1" s="1"/>
  <c r="V217" i="1"/>
  <c r="F217" i="1"/>
  <c r="H216" i="1"/>
  <c r="G207" i="1"/>
  <c r="Y217" i="1" l="1"/>
  <c r="Z217" i="1"/>
  <c r="H207" i="1"/>
  <c r="B219" i="1"/>
  <c r="E218" i="1"/>
  <c r="G218" i="1" s="1"/>
  <c r="H218" i="1" s="1"/>
  <c r="V218" i="1"/>
  <c r="F218" i="1"/>
  <c r="AA216" i="1"/>
  <c r="Y207" i="1"/>
  <c r="B220" i="1" l="1"/>
  <c r="V219" i="1"/>
  <c r="Y218" i="1"/>
  <c r="Z218" i="1"/>
  <c r="AB216" i="1"/>
  <c r="AA207" i="1"/>
  <c r="AB207" i="1" l="1"/>
  <c r="B221" i="1"/>
  <c r="V220" i="1"/>
  <c r="Y220" i="1" s="1"/>
  <c r="E220" i="1"/>
  <c r="E221" i="1" l="1"/>
  <c r="B222" i="1"/>
  <c r="V221" i="1"/>
  <c r="Y221" i="1" s="1"/>
  <c r="B223" i="1" l="1"/>
  <c r="E222" i="1"/>
  <c r="V222" i="1"/>
  <c r="Y222" i="1" s="1"/>
  <c r="V223" i="1" l="1"/>
  <c r="Y223" i="1" s="1"/>
  <c r="B224" i="1"/>
  <c r="E223" i="1"/>
  <c r="B225" i="1" l="1"/>
  <c r="E224" i="1"/>
  <c r="V224" i="1"/>
  <c r="Y224" i="1" s="1"/>
  <c r="E225" i="1" l="1"/>
  <c r="B226" i="1"/>
  <c r="V225" i="1"/>
  <c r="Y225" i="1" s="1"/>
  <c r="B227" i="1" l="1"/>
  <c r="E226" i="1"/>
  <c r="V226" i="1"/>
  <c r="G226" i="1" l="1"/>
  <c r="E219" i="1"/>
  <c r="Y226" i="1"/>
  <c r="Z226" i="1"/>
  <c r="Z219" i="1" s="1"/>
  <c r="Z206" i="1" s="1"/>
  <c r="Z227" i="1" s="1"/>
  <c r="Z253" i="1" s="1"/>
  <c r="Z308" i="1" s="1"/>
  <c r="Z310" i="1" s="1"/>
  <c r="Z317" i="1" s="1"/>
  <c r="B228" i="1"/>
  <c r="V227" i="1"/>
  <c r="E227" i="1"/>
  <c r="V228" i="1" l="1"/>
  <c r="B229" i="1"/>
  <c r="AA226" i="1"/>
  <c r="Y219" i="1"/>
  <c r="Y206" i="1" s="1"/>
  <c r="Y227" i="1" s="1"/>
  <c r="H226" i="1"/>
  <c r="G219" i="1"/>
  <c r="H219" i="1" l="1"/>
  <c r="G206" i="1"/>
  <c r="G227" i="1" s="1"/>
  <c r="AB226" i="1"/>
  <c r="AA219" i="1"/>
  <c r="B230" i="1"/>
  <c r="E229" i="1"/>
  <c r="V229" i="1"/>
  <c r="Y229" i="1" s="1"/>
  <c r="E230" i="1" l="1"/>
  <c r="V230" i="1"/>
  <c r="Y230" i="1" s="1"/>
  <c r="B231" i="1"/>
  <c r="G253" i="1"/>
  <c r="H227" i="1"/>
  <c r="AB219" i="1"/>
  <c r="AA206" i="1"/>
  <c r="G308" i="1" l="1"/>
  <c r="H253" i="1"/>
  <c r="V231" i="1"/>
  <c r="Y231" i="1" s="1"/>
  <c r="B232" i="1"/>
  <c r="E231" i="1"/>
  <c r="AB206" i="1"/>
  <c r="AA227" i="1"/>
  <c r="G310" i="1" l="1"/>
  <c r="H308" i="1"/>
  <c r="G318" i="1"/>
  <c r="H318" i="1" s="1"/>
  <c r="AA253" i="1"/>
  <c r="AB227" i="1"/>
  <c r="B233" i="1"/>
  <c r="E232" i="1"/>
  <c r="V232" i="1"/>
  <c r="Y232" i="1" s="1"/>
  <c r="AA308" i="1" l="1"/>
  <c r="AB253" i="1"/>
  <c r="E233" i="1"/>
  <c r="V233" i="1"/>
  <c r="Y233" i="1" s="1"/>
  <c r="B234" i="1"/>
  <c r="G317" i="1"/>
  <c r="H317" i="1" s="1"/>
  <c r="H310" i="1"/>
  <c r="V234" i="1" l="1"/>
  <c r="Y234" i="1" s="1"/>
  <c r="B235" i="1"/>
  <c r="E234" i="1"/>
  <c r="AB308" i="1"/>
  <c r="AA318" i="1"/>
  <c r="AB318" i="1" s="1"/>
  <c r="AA310" i="1"/>
  <c r="AB310" i="1" l="1"/>
  <c r="AA317" i="1"/>
  <c r="AB317" i="1" s="1"/>
  <c r="B236" i="1"/>
  <c r="E235" i="1"/>
  <c r="V235" i="1"/>
  <c r="Y235" i="1" s="1"/>
  <c r="V236" i="1" l="1"/>
  <c r="Y236" i="1" s="1"/>
  <c r="E236" i="1"/>
  <c r="B237" i="1"/>
  <c r="B238" i="1" l="1"/>
  <c r="E237" i="1"/>
  <c r="V237" i="1"/>
  <c r="Y237" i="1" s="1"/>
  <c r="E238" i="1" l="1"/>
  <c r="V238" i="1"/>
  <c r="Y238" i="1" s="1"/>
  <c r="B239" i="1"/>
  <c r="V239" i="1" l="1"/>
  <c r="Y239" i="1" s="1"/>
  <c r="B240" i="1"/>
  <c r="E239" i="1"/>
  <c r="B241" i="1" l="1"/>
  <c r="E240" i="1"/>
  <c r="V240" i="1"/>
  <c r="Y240" i="1" s="1"/>
  <c r="E241" i="1" l="1"/>
  <c r="V241" i="1"/>
  <c r="Y241" i="1" s="1"/>
  <c r="B242" i="1"/>
  <c r="V242" i="1" l="1"/>
  <c r="Y242" i="1" s="1"/>
  <c r="B243" i="1"/>
  <c r="E242" i="1"/>
  <c r="B244" i="1" l="1"/>
  <c r="E243" i="1"/>
  <c r="V243" i="1"/>
  <c r="Y243" i="1" s="1"/>
  <c r="V244" i="1" l="1"/>
  <c r="Y244" i="1" s="1"/>
  <c r="E244" i="1"/>
  <c r="B245" i="1"/>
  <c r="B246" i="1" l="1"/>
  <c r="E245" i="1"/>
  <c r="V245" i="1"/>
  <c r="Y245" i="1" s="1"/>
  <c r="E246" i="1" l="1"/>
  <c r="V246" i="1"/>
  <c r="Y246" i="1" s="1"/>
  <c r="B247" i="1"/>
  <c r="V247" i="1" l="1"/>
  <c r="Y247" i="1" s="1"/>
  <c r="B248" i="1"/>
  <c r="E247" i="1"/>
  <c r="B249" i="1" l="1"/>
  <c r="E248" i="1"/>
  <c r="V248" i="1"/>
  <c r="Y248" i="1" s="1"/>
  <c r="E249" i="1" l="1"/>
  <c r="V249" i="1"/>
  <c r="Y249" i="1" s="1"/>
  <c r="B250" i="1"/>
  <c r="V250" i="1" l="1"/>
  <c r="Y250" i="1" s="1"/>
  <c r="B251" i="1"/>
  <c r="E250" i="1"/>
  <c r="B252" i="1" l="1"/>
  <c r="E251" i="1"/>
  <c r="V251" i="1"/>
  <c r="Y251" i="1" s="1"/>
  <c r="V252" i="1" l="1"/>
  <c r="Y252" i="1" s="1"/>
  <c r="Y228" i="1" s="1"/>
  <c r="Y253" i="1" s="1"/>
  <c r="E252" i="1"/>
  <c r="E228" i="1" s="1"/>
  <c r="E253" i="1" s="1"/>
  <c r="B253" i="1"/>
  <c r="B254" i="1" l="1"/>
  <c r="V253" i="1"/>
  <c r="V254" i="1" l="1"/>
  <c r="B255" i="1"/>
  <c r="V255" i="1" l="1"/>
  <c r="Y255" i="1" s="1"/>
  <c r="B256" i="1"/>
  <c r="E255" i="1"/>
  <c r="B257" i="1" l="1"/>
  <c r="E256" i="1"/>
  <c r="V256" i="1"/>
  <c r="Y256" i="1" s="1"/>
  <c r="Y254" i="1" s="1"/>
  <c r="B258" i="1" l="1"/>
  <c r="E257" i="1"/>
  <c r="V257" i="1"/>
  <c r="V258" i="1" l="1"/>
  <c r="B259" i="1"/>
  <c r="E258" i="1"/>
  <c r="V259" i="1" l="1"/>
  <c r="B260" i="1"/>
  <c r="E259" i="1"/>
  <c r="V260" i="1" l="1"/>
  <c r="B261" i="1"/>
  <c r="E260" i="1"/>
  <c r="V261" i="1" l="1"/>
  <c r="B262" i="1"/>
  <c r="V262" i="1" l="1"/>
  <c r="B263" i="1"/>
  <c r="E262" i="1"/>
  <c r="E254" i="1" s="1"/>
  <c r="V263" i="1" l="1"/>
  <c r="B264" i="1"/>
  <c r="E264" i="1" l="1"/>
  <c r="V264" i="1"/>
  <c r="Y264" i="1" s="1"/>
  <c r="B265" i="1"/>
  <c r="V265" i="1" l="1"/>
  <c r="Y265" i="1" s="1"/>
  <c r="B266" i="1"/>
  <c r="E265" i="1"/>
  <c r="B267" i="1" l="1"/>
  <c r="E266" i="1"/>
  <c r="V266" i="1"/>
  <c r="Y266" i="1" s="1"/>
  <c r="V267" i="1" l="1"/>
  <c r="Y267" i="1" s="1"/>
  <c r="E267" i="1"/>
  <c r="B268" i="1"/>
  <c r="B269" i="1" l="1"/>
  <c r="E268" i="1"/>
  <c r="V268" i="1"/>
  <c r="Y268" i="1" s="1"/>
  <c r="B270" i="1" l="1"/>
  <c r="E269" i="1"/>
  <c r="V269" i="1"/>
  <c r="Y269" i="1" s="1"/>
  <c r="E270" i="1" l="1"/>
  <c r="V270" i="1"/>
  <c r="Y270" i="1" s="1"/>
  <c r="B271" i="1"/>
  <c r="V271" i="1" l="1"/>
  <c r="Y271" i="1" s="1"/>
  <c r="E271" i="1"/>
  <c r="B272" i="1"/>
  <c r="B273" i="1" l="1"/>
  <c r="E272" i="1"/>
  <c r="V272" i="1"/>
  <c r="Y272" i="1" s="1"/>
  <c r="V273" i="1" l="1"/>
  <c r="Y273" i="1" s="1"/>
  <c r="E273" i="1"/>
  <c r="B274" i="1"/>
  <c r="B275" i="1" l="1"/>
  <c r="E274" i="1"/>
  <c r="V274" i="1"/>
  <c r="Y274" i="1" s="1"/>
  <c r="E275" i="1" l="1"/>
  <c r="V275" i="1"/>
  <c r="Y275" i="1" s="1"/>
  <c r="B276" i="1"/>
  <c r="V276" i="1" l="1"/>
  <c r="Y276" i="1" s="1"/>
  <c r="B277" i="1"/>
  <c r="E276" i="1"/>
  <c r="B278" i="1" l="1"/>
  <c r="V277" i="1"/>
  <c r="Y277" i="1" s="1"/>
  <c r="E277" i="1"/>
  <c r="B279" i="1" l="1"/>
  <c r="E278" i="1"/>
  <c r="V278" i="1"/>
  <c r="V279" i="1" l="1"/>
  <c r="Y279" i="1" s="1"/>
  <c r="Y263" i="1" s="1"/>
  <c r="B280" i="1"/>
  <c r="E279" i="1"/>
  <c r="E263" i="1" s="1"/>
  <c r="B281" i="1" l="1"/>
  <c r="V280" i="1"/>
  <c r="E281" i="1" l="1"/>
  <c r="V281" i="1"/>
  <c r="Y281" i="1" s="1"/>
  <c r="B282" i="1"/>
  <c r="V282" i="1" l="1"/>
  <c r="Y282" i="1" s="1"/>
  <c r="B283" i="1"/>
  <c r="E282" i="1"/>
  <c r="B284" i="1" l="1"/>
  <c r="V283" i="1"/>
  <c r="Y283" i="1" s="1"/>
  <c r="E283" i="1"/>
  <c r="E284" i="1" l="1"/>
  <c r="E280" i="1" s="1"/>
  <c r="B285" i="1"/>
  <c r="V284" i="1"/>
  <c r="Y284" i="1" s="1"/>
  <c r="V285" i="1" l="1"/>
  <c r="E285" i="1"/>
  <c r="B286" i="1"/>
  <c r="V286" i="1" l="1"/>
  <c r="E286" i="1"/>
  <c r="B287" i="1"/>
  <c r="V287" i="1" l="1"/>
  <c r="Y287" i="1" s="1"/>
  <c r="B288" i="1"/>
  <c r="E287" i="1"/>
  <c r="V288" i="1" l="1"/>
  <c r="B289" i="1"/>
  <c r="V289" i="1" l="1"/>
  <c r="E289" i="1"/>
  <c r="B290" i="1"/>
  <c r="B291" i="1" l="1"/>
  <c r="E290" i="1"/>
  <c r="V290" i="1"/>
  <c r="Y290" i="1" s="1"/>
  <c r="Y280" i="1" s="1"/>
  <c r="V291" i="1" l="1"/>
  <c r="B292" i="1"/>
  <c r="V292" i="1" l="1"/>
  <c r="Y292" i="1" s="1"/>
  <c r="B293" i="1"/>
  <c r="E292" i="1"/>
  <c r="B294" i="1" l="1"/>
  <c r="V293" i="1"/>
  <c r="Y293" i="1" s="1"/>
  <c r="E293" i="1"/>
  <c r="E294" i="1" l="1"/>
  <c r="B295" i="1"/>
  <c r="V294" i="1"/>
  <c r="Y294" i="1" s="1"/>
  <c r="V295" i="1" l="1"/>
  <c r="Y295" i="1" s="1"/>
  <c r="B296" i="1"/>
  <c r="E295" i="1"/>
  <c r="E296" i="1" l="1"/>
  <c r="V296" i="1"/>
  <c r="Y296" i="1" s="1"/>
  <c r="B297" i="1"/>
  <c r="V297" i="1" l="1"/>
  <c r="Y297" i="1" s="1"/>
  <c r="B298" i="1"/>
  <c r="B299" i="1" s="1"/>
  <c r="E297" i="1"/>
  <c r="V299" i="1" l="1"/>
  <c r="Y299" i="1" s="1"/>
  <c r="E299" i="1"/>
  <c r="B300" i="1"/>
  <c r="B301" i="1" l="1"/>
  <c r="E300" i="1"/>
  <c r="V300" i="1"/>
  <c r="Y300" i="1" s="1"/>
  <c r="V301" i="1" l="1"/>
  <c r="Y301" i="1" s="1"/>
  <c r="B302" i="1"/>
  <c r="E301" i="1"/>
  <c r="B303" i="1" l="1"/>
  <c r="E302" i="1"/>
  <c r="V302" i="1"/>
  <c r="Y302" i="1" s="1"/>
  <c r="E303" i="1" l="1"/>
  <c r="V303" i="1"/>
  <c r="Y303" i="1" s="1"/>
  <c r="B304" i="1"/>
  <c r="V304" i="1" l="1"/>
  <c r="Y304" i="1" s="1"/>
  <c r="B305" i="1"/>
  <c r="E304" i="1"/>
  <c r="B306" i="1" l="1"/>
  <c r="E305" i="1"/>
  <c r="V305" i="1"/>
  <c r="Y305" i="1" s="1"/>
  <c r="B307" i="1" l="1"/>
  <c r="E306" i="1"/>
  <c r="V306" i="1"/>
  <c r="E307" i="1" l="1"/>
  <c r="E291" i="1" s="1"/>
  <c r="E308" i="1" s="1"/>
  <c r="V307" i="1"/>
  <c r="Y307" i="1" s="1"/>
  <c r="Y291" i="1" s="1"/>
  <c r="Y308" i="1" s="1"/>
  <c r="B308" i="1"/>
  <c r="B309" i="1" l="1"/>
  <c r="V308" i="1"/>
  <c r="V309" i="1" l="1"/>
  <c r="Y309" i="1" s="1"/>
  <c r="Y310" i="1" s="1"/>
  <c r="E309" i="1"/>
  <c r="E310" i="1" s="1"/>
  <c r="B310" i="1"/>
  <c r="V310" i="1" l="1"/>
  <c r="B311" i="1"/>
  <c r="V311" i="1" l="1"/>
  <c r="B312" i="1"/>
  <c r="E312" i="1" l="1"/>
  <c r="V312" i="1"/>
  <c r="Y312" i="1" s="1"/>
  <c r="B313" i="1"/>
  <c r="B314" i="1" l="1"/>
  <c r="V313" i="1"/>
  <c r="B315" i="1" l="1"/>
  <c r="E314" i="1"/>
  <c r="V314" i="1"/>
  <c r="E315" i="1" l="1"/>
  <c r="B316" i="1"/>
  <c r="V315" i="1"/>
  <c r="Y315" i="1" s="1"/>
  <c r="V316" i="1" l="1"/>
  <c r="Y316" i="1" s="1"/>
  <c r="Y311" i="1" s="1"/>
  <c r="Y317" i="1" s="1"/>
  <c r="E316" i="1"/>
  <c r="B317" i="1"/>
  <c r="E311" i="1"/>
  <c r="E317" i="1" s="1"/>
  <c r="B318" i="1" l="1"/>
  <c r="V317" i="1"/>
  <c r="V318" i="1" l="1"/>
  <c r="B319" i="1"/>
  <c r="V319" i="1" l="1"/>
  <c r="B320" i="1"/>
  <c r="B321" i="1" l="1"/>
  <c r="V320" i="1"/>
  <c r="Y320" i="1" s="1"/>
  <c r="E320" i="1"/>
  <c r="V321" i="1" l="1"/>
  <c r="Y321" i="1" s="1"/>
  <c r="B322" i="1"/>
  <c r="E321" i="1"/>
  <c r="V322" i="1" l="1"/>
  <c r="Y322" i="1" s="1"/>
  <c r="E322" i="1"/>
  <c r="B323" i="1"/>
  <c r="V323" i="1" l="1"/>
  <c r="Y323" i="1" s="1"/>
  <c r="AA323" i="1" s="1"/>
  <c r="E323" i="1"/>
  <c r="G323" i="1" s="1"/>
  <c r="B324" i="1"/>
  <c r="H323" i="1" l="1"/>
  <c r="G319" i="1"/>
  <c r="E319" i="1"/>
  <c r="V324" i="1"/>
  <c r="E324" i="1"/>
  <c r="G324" i="1" s="1"/>
  <c r="H324" i="1" s="1"/>
  <c r="B325" i="1"/>
  <c r="AB323" i="1"/>
  <c r="AA319" i="1"/>
  <c r="Y319" i="1"/>
  <c r="AB319" i="1" l="1"/>
  <c r="Y324" i="1"/>
  <c r="AA324" i="1" s="1"/>
  <c r="AB324" i="1" s="1"/>
  <c r="Z324" i="1"/>
  <c r="H319" i="1"/>
  <c r="V325" i="1"/>
  <c r="B326" i="1"/>
  <c r="E325" i="1"/>
  <c r="G325" i="1" s="1"/>
  <c r="H325" i="1" s="1"/>
  <c r="Y325" i="1" l="1"/>
  <c r="AA325" i="1" s="1"/>
  <c r="AB325" i="1" s="1"/>
  <c r="Z325" i="1"/>
  <c r="Z323" i="1"/>
  <c r="Z319" i="1" s="1"/>
  <c r="B327" i="1"/>
  <c r="V326" i="1"/>
  <c r="B328" i="1" l="1"/>
  <c r="V327" i="1"/>
  <c r="Y327" i="1" s="1"/>
  <c r="E327" i="1"/>
  <c r="V328" i="1" l="1"/>
  <c r="Y328" i="1" s="1"/>
  <c r="B329" i="1"/>
  <c r="E328" i="1"/>
  <c r="B330" i="1" l="1"/>
  <c r="E329" i="1"/>
  <c r="V329" i="1"/>
  <c r="Y329" i="1" s="1"/>
  <c r="B331" i="1" l="1"/>
  <c r="V330" i="1"/>
  <c r="E330" i="1"/>
  <c r="G330" i="1" s="1"/>
  <c r="E326" i="1" l="1"/>
  <c r="Y330" i="1"/>
  <c r="Z330" i="1"/>
  <c r="Z326" i="1" s="1"/>
  <c r="Z357" i="1" s="1"/>
  <c r="H330" i="1"/>
  <c r="G326" i="1"/>
  <c r="V331" i="1"/>
  <c r="B332" i="1"/>
  <c r="V332" i="1" l="1"/>
  <c r="Y332" i="1" s="1"/>
  <c r="B333" i="1"/>
  <c r="E332" i="1"/>
  <c r="H326" i="1"/>
  <c r="G357" i="1"/>
  <c r="AA330" i="1"/>
  <c r="Y326" i="1"/>
  <c r="AB330" i="1" l="1"/>
  <c r="AA326" i="1"/>
  <c r="H357" i="1"/>
  <c r="G365" i="1"/>
  <c r="H365" i="1" s="1"/>
  <c r="E333" i="1"/>
  <c r="V333" i="1"/>
  <c r="Y333" i="1" s="1"/>
  <c r="B334" i="1"/>
  <c r="AB326" i="1" l="1"/>
  <c r="AA357" i="1"/>
  <c r="V334" i="1"/>
  <c r="Y334" i="1" s="1"/>
  <c r="E334" i="1"/>
  <c r="B335" i="1"/>
  <c r="B336" i="1" l="1"/>
  <c r="E335" i="1"/>
  <c r="E331" i="1" s="1"/>
  <c r="V335" i="1"/>
  <c r="Y335" i="1" s="1"/>
  <c r="Y331" i="1" s="1"/>
  <c r="AB357" i="1"/>
  <c r="V336" i="1" l="1"/>
  <c r="B337" i="1"/>
  <c r="V337" i="1" l="1"/>
  <c r="Y337" i="1" s="1"/>
  <c r="E337" i="1"/>
  <c r="B338" i="1"/>
  <c r="V338" i="1" l="1"/>
  <c r="Y338" i="1" s="1"/>
  <c r="B339" i="1"/>
  <c r="E338" i="1"/>
  <c r="B340" i="1" l="1"/>
  <c r="E339" i="1"/>
  <c r="V339" i="1"/>
  <c r="Y339" i="1" s="1"/>
  <c r="E340" i="1" l="1"/>
  <c r="V340" i="1"/>
  <c r="Y340" i="1" s="1"/>
  <c r="B341" i="1"/>
  <c r="B342" i="1" s="1"/>
  <c r="B343" i="1" l="1"/>
  <c r="E342" i="1"/>
  <c r="V342" i="1"/>
  <c r="Y342" i="1" s="1"/>
  <c r="B344" i="1" l="1"/>
  <c r="V343" i="1"/>
  <c r="B345" i="1" l="1"/>
  <c r="E344" i="1"/>
  <c r="V344" i="1"/>
  <c r="Y344" i="1" s="1"/>
  <c r="B346" i="1" l="1"/>
  <c r="E345" i="1"/>
  <c r="V345" i="1"/>
  <c r="Y345" i="1" s="1"/>
  <c r="V346" i="1" l="1"/>
  <c r="Y346" i="1" s="1"/>
  <c r="B347" i="1"/>
  <c r="E346" i="1"/>
  <c r="V347" i="1" l="1"/>
  <c r="Y347" i="1" s="1"/>
  <c r="B348" i="1"/>
  <c r="E347" i="1"/>
  <c r="B349" i="1" l="1"/>
  <c r="E348" i="1"/>
  <c r="V348" i="1"/>
  <c r="Y348" i="1" s="1"/>
  <c r="B350" i="1" l="1"/>
  <c r="E349" i="1"/>
  <c r="V349" i="1"/>
  <c r="Y349" i="1" s="1"/>
  <c r="V350" i="1" l="1"/>
  <c r="Y350" i="1" s="1"/>
  <c r="B351" i="1"/>
  <c r="E350" i="1"/>
  <c r="V351" i="1" l="1"/>
  <c r="Y351" i="1" s="1"/>
  <c r="B352" i="1"/>
  <c r="E351" i="1"/>
  <c r="B353" i="1" l="1"/>
  <c r="E352" i="1"/>
  <c r="V352" i="1"/>
  <c r="Y352" i="1" s="1"/>
  <c r="B354" i="1" l="1"/>
  <c r="E353" i="1"/>
  <c r="V353" i="1"/>
  <c r="Y353" i="1" s="1"/>
  <c r="V354" i="1" l="1"/>
  <c r="Y354" i="1" s="1"/>
  <c r="B355" i="1"/>
  <c r="E354" i="1"/>
  <c r="V355" i="1" l="1"/>
  <c r="Y355" i="1" s="1"/>
  <c r="B356" i="1"/>
  <c r="E355" i="1"/>
  <c r="B357" i="1" l="1"/>
  <c r="E356" i="1"/>
  <c r="E336" i="1" s="1"/>
  <c r="V356" i="1"/>
  <c r="Y356" i="1" s="1"/>
  <c r="Y336" i="1" s="1"/>
  <c r="Y357" i="1" s="1"/>
  <c r="E357" i="1" l="1"/>
  <c r="B358" i="1"/>
  <c r="V357" i="1"/>
  <c r="B359" i="1" l="1"/>
  <c r="V358" i="1"/>
  <c r="Y358" i="1" s="1"/>
  <c r="E358" i="1"/>
  <c r="B360" i="1" l="1"/>
  <c r="V359" i="1"/>
  <c r="E359" i="1"/>
  <c r="F359" i="1"/>
  <c r="F365" i="1" s="1"/>
  <c r="Y359" i="1" l="1"/>
  <c r="Z359" i="1"/>
  <c r="Z365" i="1" s="1"/>
  <c r="E360" i="1"/>
  <c r="G360" i="1" s="1"/>
  <c r="H360" i="1" s="1"/>
  <c r="V360" i="1"/>
  <c r="B361" i="1"/>
  <c r="F360" i="1"/>
  <c r="V361" i="1" l="1"/>
  <c r="B362" i="1"/>
  <c r="E361" i="1"/>
  <c r="G361" i="1" s="1"/>
  <c r="H361" i="1" s="1"/>
  <c r="F361" i="1"/>
  <c r="Y360" i="1"/>
  <c r="AA360" i="1" s="1"/>
  <c r="AB360" i="1" s="1"/>
  <c r="Z360" i="1"/>
  <c r="AA359" i="1"/>
  <c r="AB359" i="1" l="1"/>
  <c r="AA365" i="1"/>
  <c r="AB365" i="1" s="1"/>
  <c r="B363" i="1"/>
  <c r="E362" i="1"/>
  <c r="G362" i="1" s="1"/>
  <c r="H362" i="1" s="1"/>
  <c r="V362" i="1"/>
  <c r="F362" i="1"/>
  <c r="Y361" i="1"/>
  <c r="AA361" i="1" s="1"/>
  <c r="AB361" i="1" s="1"/>
  <c r="Z361" i="1"/>
  <c r="Y362" i="1" l="1"/>
  <c r="AA362" i="1" s="1"/>
  <c r="AB362" i="1" s="1"/>
  <c r="Z362" i="1"/>
  <c r="V363" i="1"/>
  <c r="E363" i="1"/>
  <c r="G363" i="1" s="1"/>
  <c r="H363" i="1" s="1"/>
  <c r="B364" i="1"/>
  <c r="F363" i="1"/>
  <c r="Y363" i="1" l="1"/>
  <c r="AA363" i="1" s="1"/>
  <c r="AB363" i="1" s="1"/>
  <c r="Z363" i="1"/>
  <c r="B365" i="1"/>
  <c r="E364" i="1"/>
  <c r="V364" i="1"/>
  <c r="Y364" i="1" s="1"/>
  <c r="Y365" i="1" s="1"/>
  <c r="V365" i="1" l="1"/>
  <c r="E36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C29" authorId="0" shapeId="0" xr:uid="{64052EF9-34FA-4968-8109-906E0B0C6AE7}">
      <text>
        <r>
          <rPr>
            <b/>
            <sz val="9"/>
            <color indexed="81"/>
            <rFont val="돋움"/>
            <family val="3"/>
            <charset val="129"/>
          </rPr>
          <t>수불부상</t>
        </r>
        <r>
          <rPr>
            <b/>
            <sz val="9"/>
            <color indexed="81"/>
            <rFont val="Tahoma"/>
            <family val="2"/>
          </rPr>
          <t xml:space="preserve"> roh+hawa</t>
        </r>
        <r>
          <rPr>
            <b/>
            <sz val="9"/>
            <color indexed="81"/>
            <rFont val="돋움"/>
            <family val="3"/>
            <charset val="129"/>
          </rPr>
          <t>합계</t>
        </r>
      </text>
    </comment>
    <comment ref="C197" authorId="0" shapeId="0" xr:uid="{D54576C7-0233-4814-B38A-F21D6EB60E8E}">
      <text>
        <r>
          <rPr>
            <b/>
            <sz val="9"/>
            <color indexed="81"/>
            <rFont val="돋움"/>
            <family val="3"/>
            <charset val="129"/>
          </rPr>
          <t xml:space="preserve">매출원가 파일에서 6번(원재료) 7번(부재료) 구분한 매추액
</t>
        </r>
      </text>
    </comment>
    <comment ref="T197" authorId="0" shapeId="0" xr:uid="{A380D9BF-F336-4773-9BD7-5DA4A9F89735}">
      <text>
        <r>
          <rPr>
            <b/>
            <sz val="9"/>
            <color indexed="81"/>
            <rFont val="Tahoma"/>
            <family val="2"/>
          </rPr>
          <t xml:space="preserve">byniq </t>
        </r>
        <r>
          <rPr>
            <b/>
            <sz val="9"/>
            <color indexed="81"/>
            <rFont val="돋움"/>
            <family val="3"/>
            <charset val="129"/>
          </rPr>
          <t>매출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오류건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>(1,174,418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C214" authorId="0" shapeId="0" xr:uid="{71DE50B0-3217-4DBD-9F58-B7259C6D4E46}">
      <text>
        <r>
          <rPr>
            <b/>
            <sz val="9"/>
            <color indexed="81"/>
            <rFont val="돋움"/>
            <family val="3"/>
            <charset val="129"/>
          </rPr>
          <t>아이큐어 재고수불부의 출고금액 중 매출제외한 QC목적으로 출고된 금액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1" authorId="0" shapeId="0" xr:uid="{9C6024C1-7C45-4875-B587-E3E6CC135B58}">
      <text>
        <r>
          <rPr>
            <b/>
            <sz val="10"/>
            <color indexed="81"/>
            <rFont val="Tahoma"/>
            <family val="2"/>
          </rPr>
          <t xml:space="preserve">BTI </t>
        </r>
        <r>
          <rPr>
            <b/>
            <sz val="10"/>
            <color indexed="81"/>
            <rFont val="돋움"/>
            <family val="3"/>
            <charset val="129"/>
          </rPr>
          <t>자재수불부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구매입고</t>
        </r>
        <r>
          <rPr>
            <b/>
            <sz val="10"/>
            <color indexed="81"/>
            <rFont val="Tahoma"/>
            <family val="2"/>
          </rPr>
          <t>(</t>
        </r>
        <r>
          <rPr>
            <b/>
            <sz val="10"/>
            <color indexed="81"/>
            <rFont val="돋움"/>
            <family val="3"/>
            <charset val="129"/>
          </rPr>
          <t>실제</t>
        </r>
        <r>
          <rPr>
            <b/>
            <sz val="10"/>
            <color indexed="81"/>
            <rFont val="Tahoma"/>
            <family val="2"/>
          </rPr>
          <t xml:space="preserve">)(HAWA+ROH+ROH1)
+ </t>
        </r>
        <r>
          <rPr>
            <b/>
            <sz val="10"/>
            <color indexed="81"/>
            <rFont val="돋움"/>
            <family val="3"/>
            <charset val="129"/>
          </rPr>
          <t>아이큐어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수불부의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대체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출고금액</t>
        </r>
        <r>
          <rPr>
            <b/>
            <sz val="10"/>
            <color indexed="81"/>
            <rFont val="Tahoma"/>
            <family val="2"/>
          </rPr>
          <t xml:space="preserve"> (</t>
        </r>
        <r>
          <rPr>
            <b/>
            <sz val="10"/>
            <color indexed="81"/>
            <rFont val="돋움"/>
            <family val="3"/>
            <charset val="129"/>
          </rPr>
          <t>원재료</t>
        </r>
        <r>
          <rPr>
            <b/>
            <sz val="10"/>
            <color indexed="81"/>
            <rFont val="Tahoma"/>
            <family val="2"/>
          </rPr>
          <t>-&gt;</t>
        </r>
        <r>
          <rPr>
            <b/>
            <sz val="10"/>
            <color indexed="81"/>
            <rFont val="돋움"/>
            <family val="3"/>
            <charset val="129"/>
          </rPr>
          <t>상품</t>
        </r>
        <r>
          <rPr>
            <b/>
            <sz val="10"/>
            <color indexed="81"/>
            <rFont val="Tahoma"/>
            <family val="2"/>
          </rPr>
          <t>)</t>
        </r>
      </text>
    </comment>
    <comment ref="J221" authorId="0" shapeId="0" xr:uid="{6508FBEA-CEDA-4EA3-9ED2-22D3BFE21716}">
      <text>
        <r>
          <rPr>
            <b/>
            <sz val="9"/>
            <color indexed="81"/>
            <rFont val="돋움"/>
            <family val="3"/>
            <charset val="129"/>
          </rPr>
          <t xml:space="preserve">자재수불부매입액 4,318,728,841
+ 원재료→ 상품 대체(매각)금액 52,544 (아이큐어 원재료수불부)
</t>
        </r>
      </text>
    </comment>
    <comment ref="C222" authorId="0" shapeId="0" xr:uid="{869A0B44-6185-4C9B-98EC-69DCB107D9C8}">
      <text>
        <r>
          <rPr>
            <b/>
            <sz val="11"/>
            <color indexed="81"/>
            <rFont val="돋움"/>
            <family val="3"/>
            <charset val="129"/>
          </rPr>
          <t>재고자산평가손실(합잔에서확인)</t>
        </r>
      </text>
    </comment>
    <comment ref="C223" authorId="0" shapeId="0" xr:uid="{571E762F-70C2-430F-B7BE-86C57E4633EC}">
      <text>
        <r>
          <rPr>
            <b/>
            <sz val="11"/>
            <color indexed="81"/>
            <rFont val="돋움"/>
            <family val="3"/>
            <charset val="129"/>
          </rPr>
          <t>상품매출원가</t>
        </r>
        <r>
          <rPr>
            <b/>
            <sz val="11"/>
            <color indexed="81"/>
            <rFont val="Tahoma"/>
            <family val="2"/>
          </rPr>
          <t>_</t>
        </r>
        <r>
          <rPr>
            <b/>
            <sz val="11"/>
            <color indexed="81"/>
            <rFont val="돋움"/>
            <family val="3"/>
            <charset val="129"/>
          </rPr>
          <t>정산차이
상품매출원가</t>
        </r>
        <r>
          <rPr>
            <b/>
            <sz val="11"/>
            <color indexed="81"/>
            <rFont val="Tahoma"/>
            <family val="2"/>
          </rPr>
          <t>_</t>
        </r>
        <r>
          <rPr>
            <b/>
            <sz val="11"/>
            <color indexed="81"/>
            <rFont val="돋움"/>
            <family val="3"/>
            <charset val="129"/>
          </rPr>
          <t>클레임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b/>
            <sz val="11"/>
            <color indexed="81"/>
            <rFont val="돋움"/>
            <family val="3"/>
            <charset val="129"/>
          </rPr>
          <t>원가마감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후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상품매출원가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조정금액</t>
        </r>
        <r>
          <rPr>
            <b/>
            <sz val="11"/>
            <color indexed="81"/>
            <rFont val="Tahoma"/>
            <family val="2"/>
          </rPr>
          <t>(</t>
        </r>
        <r>
          <rPr>
            <b/>
            <sz val="11"/>
            <color indexed="81"/>
            <rFont val="돋움"/>
            <family val="3"/>
            <charset val="129"/>
          </rPr>
          <t>아이큐어</t>
        </r>
        <r>
          <rPr>
            <b/>
            <sz val="11"/>
            <color indexed="81"/>
            <rFont val="Tahoma"/>
            <family val="2"/>
          </rPr>
          <t xml:space="preserve"> prt._25</t>
        </r>
        <r>
          <rPr>
            <b/>
            <sz val="11"/>
            <color indexed="81"/>
            <rFont val="돋움"/>
            <family val="3"/>
            <charset val="129"/>
          </rPr>
          <t>년</t>
        </r>
        <r>
          <rPr>
            <b/>
            <sz val="11"/>
            <color indexed="81"/>
            <rFont val="Tahoma"/>
            <family val="2"/>
          </rPr>
          <t xml:space="preserve"> 2</t>
        </r>
        <r>
          <rPr>
            <b/>
            <sz val="11"/>
            <color indexed="81"/>
            <rFont val="돋움"/>
            <family val="3"/>
            <charset val="129"/>
          </rPr>
          <t>월부터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적용</t>
        </r>
        <r>
          <rPr>
            <b/>
            <sz val="11"/>
            <color indexed="81"/>
            <rFont val="Tahoma"/>
            <family val="2"/>
          </rPr>
          <t>)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b/>
            <sz val="11"/>
            <color indexed="81"/>
            <rFont val="Tahoma"/>
            <family val="2"/>
          </rPr>
          <t xml:space="preserve">** </t>
        </r>
        <r>
          <rPr>
            <b/>
            <sz val="11"/>
            <color indexed="81"/>
            <rFont val="돋움"/>
            <family val="3"/>
            <charset val="129"/>
          </rPr>
          <t>위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금액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중</t>
        </r>
        <r>
          <rPr>
            <b/>
            <sz val="11"/>
            <color indexed="81"/>
            <rFont val="Tahoma"/>
            <family val="2"/>
          </rPr>
          <t xml:space="preserve"> (-)</t>
        </r>
        <r>
          <rPr>
            <b/>
            <sz val="11"/>
            <color indexed="81"/>
            <rFont val="돋움"/>
            <family val="3"/>
            <charset val="129"/>
          </rPr>
          <t>음수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계정은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타계정으로대체액으로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분류</t>
        </r>
        <r>
          <rPr>
            <sz val="11"/>
            <color indexed="81"/>
            <rFont val="돋움"/>
            <family val="3"/>
            <charset val="129"/>
          </rPr>
          <t xml:space="preserve">
</t>
        </r>
      </text>
    </comment>
    <comment ref="C224" authorId="0" shapeId="0" xr:uid="{70FB39DF-4148-4F90-BAF7-5BCBDE1AFCE3}">
      <text>
        <r>
          <rPr>
            <b/>
            <sz val="11"/>
            <color indexed="81"/>
            <rFont val="돋움"/>
            <family val="3"/>
            <charset val="129"/>
          </rPr>
          <t>판관</t>
        </r>
        <r>
          <rPr>
            <b/>
            <sz val="11"/>
            <color indexed="81"/>
            <rFont val="Tahoma"/>
            <family val="2"/>
          </rPr>
          <t>cc</t>
        </r>
        <r>
          <rPr>
            <b/>
            <sz val="11"/>
            <color indexed="81"/>
            <rFont val="돋움"/>
            <family val="3"/>
            <charset val="129"/>
          </rPr>
          <t>출고</t>
        </r>
        <r>
          <rPr>
            <b/>
            <sz val="11"/>
            <color indexed="81"/>
            <rFont val="Tahoma"/>
            <family val="2"/>
          </rPr>
          <t xml:space="preserve"> / </t>
        </r>
        <r>
          <rPr>
            <b/>
            <sz val="11"/>
            <color indexed="81"/>
            <rFont val="돋움"/>
            <family val="3"/>
            <charset val="129"/>
          </rPr>
          <t>제조</t>
        </r>
        <r>
          <rPr>
            <b/>
            <sz val="11"/>
            <color indexed="81"/>
            <rFont val="Tahoma"/>
            <family val="2"/>
          </rPr>
          <t>cc</t>
        </r>
        <r>
          <rPr>
            <b/>
            <sz val="11"/>
            <color indexed="81"/>
            <rFont val="돋움"/>
            <family val="3"/>
            <charset val="129"/>
          </rPr>
          <t xml:space="preserve">출고
</t>
        </r>
        <r>
          <rPr>
            <b/>
            <sz val="11"/>
            <color indexed="81"/>
            <rFont val="Tahoma"/>
            <family val="2"/>
          </rPr>
          <t xml:space="preserve">+
</t>
        </r>
        <r>
          <rPr>
            <b/>
            <sz val="11"/>
            <color indexed="81"/>
            <rFont val="돋움"/>
            <family val="3"/>
            <charset val="129"/>
          </rPr>
          <t>재고자산폐기손실</t>
        </r>
        <r>
          <rPr>
            <b/>
            <sz val="11"/>
            <color indexed="81"/>
            <rFont val="Tahoma"/>
            <family val="2"/>
          </rPr>
          <t>-</t>
        </r>
        <r>
          <rPr>
            <b/>
            <sz val="11"/>
            <color indexed="81"/>
            <rFont val="돋움"/>
            <family val="3"/>
            <charset val="129"/>
          </rPr>
          <t>상품</t>
        </r>
        <r>
          <rPr>
            <b/>
            <sz val="11"/>
            <color indexed="81"/>
            <rFont val="Tahoma"/>
            <family val="2"/>
          </rPr>
          <t>(</t>
        </r>
        <r>
          <rPr>
            <b/>
            <sz val="11"/>
            <color indexed="81"/>
            <rFont val="돋움"/>
            <family val="3"/>
            <charset val="129"/>
          </rPr>
          <t>기타</t>
        </r>
        <r>
          <rPr>
            <b/>
            <sz val="11"/>
            <color indexed="81"/>
            <rFont val="Tahoma"/>
            <family val="2"/>
          </rPr>
          <t>)</t>
        </r>
        <r>
          <rPr>
            <b/>
            <sz val="11"/>
            <color indexed="81"/>
            <rFont val="돋움"/>
            <family val="3"/>
            <charset val="129"/>
          </rPr>
          <t xml:space="preserve">
</t>
        </r>
      </text>
    </comment>
    <comment ref="C311" authorId="0" shapeId="0" xr:uid="{0E738887-F687-4939-9DC9-CC62CAE6A9EE}">
      <text>
        <r>
          <rPr>
            <b/>
            <sz val="9"/>
            <color indexed="81"/>
            <rFont val="돋움"/>
            <family val="3"/>
            <charset val="129"/>
          </rPr>
          <t>공시용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손익계산서의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기타포괄손익이랑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맞추기</t>
        </r>
      </text>
    </comment>
    <comment ref="J321" authorId="0" shapeId="0" xr:uid="{691FAC3E-FAFC-4E3B-9260-521F45DC27C2}">
      <text>
        <r>
          <rPr>
            <b/>
            <sz val="9"/>
            <color indexed="81"/>
            <rFont val="돋움"/>
            <family val="3"/>
            <charset val="129"/>
          </rPr>
          <t>아이큐어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비티아이
사업양수도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재고자산</t>
        </r>
      </text>
    </comment>
    <comment ref="J322" authorId="0" shapeId="0" xr:uid="{539C6906-0718-4386-BFB4-52BE4F4F599C}">
      <text>
        <r>
          <rPr>
            <b/>
            <sz val="9"/>
            <color indexed="81"/>
            <rFont val="돋움"/>
            <family val="3"/>
            <charset val="129"/>
          </rPr>
          <t>아이큐어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원재료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수불부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대체금액
소모품비</t>
        </r>
        <r>
          <rPr>
            <b/>
            <sz val="9"/>
            <color indexed="81"/>
            <rFont val="Tahoma"/>
            <family val="2"/>
          </rPr>
          <t xml:space="preserve"> 92,764
</t>
        </r>
        <r>
          <rPr>
            <b/>
            <sz val="9"/>
            <color indexed="81"/>
            <rFont val="돋움"/>
            <family val="3"/>
            <charset val="129"/>
          </rPr>
          <t>연구개발비</t>
        </r>
        <r>
          <rPr>
            <b/>
            <sz val="9"/>
            <color indexed="81"/>
            <rFont val="Tahoma"/>
            <family val="2"/>
          </rPr>
          <t xml:space="preserve"> 5,246,621
</t>
        </r>
        <r>
          <rPr>
            <b/>
            <sz val="9"/>
            <color indexed="81"/>
            <rFont val="돋움"/>
            <family val="3"/>
            <charset val="129"/>
          </rPr>
          <t>상품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대체</t>
        </r>
        <r>
          <rPr>
            <b/>
            <sz val="9"/>
            <color indexed="81"/>
            <rFont val="Tahoma"/>
            <family val="2"/>
          </rPr>
          <t xml:space="preserve"> 52,544</t>
        </r>
      </text>
    </comment>
    <comment ref="N322" authorId="0" shapeId="0" xr:uid="{1B81ED7A-4EED-467C-AD6D-83C151A3FBAE}">
      <text>
        <r>
          <rPr>
            <b/>
            <sz val="9"/>
            <color indexed="81"/>
            <rFont val="Tahoma"/>
            <family val="2"/>
          </rPr>
          <t>HG</t>
        </r>
        <r>
          <rPr>
            <b/>
            <sz val="9"/>
            <color indexed="81"/>
            <rFont val="돋움"/>
            <family val="3"/>
            <charset val="129"/>
          </rPr>
          <t>그룹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원재료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수불부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대체금액
소모품비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연구개발비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상품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대체</t>
        </r>
        <r>
          <rPr>
            <b/>
            <sz val="9"/>
            <color indexed="81"/>
            <rFont val="Tahoma"/>
            <family val="2"/>
          </rPr>
          <t xml:space="preserve"> 
+
6</t>
        </r>
        <r>
          <rPr>
            <b/>
            <sz val="9"/>
            <color indexed="81"/>
            <rFont val="돋움"/>
            <family val="3"/>
            <charset val="129"/>
          </rPr>
          <t>월말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코스맥스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잔여원재료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상계
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원재료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일반</t>
        </r>
        <r>
          <rPr>
            <b/>
            <sz val="9"/>
            <color indexed="81"/>
            <rFont val="Tahoma"/>
            <family val="2"/>
          </rPr>
          <t>)_</t>
        </r>
        <r>
          <rPr>
            <b/>
            <sz val="9"/>
            <color indexed="81"/>
            <rFont val="돋움"/>
            <family val="3"/>
            <charset val="129"/>
          </rPr>
          <t>수기조정용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322" authorId="0" shapeId="0" xr:uid="{C74A5D2A-C99C-4024-A057-7885BFC5B48C}">
      <text>
        <r>
          <rPr>
            <b/>
            <sz val="9"/>
            <color indexed="81"/>
            <rFont val="돋움"/>
            <family val="3"/>
            <charset val="129"/>
          </rPr>
          <t>HG그룹 원재료 수불부 대체금액
소모품비 
연구개발비 
상품 대체 
+
7월말 코스맥스 잔여원재료 상계
(원재료(일반)_수기조정용)</t>
        </r>
      </text>
    </comment>
    <comment ref="P322" authorId="0" shapeId="0" xr:uid="{6E9A5BB6-E883-497A-BA47-308E01332D97}">
      <text>
        <r>
          <rPr>
            <b/>
            <sz val="9"/>
            <color indexed="81"/>
            <rFont val="Tahoma"/>
            <family val="2"/>
          </rPr>
          <t>HG</t>
        </r>
        <r>
          <rPr>
            <b/>
            <sz val="9"/>
            <color indexed="81"/>
            <rFont val="돋움"/>
            <family val="3"/>
            <charset val="129"/>
          </rPr>
          <t>그룹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원재료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수불부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대체금액
소모품비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연구개발비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상품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대체</t>
        </r>
        <r>
          <rPr>
            <b/>
            <sz val="9"/>
            <color indexed="81"/>
            <rFont val="Tahoma"/>
            <family val="2"/>
          </rPr>
          <t xml:space="preserve"> 
+
8</t>
        </r>
        <r>
          <rPr>
            <b/>
            <sz val="9"/>
            <color indexed="81"/>
            <rFont val="돋움"/>
            <family val="3"/>
            <charset val="129"/>
          </rPr>
          <t>월말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코스맥스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잔여원재료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상계
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원재료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일반</t>
        </r>
        <r>
          <rPr>
            <b/>
            <sz val="9"/>
            <color indexed="81"/>
            <rFont val="Tahoma"/>
            <family val="2"/>
          </rPr>
          <t>)_</t>
        </r>
        <r>
          <rPr>
            <b/>
            <sz val="9"/>
            <color indexed="81"/>
            <rFont val="돋움"/>
            <family val="3"/>
            <charset val="129"/>
          </rPr>
          <t>수기조정용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322" authorId="0" shapeId="0" xr:uid="{89107AE5-21C0-4758-ABB1-0C8568B5D55A}">
      <text>
        <r>
          <rPr>
            <b/>
            <sz val="9"/>
            <color indexed="81"/>
            <rFont val="Tahoma"/>
            <family val="2"/>
          </rPr>
          <t>HG</t>
        </r>
        <r>
          <rPr>
            <b/>
            <sz val="9"/>
            <color indexed="81"/>
            <rFont val="돋움"/>
            <family val="3"/>
            <charset val="129"/>
          </rPr>
          <t>그룹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원재료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수불부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대체금액
소모품비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연구개발비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상품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대체</t>
        </r>
        <r>
          <rPr>
            <b/>
            <sz val="9"/>
            <color indexed="81"/>
            <rFont val="Tahoma"/>
            <family val="2"/>
          </rPr>
          <t xml:space="preserve"> 
+
9</t>
        </r>
        <r>
          <rPr>
            <b/>
            <sz val="9"/>
            <color indexed="81"/>
            <rFont val="돋움"/>
            <family val="3"/>
            <charset val="129"/>
          </rPr>
          <t>월말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코스맥스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잔여원재료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상계
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원재료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일반</t>
        </r>
        <r>
          <rPr>
            <b/>
            <sz val="9"/>
            <color indexed="81"/>
            <rFont val="Tahoma"/>
            <family val="2"/>
          </rPr>
          <t>)_</t>
        </r>
        <r>
          <rPr>
            <b/>
            <sz val="9"/>
            <color indexed="81"/>
            <rFont val="돋움"/>
            <family val="3"/>
            <charset val="129"/>
          </rPr>
          <t>수기조정용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R322" authorId="0" shapeId="0" xr:uid="{57E52E38-55AF-4D1B-88DE-B3607A9CCAA3}">
      <text>
        <r>
          <rPr>
            <b/>
            <sz val="9"/>
            <color indexed="81"/>
            <rFont val="Tahoma"/>
            <family val="2"/>
          </rPr>
          <t>HG</t>
        </r>
        <r>
          <rPr>
            <b/>
            <sz val="9"/>
            <color indexed="81"/>
            <rFont val="돋움"/>
            <family val="3"/>
            <charset val="129"/>
          </rPr>
          <t>그룹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원재료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수불부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대체금액
소모품비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연구개발비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상품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대체</t>
        </r>
        <r>
          <rPr>
            <b/>
            <sz val="9"/>
            <color indexed="81"/>
            <rFont val="Tahoma"/>
            <family val="2"/>
          </rPr>
          <t xml:space="preserve"> 
+
10</t>
        </r>
        <r>
          <rPr>
            <b/>
            <sz val="9"/>
            <color indexed="81"/>
            <rFont val="돋움"/>
            <family val="3"/>
            <charset val="129"/>
          </rPr>
          <t>월말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코스맥스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잔여원재료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상계
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원재료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일반</t>
        </r>
        <r>
          <rPr>
            <b/>
            <sz val="9"/>
            <color indexed="81"/>
            <rFont val="Tahoma"/>
            <family val="2"/>
          </rPr>
          <t>)_</t>
        </r>
        <r>
          <rPr>
            <b/>
            <sz val="9"/>
            <color indexed="81"/>
            <rFont val="돋움"/>
            <family val="3"/>
            <charset val="129"/>
          </rPr>
          <t>수기조정용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J328" authorId="0" shapeId="0" xr:uid="{69535C7B-BAA0-4758-8912-786C33A097E9}">
      <text>
        <r>
          <rPr>
            <b/>
            <sz val="9"/>
            <color indexed="81"/>
            <rFont val="돋움"/>
            <family val="3"/>
            <charset val="129"/>
          </rPr>
          <t>아이큐어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비티아이
사업양수도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재고자산</t>
        </r>
      </text>
    </comment>
    <comment ref="N333" authorId="0" shapeId="0" xr:uid="{F14A5C9B-253D-4D0D-A79B-605DB06779C7}">
      <text>
        <r>
          <rPr>
            <b/>
            <sz val="9"/>
            <color indexed="81"/>
            <rFont val="돋움"/>
            <family val="3"/>
            <charset val="129"/>
          </rPr>
          <t>아이큐어 원가마감으로 
SAP상에는 제품매출원가_클레임계정에 기입함</t>
        </r>
      </text>
    </comment>
    <comment ref="O333" authorId="0" shapeId="0" xr:uid="{BF1D5B86-BD46-4C80-9E5A-A7ACEA54ACB4}">
      <text>
        <r>
          <rPr>
            <b/>
            <sz val="9"/>
            <color indexed="81"/>
            <rFont val="돋움"/>
            <family val="3"/>
            <charset val="129"/>
          </rPr>
          <t>아이큐어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원가마감으로</t>
        </r>
        <r>
          <rPr>
            <b/>
            <sz val="9"/>
            <color indexed="81"/>
            <rFont val="Tahoma"/>
            <family val="2"/>
          </rPr>
          <t xml:space="preserve"> SAP</t>
        </r>
        <r>
          <rPr>
            <b/>
            <sz val="9"/>
            <color indexed="81"/>
            <rFont val="돋움"/>
            <family val="3"/>
            <charset val="129"/>
          </rPr>
          <t>상에는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제품매출원가</t>
        </r>
        <r>
          <rPr>
            <b/>
            <sz val="9"/>
            <color indexed="81"/>
            <rFont val="Tahoma"/>
            <family val="2"/>
          </rPr>
          <t>_</t>
        </r>
        <r>
          <rPr>
            <b/>
            <sz val="9"/>
            <color indexed="81"/>
            <rFont val="돋움"/>
            <family val="3"/>
            <charset val="129"/>
          </rPr>
          <t>클레임계정에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기입함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환원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sharedStrings.xml><?xml version="1.0" encoding="utf-8"?>
<sst xmlns="http://schemas.openxmlformats.org/spreadsheetml/2006/main" count="728" uniqueCount="395">
  <si>
    <t>코스맥스BTI</t>
    <phoneticPr fontId="10" type="noConversion"/>
  </si>
  <si>
    <t>25년</t>
    <phoneticPr fontId="3" type="noConversion"/>
  </si>
  <si>
    <t>24년</t>
    <phoneticPr fontId="10" type="noConversion"/>
  </si>
  <si>
    <t>계         정</t>
    <phoneticPr fontId="14" type="noConversion"/>
  </si>
  <si>
    <t>%</t>
    <phoneticPr fontId="3" type="noConversion"/>
  </si>
  <si>
    <t>자산</t>
    <phoneticPr fontId="10" type="noConversion"/>
  </si>
  <si>
    <t>유동자산</t>
    <phoneticPr fontId="10" type="noConversion"/>
  </si>
  <si>
    <t>현금및현금성자산</t>
    <phoneticPr fontId="10" type="noConversion"/>
  </si>
  <si>
    <t>현금</t>
    <phoneticPr fontId="10" type="noConversion"/>
  </si>
  <si>
    <t>예금</t>
    <phoneticPr fontId="10" type="noConversion"/>
  </si>
  <si>
    <t>정부보조금</t>
    <phoneticPr fontId="10" type="noConversion"/>
  </si>
  <si>
    <t>매출채권</t>
    <phoneticPr fontId="10" type="noConversion"/>
  </si>
  <si>
    <t>외상매출금</t>
    <phoneticPr fontId="10" type="noConversion"/>
  </si>
  <si>
    <t>외상매출금대손충당금</t>
    <phoneticPr fontId="10" type="noConversion"/>
  </si>
  <si>
    <t>받을어음</t>
    <phoneticPr fontId="10" type="noConversion"/>
  </si>
  <si>
    <t>받을어음대손충당금</t>
    <phoneticPr fontId="10" type="noConversion"/>
  </si>
  <si>
    <t>단기금융자산</t>
    <phoneticPr fontId="10" type="noConversion"/>
  </si>
  <si>
    <t>단기대여금</t>
    <phoneticPr fontId="10" type="noConversion"/>
  </si>
  <si>
    <t>대손상각비</t>
    <phoneticPr fontId="10" type="noConversion"/>
  </si>
  <si>
    <t>단기대여금대손충당금</t>
    <phoneticPr fontId="10" type="noConversion"/>
  </si>
  <si>
    <t>유동성장기대여금</t>
    <phoneticPr fontId="10" type="noConversion"/>
  </si>
  <si>
    <t>단기매매금융자산</t>
  </si>
  <si>
    <t>단기금융상품</t>
    <phoneticPr fontId="10" type="noConversion"/>
  </si>
  <si>
    <t>유동성장기금융상품</t>
    <phoneticPr fontId="10" type="noConversion"/>
  </si>
  <si>
    <t>유동성장기금융상품</t>
  </si>
  <si>
    <t>유동파생상품자산</t>
    <phoneticPr fontId="10" type="noConversion"/>
  </si>
  <si>
    <t>단기매도가능금융자산</t>
    <phoneticPr fontId="10" type="noConversion"/>
  </si>
  <si>
    <t>단기만기보유금융자산</t>
    <phoneticPr fontId="10" type="noConversion"/>
  </si>
  <si>
    <t>미수금</t>
    <phoneticPr fontId="10" type="noConversion"/>
  </si>
  <si>
    <t>미수금대손충당금</t>
    <phoneticPr fontId="10" type="noConversion"/>
  </si>
  <si>
    <t>미수수익</t>
    <phoneticPr fontId="10" type="noConversion"/>
  </si>
  <si>
    <t>재고자산</t>
    <phoneticPr fontId="10" type="noConversion"/>
  </si>
  <si>
    <t>상품</t>
    <phoneticPr fontId="10" type="noConversion"/>
  </si>
  <si>
    <t>재고자산충당금 상품</t>
    <phoneticPr fontId="3" type="noConversion"/>
  </si>
  <si>
    <t>제품</t>
    <phoneticPr fontId="10" type="noConversion"/>
  </si>
  <si>
    <t>재고자산충당금 제품</t>
    <phoneticPr fontId="3" type="noConversion"/>
  </si>
  <si>
    <t>재공품</t>
    <phoneticPr fontId="10" type="noConversion"/>
  </si>
  <si>
    <t>재고자산충당금 재공품</t>
    <phoneticPr fontId="3" type="noConversion"/>
  </si>
  <si>
    <t>원재료</t>
    <phoneticPr fontId="10" type="noConversion"/>
  </si>
  <si>
    <t>재고자산충당금 원재료</t>
    <phoneticPr fontId="3" type="noConversion"/>
  </si>
  <si>
    <t>부재료</t>
    <phoneticPr fontId="10" type="noConversion"/>
  </si>
  <si>
    <t>재고자산충당금 부재료</t>
    <phoneticPr fontId="3" type="noConversion"/>
  </si>
  <si>
    <t>미착품</t>
    <phoneticPr fontId="10" type="noConversion"/>
  </si>
  <si>
    <t>당기법인세자산</t>
    <phoneticPr fontId="10" type="noConversion"/>
  </si>
  <si>
    <t>기타유동자산</t>
    <phoneticPr fontId="10" type="noConversion"/>
  </si>
  <si>
    <t>선급금</t>
    <phoneticPr fontId="10" type="noConversion"/>
  </si>
  <si>
    <t>선급금대손충당금</t>
  </si>
  <si>
    <t>선급비용</t>
    <phoneticPr fontId="10" type="noConversion"/>
  </si>
  <si>
    <t>부가세대급금</t>
    <phoneticPr fontId="10" type="noConversion"/>
  </si>
  <si>
    <t>비유동자산</t>
    <phoneticPr fontId="10" type="noConversion"/>
  </si>
  <si>
    <t>장기매출채권</t>
    <phoneticPr fontId="10" type="noConversion"/>
  </si>
  <si>
    <t>부도어음</t>
    <phoneticPr fontId="10" type="noConversion"/>
  </si>
  <si>
    <t>부도어음대손충당금</t>
    <phoneticPr fontId="10" type="noConversion"/>
  </si>
  <si>
    <t>장기금융자산</t>
    <phoneticPr fontId="10" type="noConversion"/>
  </si>
  <si>
    <t>장기대여금</t>
    <phoneticPr fontId="10" type="noConversion"/>
  </si>
  <si>
    <t>장기대여금대손충당금</t>
    <phoneticPr fontId="10" type="noConversion"/>
  </si>
  <si>
    <t>장기금융상품</t>
    <phoneticPr fontId="10" type="noConversion"/>
  </si>
  <si>
    <t>매도가능금융자산</t>
    <phoneticPr fontId="10" type="noConversion"/>
  </si>
  <si>
    <t>당기손익 
공정가치측정금융자산</t>
    <phoneticPr fontId="10" type="noConversion"/>
  </si>
  <si>
    <t>만기보유금융자산</t>
    <phoneticPr fontId="10" type="noConversion"/>
  </si>
  <si>
    <t>파생상품자산</t>
    <phoneticPr fontId="10" type="noConversion"/>
  </si>
  <si>
    <t>임차보증금</t>
    <phoneticPr fontId="10" type="noConversion"/>
  </si>
  <si>
    <t>예치보증금</t>
    <phoneticPr fontId="10" type="noConversion"/>
  </si>
  <si>
    <t>종속및관계기업투자자산</t>
    <phoneticPr fontId="10" type="noConversion"/>
  </si>
  <si>
    <t>종속기업투자자산</t>
    <phoneticPr fontId="10" type="noConversion"/>
  </si>
  <si>
    <t>관계기업투자자산</t>
    <phoneticPr fontId="10" type="noConversion"/>
  </si>
  <si>
    <t>유형자산</t>
    <phoneticPr fontId="10" type="noConversion"/>
  </si>
  <si>
    <t>토지</t>
  </si>
  <si>
    <t>토지</t>
    <phoneticPr fontId="10" type="noConversion"/>
  </si>
  <si>
    <t>건물</t>
  </si>
  <si>
    <t>건물</t>
    <phoneticPr fontId="10" type="noConversion"/>
  </si>
  <si>
    <t>감가상각누계액(건물)</t>
  </si>
  <si>
    <t>감가상각누계액</t>
    <phoneticPr fontId="10" type="noConversion"/>
  </si>
  <si>
    <t>구축물</t>
  </si>
  <si>
    <t>구축물</t>
    <phoneticPr fontId="10" type="noConversion"/>
  </si>
  <si>
    <t>감가상각누계액(구축물)</t>
  </si>
  <si>
    <t>기계장치</t>
  </si>
  <si>
    <t>기계장치</t>
    <phoneticPr fontId="10" type="noConversion"/>
  </si>
  <si>
    <t>감가상각누계액(기계장치)</t>
  </si>
  <si>
    <t>정부보조금</t>
  </si>
  <si>
    <t>차량운반구</t>
  </si>
  <si>
    <t>차량운반구</t>
    <phoneticPr fontId="10" type="noConversion"/>
  </si>
  <si>
    <t>감가상각누계액(차량)</t>
  </si>
  <si>
    <t>공구기구와비품</t>
  </si>
  <si>
    <t>공구기구와비품</t>
    <phoneticPr fontId="10" type="noConversion"/>
  </si>
  <si>
    <t>감가상각누계액(공기구)</t>
  </si>
  <si>
    <t>시설장치</t>
  </si>
  <si>
    <t>시설장치</t>
    <phoneticPr fontId="10" type="noConversion"/>
  </si>
  <si>
    <t>감가상각누계액(시설장치)</t>
  </si>
  <si>
    <t>금형</t>
  </si>
  <si>
    <t>금형</t>
    <phoneticPr fontId="10" type="noConversion"/>
  </si>
  <si>
    <t>감가상각누계액(금형)</t>
  </si>
  <si>
    <t>사용권자산</t>
  </si>
  <si>
    <t>사용권자산</t>
    <phoneticPr fontId="10" type="noConversion"/>
  </si>
  <si>
    <t>감가상각누계액(사용권자산)</t>
  </si>
  <si>
    <t>건설중인자산</t>
  </si>
  <si>
    <t>건설중인자산</t>
    <phoneticPr fontId="10" type="noConversion"/>
  </si>
  <si>
    <t>무형자산</t>
    <phoneticPr fontId="10" type="noConversion"/>
  </si>
  <si>
    <t>영업권</t>
    <phoneticPr fontId="10" type="noConversion"/>
  </si>
  <si>
    <t>산업재산권</t>
    <phoneticPr fontId="10" type="noConversion"/>
  </si>
  <si>
    <t>컴퓨터소프트웨어</t>
    <phoneticPr fontId="10" type="noConversion"/>
  </si>
  <si>
    <t>개발비</t>
    <phoneticPr fontId="10" type="noConversion"/>
  </si>
  <si>
    <t>회원권</t>
  </si>
  <si>
    <t>라이선스</t>
  </si>
  <si>
    <t>건설중인자산(무형)</t>
    <phoneticPr fontId="3" type="noConversion"/>
  </si>
  <si>
    <t>이연법인세자산</t>
    <phoneticPr fontId="10" type="noConversion"/>
  </si>
  <si>
    <t>기타비유동자산</t>
    <phoneticPr fontId="10" type="noConversion"/>
  </si>
  <si>
    <t>장기선급금</t>
    <phoneticPr fontId="3" type="noConversion"/>
  </si>
  <si>
    <t>장기선급비용</t>
    <phoneticPr fontId="3" type="noConversion"/>
  </si>
  <si>
    <t>기타투자자산</t>
    <phoneticPr fontId="3" type="noConversion"/>
  </si>
  <si>
    <t>자산총계</t>
    <phoneticPr fontId="10" type="noConversion"/>
  </si>
  <si>
    <t>부채</t>
    <phoneticPr fontId="10" type="noConversion"/>
  </si>
  <si>
    <t>유동부채</t>
    <phoneticPr fontId="10" type="noConversion"/>
  </si>
  <si>
    <t>매입채무</t>
    <phoneticPr fontId="10" type="noConversion"/>
  </si>
  <si>
    <t>외상매입금</t>
    <phoneticPr fontId="3" type="noConversion"/>
  </si>
  <si>
    <t>외상매입금</t>
    <phoneticPr fontId="10" type="noConversion"/>
  </si>
  <si>
    <t>지급어음</t>
    <phoneticPr fontId="3" type="noConversion"/>
  </si>
  <si>
    <t>지급어음</t>
    <phoneticPr fontId="10" type="noConversion"/>
  </si>
  <si>
    <t>단기금융부채</t>
    <phoneticPr fontId="10" type="noConversion"/>
  </si>
  <si>
    <t>단기차입금</t>
    <phoneticPr fontId="3" type="noConversion"/>
  </si>
  <si>
    <t>단기차입금</t>
    <phoneticPr fontId="10" type="noConversion"/>
  </si>
  <si>
    <t>예수보증금</t>
    <phoneticPr fontId="3" type="noConversion"/>
  </si>
  <si>
    <t>예수보증금</t>
    <phoneticPr fontId="10" type="noConversion"/>
  </si>
  <si>
    <t>미지급금</t>
    <phoneticPr fontId="3" type="noConversion"/>
  </si>
  <si>
    <t>미지급금</t>
    <phoneticPr fontId="10" type="noConversion"/>
  </si>
  <si>
    <t>미지급비용</t>
    <phoneticPr fontId="3" type="noConversion"/>
  </si>
  <si>
    <t>미지급비용</t>
    <phoneticPr fontId="10" type="noConversion"/>
  </si>
  <si>
    <t>단기사채</t>
    <phoneticPr fontId="3" type="noConversion"/>
  </si>
  <si>
    <t>단기사채</t>
    <phoneticPr fontId="10" type="noConversion"/>
  </si>
  <si>
    <t>유동성장기차입금</t>
    <phoneticPr fontId="3" type="noConversion"/>
  </si>
  <si>
    <t>유동성장기차입금</t>
    <phoneticPr fontId="10" type="noConversion"/>
  </si>
  <si>
    <t>유동성장기미지급금</t>
    <phoneticPr fontId="3" type="noConversion"/>
  </si>
  <si>
    <t>유동성미지급금</t>
    <phoneticPr fontId="10" type="noConversion"/>
  </si>
  <si>
    <t>유동성금융보증부채</t>
    <phoneticPr fontId="3" type="noConversion"/>
  </si>
  <si>
    <t>유동성금융보증부채</t>
    <phoneticPr fontId="10" type="noConversion"/>
  </si>
  <si>
    <t>유동성사채</t>
    <phoneticPr fontId="3" type="noConversion"/>
  </si>
  <si>
    <t>유동성사채</t>
    <phoneticPr fontId="10" type="noConversion"/>
  </si>
  <si>
    <t>사채할인발행차금</t>
    <phoneticPr fontId="3" type="noConversion"/>
  </si>
  <si>
    <t>사채할인발행차금</t>
    <phoneticPr fontId="10" type="noConversion"/>
  </si>
  <si>
    <t>유동성신주인수권부사채</t>
    <phoneticPr fontId="3" type="noConversion"/>
  </si>
  <si>
    <t>유동성신주인수권부사채</t>
    <phoneticPr fontId="10" type="noConversion"/>
  </si>
  <si>
    <t>유동성신주인수권조정</t>
    <phoneticPr fontId="3" type="noConversion"/>
  </si>
  <si>
    <t>유동성신주인수권조정</t>
    <phoneticPr fontId="10" type="noConversion"/>
  </si>
  <si>
    <t>유동성전환사채</t>
    <phoneticPr fontId="3" type="noConversion"/>
  </si>
  <si>
    <t>유동성전환사채</t>
    <phoneticPr fontId="10" type="noConversion"/>
  </si>
  <si>
    <t>유동성전환권조정</t>
    <phoneticPr fontId="3" type="noConversion"/>
  </si>
  <si>
    <t>유동성전환권조정</t>
    <phoneticPr fontId="10" type="noConversion"/>
  </si>
  <si>
    <t>유동파생상품부채</t>
    <phoneticPr fontId="3" type="noConversion"/>
  </si>
  <si>
    <t>유동파생상품부채</t>
    <phoneticPr fontId="10" type="noConversion"/>
  </si>
  <si>
    <t>유동성리스부채</t>
    <phoneticPr fontId="3" type="noConversion"/>
  </si>
  <si>
    <t>유동성리스부채</t>
    <phoneticPr fontId="10" type="noConversion"/>
  </si>
  <si>
    <t>당기법인세부채</t>
    <phoneticPr fontId="10" type="noConversion"/>
  </si>
  <si>
    <t>기타유동부채</t>
    <phoneticPr fontId="10" type="noConversion"/>
  </si>
  <si>
    <t>선수금</t>
    <phoneticPr fontId="10" type="noConversion"/>
  </si>
  <si>
    <t>예수금</t>
    <phoneticPr fontId="10" type="noConversion"/>
  </si>
  <si>
    <t>선수수익</t>
    <phoneticPr fontId="10" type="noConversion"/>
  </si>
  <si>
    <t>부가세예수금</t>
    <phoneticPr fontId="10" type="noConversion"/>
  </si>
  <si>
    <t>비유동부채</t>
    <phoneticPr fontId="10" type="noConversion"/>
  </si>
  <si>
    <t>장기금융부채</t>
    <phoneticPr fontId="10" type="noConversion"/>
  </si>
  <si>
    <t>장기차입금</t>
    <phoneticPr fontId="10" type="noConversion"/>
  </si>
  <si>
    <t>장기미지급금</t>
    <phoneticPr fontId="3" type="noConversion"/>
  </si>
  <si>
    <t>파생상품부채</t>
    <phoneticPr fontId="10" type="noConversion"/>
  </si>
  <si>
    <t>파생상품부채</t>
  </si>
  <si>
    <t>금융보증부채</t>
    <phoneticPr fontId="10" type="noConversion"/>
  </si>
  <si>
    <t>금융보증부채</t>
  </si>
  <si>
    <t>사채</t>
    <phoneticPr fontId="10" type="noConversion"/>
  </si>
  <si>
    <t>신주인수권부사채</t>
    <phoneticPr fontId="10" type="noConversion"/>
  </si>
  <si>
    <t>신주인수권조정</t>
    <phoneticPr fontId="10" type="noConversion"/>
  </si>
  <si>
    <t>전환사채</t>
    <phoneticPr fontId="10" type="noConversion"/>
  </si>
  <si>
    <t>전환권조정</t>
    <phoneticPr fontId="10" type="noConversion"/>
  </si>
  <si>
    <t>상환할증금</t>
  </si>
  <si>
    <t>리스부채</t>
    <phoneticPr fontId="3" type="noConversion"/>
  </si>
  <si>
    <t>임대보증금</t>
    <phoneticPr fontId="10" type="noConversion"/>
  </si>
  <si>
    <t>퇴직급여채무</t>
    <phoneticPr fontId="10" type="noConversion"/>
  </si>
  <si>
    <t>확정급여채무</t>
    <phoneticPr fontId="10" type="noConversion"/>
  </si>
  <si>
    <t>사외적립자산</t>
    <phoneticPr fontId="10" type="noConversion"/>
  </si>
  <si>
    <t>이연법인세부채</t>
    <phoneticPr fontId="10" type="noConversion"/>
  </si>
  <si>
    <t>기타비유동부채</t>
    <phoneticPr fontId="10" type="noConversion"/>
  </si>
  <si>
    <t>부채총계</t>
    <phoneticPr fontId="10" type="noConversion"/>
  </si>
  <si>
    <t>자본</t>
    <phoneticPr fontId="10" type="noConversion"/>
  </si>
  <si>
    <t>지배기업주주지분</t>
    <phoneticPr fontId="10" type="noConversion"/>
  </si>
  <si>
    <t>자본금</t>
    <phoneticPr fontId="10" type="noConversion"/>
  </si>
  <si>
    <t>보통주자본금</t>
    <phoneticPr fontId="10" type="noConversion"/>
  </si>
  <si>
    <t>자본잉여금</t>
    <phoneticPr fontId="10" type="noConversion"/>
  </si>
  <si>
    <t>주식발행초과금</t>
    <phoneticPr fontId="10" type="noConversion"/>
  </si>
  <si>
    <t>재평가적립금</t>
    <phoneticPr fontId="10" type="noConversion"/>
  </si>
  <si>
    <t>자기주식처분이익</t>
    <phoneticPr fontId="10" type="noConversion"/>
  </si>
  <si>
    <t>신주인수권대가</t>
    <phoneticPr fontId="10" type="noConversion"/>
  </si>
  <si>
    <t>전환권대가</t>
    <phoneticPr fontId="10" type="noConversion"/>
  </si>
  <si>
    <t>합병차익</t>
    <phoneticPr fontId="10" type="noConversion"/>
  </si>
  <si>
    <t>합병차손</t>
    <phoneticPr fontId="10" type="noConversion"/>
  </si>
  <si>
    <t>기타자본잉여금</t>
    <phoneticPr fontId="10" type="noConversion"/>
  </si>
  <si>
    <t>기타자본</t>
    <phoneticPr fontId="10" type="noConversion"/>
  </si>
  <si>
    <t>주식할인발행차금</t>
    <phoneticPr fontId="10" type="noConversion"/>
  </si>
  <si>
    <t>자기주식</t>
    <phoneticPr fontId="10" type="noConversion"/>
  </si>
  <si>
    <t>분할차손</t>
    <phoneticPr fontId="10" type="noConversion"/>
  </si>
  <si>
    <t>감자차손</t>
    <phoneticPr fontId="10" type="noConversion"/>
  </si>
  <si>
    <t>출자전환채무</t>
  </si>
  <si>
    <t>기타의자본조정</t>
    <phoneticPr fontId="10" type="noConversion"/>
  </si>
  <si>
    <t>기타포괄손익누계액</t>
    <phoneticPr fontId="10" type="noConversion"/>
  </si>
  <si>
    <t>매도가능금융자산평가손익(누계)</t>
    <phoneticPr fontId="10" type="noConversion"/>
  </si>
  <si>
    <t>매도가능금융자산평가손익(누계)</t>
  </si>
  <si>
    <t>위험회피파생상품평가손익(누계)</t>
    <phoneticPr fontId="10" type="noConversion"/>
  </si>
  <si>
    <t>위험회피파생상품평가손익(누계)</t>
  </si>
  <si>
    <t>유형자산재평가이익</t>
    <phoneticPr fontId="10" type="noConversion"/>
  </si>
  <si>
    <t>해외사업환산손익</t>
    <phoneticPr fontId="10" type="noConversion"/>
  </si>
  <si>
    <t>이익잉여금</t>
    <phoneticPr fontId="10" type="noConversion"/>
  </si>
  <si>
    <t>이익준비금</t>
  </si>
  <si>
    <t>기업합리화적립금</t>
  </si>
  <si>
    <t>연구인력개발준비금</t>
  </si>
  <si>
    <t>회계변경의누적효과</t>
  </si>
  <si>
    <t>전기오류수정손익</t>
    <phoneticPr fontId="17" type="noConversion"/>
  </si>
  <si>
    <t>미처분이익잉여금</t>
    <phoneticPr fontId="10" type="noConversion"/>
  </si>
  <si>
    <t>전기이월</t>
    <phoneticPr fontId="10" type="noConversion"/>
  </si>
  <si>
    <t>준비금이입</t>
    <phoneticPr fontId="10" type="noConversion"/>
  </si>
  <si>
    <t>이익준비금처분</t>
    <phoneticPr fontId="10" type="noConversion"/>
  </si>
  <si>
    <t>현금배당</t>
    <phoneticPr fontId="10" type="noConversion"/>
  </si>
  <si>
    <t>준비금전입</t>
    <phoneticPr fontId="10" type="noConversion"/>
  </si>
  <si>
    <t>보험수리적손익</t>
    <phoneticPr fontId="10" type="noConversion"/>
  </si>
  <si>
    <t>매도가능자산처분손익</t>
    <phoneticPr fontId="10" type="noConversion"/>
  </si>
  <si>
    <t>당기순이익</t>
    <phoneticPr fontId="10" type="noConversion"/>
  </si>
  <si>
    <t>비지배지분</t>
    <phoneticPr fontId="10" type="noConversion"/>
  </si>
  <si>
    <t>자본총계</t>
    <phoneticPr fontId="10" type="noConversion"/>
  </si>
  <si>
    <t>부채와자본총계</t>
    <phoneticPr fontId="10" type="noConversion"/>
  </si>
  <si>
    <t>매출액</t>
    <phoneticPr fontId="10" type="noConversion"/>
  </si>
  <si>
    <t>제품매출액</t>
    <phoneticPr fontId="10" type="noConversion"/>
  </si>
  <si>
    <t>상품매출액</t>
    <phoneticPr fontId="3" type="noConversion"/>
  </si>
  <si>
    <t>원재료</t>
    <phoneticPr fontId="3" type="noConversion"/>
  </si>
  <si>
    <t>부재료</t>
    <phoneticPr fontId="3" type="noConversion"/>
  </si>
  <si>
    <t>기타매출액</t>
    <phoneticPr fontId="10" type="noConversion"/>
  </si>
  <si>
    <t>수수료수익</t>
  </si>
  <si>
    <t>브랜드수익</t>
  </si>
  <si>
    <t>용역수익</t>
  </si>
  <si>
    <t>임대수익</t>
  </si>
  <si>
    <t>배당금수익</t>
  </si>
  <si>
    <t>기타매출</t>
    <phoneticPr fontId="10" type="noConversion"/>
  </si>
  <si>
    <t>기타수익</t>
  </si>
  <si>
    <t>매출원가</t>
    <phoneticPr fontId="10" type="noConversion"/>
  </si>
  <si>
    <t>제품매출원가</t>
    <phoneticPr fontId="10" type="noConversion"/>
  </si>
  <si>
    <t>기초제품재고액</t>
    <phoneticPr fontId="10" type="noConversion"/>
  </si>
  <si>
    <t>기초제품재고</t>
    <phoneticPr fontId="10" type="noConversion"/>
  </si>
  <si>
    <t>당기제품제조원가</t>
  </si>
  <si>
    <t>재고자산평가손실</t>
    <phoneticPr fontId="10" type="noConversion"/>
  </si>
  <si>
    <t>특소세및부가세</t>
    <phoneticPr fontId="10" type="noConversion"/>
  </si>
  <si>
    <t>매입증치세반환</t>
    <phoneticPr fontId="10" type="noConversion"/>
  </si>
  <si>
    <t>타계정에서대체액</t>
    <phoneticPr fontId="10" type="noConversion"/>
  </si>
  <si>
    <t>타계정으로대체액</t>
  </si>
  <si>
    <t>관세환급금</t>
    <phoneticPr fontId="10" type="noConversion"/>
  </si>
  <si>
    <t>기말제품재고액</t>
    <phoneticPr fontId="10" type="noConversion"/>
  </si>
  <si>
    <t>기말제품재고</t>
    <phoneticPr fontId="10" type="noConversion"/>
  </si>
  <si>
    <t>기말제품재고(매가)</t>
    <phoneticPr fontId="10" type="noConversion"/>
  </si>
  <si>
    <t>원가율</t>
    <phoneticPr fontId="10" type="noConversion"/>
  </si>
  <si>
    <t>상품매출원가</t>
    <phoneticPr fontId="10" type="noConversion"/>
  </si>
  <si>
    <t>기초상품재고액</t>
    <phoneticPr fontId="10" type="noConversion"/>
  </si>
  <si>
    <t>당기상품매입액</t>
    <phoneticPr fontId="10" type="noConversion"/>
  </si>
  <si>
    <t>재고자산평가손실</t>
  </si>
  <si>
    <t>타계정으로대체액</t>
    <phoneticPr fontId="10" type="noConversion"/>
  </si>
  <si>
    <t>기말상품재고액</t>
    <phoneticPr fontId="10" type="noConversion"/>
  </si>
  <si>
    <t>매출총이익</t>
    <phoneticPr fontId="10" type="noConversion"/>
  </si>
  <si>
    <t>판매비와관리비</t>
    <phoneticPr fontId="10" type="noConversion"/>
  </si>
  <si>
    <t>판관비</t>
    <phoneticPr fontId="10" type="noConversion"/>
  </si>
  <si>
    <t>급여</t>
  </si>
  <si>
    <t>상여</t>
    <phoneticPr fontId="14" type="noConversion"/>
  </si>
  <si>
    <t>퇴직급여</t>
  </si>
  <si>
    <t>복리후생비</t>
  </si>
  <si>
    <t>임차료</t>
    <phoneticPr fontId="14" type="noConversion"/>
  </si>
  <si>
    <t>접대비</t>
  </si>
  <si>
    <t>감가상각비</t>
  </si>
  <si>
    <t>무형자산상각비</t>
  </si>
  <si>
    <t>세금과공과</t>
    <phoneticPr fontId="14" type="noConversion"/>
  </si>
  <si>
    <t>광고선전비</t>
  </si>
  <si>
    <t>대손상각비</t>
  </si>
  <si>
    <t>여비교통비</t>
  </si>
  <si>
    <t>통신비</t>
  </si>
  <si>
    <t>수도광열비</t>
  </si>
  <si>
    <t>소모품비</t>
  </si>
  <si>
    <t>수선비</t>
  </si>
  <si>
    <t>보험료</t>
  </si>
  <si>
    <t>운반및보관비</t>
    <phoneticPr fontId="14" type="noConversion"/>
  </si>
  <si>
    <t>차량유지비</t>
  </si>
  <si>
    <t>지급수수료</t>
    <phoneticPr fontId="14" type="noConversion"/>
  </si>
  <si>
    <t>수출비</t>
  </si>
  <si>
    <t>도서인쇄비</t>
  </si>
  <si>
    <t>교육비</t>
    <phoneticPr fontId="14" type="noConversion"/>
  </si>
  <si>
    <t>연구개발비</t>
    <phoneticPr fontId="14" type="noConversion"/>
  </si>
  <si>
    <t>영업이익</t>
    <phoneticPr fontId="10" type="noConversion"/>
  </si>
  <si>
    <t>금융수익</t>
    <phoneticPr fontId="10" type="noConversion"/>
  </si>
  <si>
    <t>이자수익</t>
  </si>
  <si>
    <t>외환차익</t>
  </si>
  <si>
    <t>외화환산이익</t>
  </si>
  <si>
    <t>금융상품평가이익</t>
    <phoneticPr fontId="10" type="noConversion"/>
  </si>
  <si>
    <t>FVPL금융자산평가이익</t>
  </si>
  <si>
    <t>금융상품처분이익</t>
  </si>
  <si>
    <t>FVPL금융자산처분이익</t>
  </si>
  <si>
    <t>파생상품거래이익</t>
    <phoneticPr fontId="10" type="noConversion"/>
  </si>
  <si>
    <t>파생상품거래이익</t>
  </si>
  <si>
    <t>파생상품평가이익</t>
    <phoneticPr fontId="17" type="noConversion"/>
  </si>
  <si>
    <t>기타수익</t>
    <phoneticPr fontId="10" type="noConversion"/>
  </si>
  <si>
    <t>지분법이익</t>
    <phoneticPr fontId="10" type="noConversion"/>
  </si>
  <si>
    <t>유형자산처분이익</t>
  </si>
  <si>
    <t>무형자산처분이익</t>
    <phoneticPr fontId="10" type="noConversion"/>
  </si>
  <si>
    <t>무형자산손상차손환입</t>
    <phoneticPr fontId="10" type="noConversion"/>
  </si>
  <si>
    <t>단기금융상품평가이익</t>
    <phoneticPr fontId="10" type="noConversion"/>
  </si>
  <si>
    <t>투자자산처분이익</t>
    <phoneticPr fontId="10" type="noConversion"/>
  </si>
  <si>
    <t>투자자산손상차손환입</t>
    <phoneticPr fontId="10" type="noConversion"/>
  </si>
  <si>
    <t>수입수수료</t>
  </si>
  <si>
    <t>임대료</t>
    <phoneticPr fontId="14" type="noConversion"/>
  </si>
  <si>
    <t>대손충당금환입</t>
    <phoneticPr fontId="10" type="noConversion"/>
  </si>
  <si>
    <t>퇴직급여충당금환입</t>
    <phoneticPr fontId="10" type="noConversion"/>
  </si>
  <si>
    <t>자산수증이익</t>
    <phoneticPr fontId="3" type="noConversion"/>
  </si>
  <si>
    <t>리스변경이익</t>
    <phoneticPr fontId="17" type="noConversion"/>
  </si>
  <si>
    <t>잡이익</t>
  </si>
  <si>
    <t>금융비용</t>
    <phoneticPr fontId="10" type="noConversion"/>
  </si>
  <si>
    <t>이자비용</t>
    <phoneticPr fontId="10" type="noConversion"/>
  </si>
  <si>
    <t>금융자산처분손실</t>
    <phoneticPr fontId="3" type="noConversion"/>
  </si>
  <si>
    <t>외환차손</t>
  </si>
  <si>
    <t>외화환산손실</t>
  </si>
  <si>
    <t>금융상품평가손실</t>
    <phoneticPr fontId="10" type="noConversion"/>
  </si>
  <si>
    <t>금융상품평가손실</t>
  </si>
  <si>
    <t>금융상품처분손실</t>
    <phoneticPr fontId="10" type="noConversion"/>
  </si>
  <si>
    <t>금융상품처분손실</t>
  </si>
  <si>
    <t>투자자산손상차손(금융)</t>
    <phoneticPr fontId="17" type="noConversion"/>
  </si>
  <si>
    <t>투자자산손상차손(금융)</t>
  </si>
  <si>
    <t>사채상환손실</t>
    <phoneticPr fontId="10" type="noConversion"/>
  </si>
  <si>
    <t>파생상품거래손실</t>
    <phoneticPr fontId="10" type="noConversion"/>
  </si>
  <si>
    <t>파생상품거래손실</t>
  </si>
  <si>
    <t>파생상품평가손실</t>
    <phoneticPr fontId="17" type="noConversion"/>
  </si>
  <si>
    <t>파생상품평가손실</t>
  </si>
  <si>
    <t>기타비용</t>
    <phoneticPr fontId="10" type="noConversion"/>
  </si>
  <si>
    <t>지분법손실</t>
    <phoneticPr fontId="10" type="noConversion"/>
  </si>
  <si>
    <t>재고자산폐기손실</t>
    <phoneticPr fontId="3" type="noConversion"/>
  </si>
  <si>
    <t>유형자산폐기손실</t>
  </si>
  <si>
    <t>유형자산폐기손실</t>
    <phoneticPr fontId="10" type="noConversion"/>
  </si>
  <si>
    <t>유형자산처분손실</t>
  </si>
  <si>
    <t>무형자산폐기손실</t>
    <phoneticPr fontId="10" type="noConversion"/>
  </si>
  <si>
    <t>무형자산폐기손실</t>
  </si>
  <si>
    <t>무형자산처분손실</t>
    <phoneticPr fontId="10" type="noConversion"/>
  </si>
  <si>
    <t>무형자산손상차손</t>
    <phoneticPr fontId="10" type="noConversion"/>
  </si>
  <si>
    <t>단기금융상품평가손실</t>
    <phoneticPr fontId="10" type="noConversion"/>
  </si>
  <si>
    <t>투자자산처분손실</t>
    <phoneticPr fontId="10" type="noConversion"/>
  </si>
  <si>
    <t>투자자산손상차손</t>
    <phoneticPr fontId="10" type="noConversion"/>
  </si>
  <si>
    <t>기타의대손상각비</t>
    <phoneticPr fontId="10" type="noConversion"/>
  </si>
  <si>
    <t>기부금</t>
  </si>
  <si>
    <t>리스변경손실</t>
    <phoneticPr fontId="17" type="noConversion"/>
  </si>
  <si>
    <t>잡손실</t>
  </si>
  <si>
    <t>법인세차감전이익</t>
    <phoneticPr fontId="10" type="noConversion"/>
  </si>
  <si>
    <t>법인세비용</t>
    <phoneticPr fontId="10" type="noConversion"/>
  </si>
  <si>
    <t>기타포괄손익</t>
    <phoneticPr fontId="10" type="noConversion"/>
  </si>
  <si>
    <t>매도가능자산평가손익</t>
    <phoneticPr fontId="10" type="noConversion"/>
  </si>
  <si>
    <t>위험회피파생상품평가손익</t>
  </si>
  <si>
    <t>총포괄이익</t>
    <phoneticPr fontId="10" type="noConversion"/>
  </si>
  <si>
    <t>유효세율</t>
    <phoneticPr fontId="10" type="noConversion"/>
  </si>
  <si>
    <t>원재료비</t>
    <phoneticPr fontId="10" type="noConversion"/>
  </si>
  <si>
    <t>기초원재료</t>
    <phoneticPr fontId="10" type="noConversion"/>
  </si>
  <si>
    <t>당기매입</t>
    <phoneticPr fontId="10" type="noConversion"/>
  </si>
  <si>
    <t>타계정대체</t>
    <phoneticPr fontId="10" type="noConversion"/>
  </si>
  <si>
    <t>기말원재료</t>
    <phoneticPr fontId="10" type="noConversion"/>
  </si>
  <si>
    <t>베이스</t>
    <phoneticPr fontId="10" type="noConversion"/>
  </si>
  <si>
    <t>부재료비</t>
    <phoneticPr fontId="10" type="noConversion"/>
  </si>
  <si>
    <t>기초부재료</t>
    <phoneticPr fontId="10" type="noConversion"/>
  </si>
  <si>
    <t>기말부재료</t>
    <phoneticPr fontId="10" type="noConversion"/>
  </si>
  <si>
    <t>노무비</t>
    <phoneticPr fontId="10" type="noConversion"/>
  </si>
  <si>
    <t>급여</t>
    <phoneticPr fontId="10" type="noConversion"/>
  </si>
  <si>
    <t>상여</t>
    <phoneticPr fontId="10" type="noConversion"/>
  </si>
  <si>
    <t>퇴직급여</t>
    <phoneticPr fontId="10" type="noConversion"/>
  </si>
  <si>
    <t>용역비</t>
    <phoneticPr fontId="10" type="noConversion"/>
  </si>
  <si>
    <t>경비</t>
    <phoneticPr fontId="10" type="noConversion"/>
  </si>
  <si>
    <t>복리후생비</t>
    <phoneticPr fontId="10" type="noConversion"/>
  </si>
  <si>
    <t>임차료</t>
    <phoneticPr fontId="10" type="noConversion"/>
  </si>
  <si>
    <t>접대비</t>
    <phoneticPr fontId="10" type="noConversion"/>
  </si>
  <si>
    <t>감가상각비</t>
    <phoneticPr fontId="10" type="noConversion"/>
  </si>
  <si>
    <t>무형자산상각비</t>
    <phoneticPr fontId="10" type="noConversion"/>
  </si>
  <si>
    <t>세금과공과</t>
    <phoneticPr fontId="10" type="noConversion"/>
  </si>
  <si>
    <t>광고선전비</t>
    <phoneticPr fontId="10" type="noConversion"/>
  </si>
  <si>
    <t>여비교통비</t>
    <phoneticPr fontId="10" type="noConversion"/>
  </si>
  <si>
    <t>통신비</t>
    <phoneticPr fontId="10" type="noConversion"/>
  </si>
  <si>
    <t>수도광열비</t>
    <phoneticPr fontId="10" type="noConversion"/>
  </si>
  <si>
    <t>소모품비</t>
    <phoneticPr fontId="10" type="noConversion"/>
  </si>
  <si>
    <t>수선비</t>
    <phoneticPr fontId="10" type="noConversion"/>
  </si>
  <si>
    <t>보험료</t>
    <phoneticPr fontId="10" type="noConversion"/>
  </si>
  <si>
    <t>운반및보관비</t>
    <phoneticPr fontId="10" type="noConversion"/>
  </si>
  <si>
    <t>차량유지비</t>
    <phoneticPr fontId="10" type="noConversion"/>
  </si>
  <si>
    <t>수수료</t>
    <phoneticPr fontId="10" type="noConversion"/>
  </si>
  <si>
    <t>도서인쇄비</t>
    <phoneticPr fontId="10" type="noConversion"/>
  </si>
  <si>
    <t>교육비</t>
    <phoneticPr fontId="10" type="noConversion"/>
  </si>
  <si>
    <t>연구개발비</t>
    <phoneticPr fontId="10" type="noConversion"/>
  </si>
  <si>
    <t>외주가공비</t>
    <phoneticPr fontId="10" type="noConversion"/>
  </si>
  <si>
    <t>당기총제조비용</t>
    <phoneticPr fontId="10" type="noConversion"/>
  </si>
  <si>
    <t>기초재공품</t>
    <phoneticPr fontId="10" type="noConversion"/>
  </si>
  <si>
    <t>기말재공품</t>
    <phoneticPr fontId="10" type="noConversion"/>
  </si>
  <si>
    <t>벌크</t>
    <phoneticPr fontId="10" type="noConversion"/>
  </si>
  <si>
    <t>성형물</t>
    <phoneticPr fontId="10" type="noConversion"/>
  </si>
  <si>
    <t>반제품</t>
    <phoneticPr fontId="10" type="noConversion"/>
  </si>
  <si>
    <t>진행률</t>
    <phoneticPr fontId="10" type="noConversion"/>
  </si>
  <si>
    <t>당기제품제조원가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</si>
</sst>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-* #,##0_-;\-* #,##0_-;_-* &quot;-&quot;_-;_-@_-"/>
    <numFmt numFmtId="176" formatCode="General&quot;월&quot;"/>
    <numFmt numFmtId="177" formatCode="_ * #,##0_ ;_ * \-#,##0_ ;_ * &quot;-&quot;_ ;_ @_ "/>
    <numFmt numFmtId="178" formatCode="_-* #,##0.00;\-#,##0.00;_-* &quot;&quot;_-;_-@_-"/>
    <numFmt numFmtId="179" formatCode="_-* #,##0;\-#,##0;_-* &quot;&quot;_-;_-@_-"/>
    <numFmt numFmtId="180" formatCode="&quot;24년&quot;\ General&quot;월&quot;"/>
    <numFmt numFmtId="181" formatCode="&quot;21년&quot;\ General&quot;월 계&quot;"/>
    <numFmt numFmtId="182" formatCode="&quot;25년&quot;\ General&quot;월 계&quot;"/>
    <numFmt numFmtId="183" formatCode="&quot;15년&quot;\ General&quot;월&quot;"/>
    <numFmt numFmtId="184" formatCode="&quot;25년&quot;\ General&quot;월&quot;"/>
    <numFmt numFmtId="185" formatCode="&quot;20년&quot;\ General&quot;월&quot;"/>
    <numFmt numFmtId="186" formatCode="&quot;20년&quot;\ General&quot;월 계&quot;"/>
    <numFmt numFmtId="187" formatCode="&quot;24년&quot;\ General&quot;월 계&quot;"/>
    <numFmt numFmtId="188" formatCode="#,##0;[Red]\-#,##0;\-"/>
    <numFmt numFmtId="189" formatCode="#,##0;\-#,##0;\-"/>
    <numFmt numFmtId="190" formatCode="#,##0.0;\-#,##0.0;\-"/>
    <numFmt numFmtId="191" formatCode="0.0%"/>
    <numFmt numFmtId="192" formatCode="#,##0.00;[Red]\-#,##0.00;\-"/>
    <numFmt numFmtId="193" formatCode="#,##0.000;[Red]\-#,##0.000;\-"/>
  </numFmts>
  <fonts count="28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새굴림"/>
      <family val="1"/>
      <charset val="129"/>
    </font>
    <font>
      <sz val="8"/>
      <name val="맑은 고딕"/>
      <family val="3"/>
      <charset val="129"/>
      <scheme val="minor"/>
    </font>
    <font>
      <sz val="18"/>
      <color indexed="8"/>
      <name val="돋움"/>
      <family val="3"/>
      <charset val="129"/>
    </font>
    <font>
      <b/>
      <sz val="18"/>
      <color indexed="8"/>
      <name val="HY헤드라인M"/>
      <family val="1"/>
      <charset val="129"/>
    </font>
    <font>
      <sz val="11"/>
      <color indexed="8"/>
      <name val="돋움"/>
      <family val="3"/>
      <charset val="129"/>
    </font>
    <font>
      <sz val="11"/>
      <color theme="1"/>
      <name val="돋움"/>
      <family val="3"/>
      <charset val="129"/>
    </font>
    <font>
      <b/>
      <sz val="18"/>
      <color indexed="8"/>
      <name val="돋움"/>
      <family val="3"/>
      <charset val="129"/>
    </font>
    <font>
      <sz val="11"/>
      <color theme="1"/>
      <name val="새굴림"/>
      <family val="1"/>
      <charset val="129"/>
    </font>
    <font>
      <sz val="8"/>
      <name val="돋움"/>
      <family val="3"/>
      <charset val="129"/>
    </font>
    <font>
      <u val="singleAccounting"/>
      <sz val="11"/>
      <color theme="0"/>
      <name val="새굴림"/>
      <family val="1"/>
      <charset val="129"/>
    </font>
    <font>
      <b/>
      <u val="singleAccounting"/>
      <sz val="11"/>
      <color theme="0"/>
      <name val="새굴림"/>
      <family val="1"/>
      <charset val="129"/>
    </font>
    <font>
      <sz val="11"/>
      <name val="새굴림"/>
      <family val="1"/>
      <charset val="129"/>
    </font>
    <font>
      <sz val="8"/>
      <name val="맑은 고딕"/>
      <family val="3"/>
      <charset val="129"/>
    </font>
    <font>
      <sz val="11"/>
      <color indexed="8"/>
      <name val="새굴림"/>
      <family val="1"/>
      <charset val="129"/>
    </font>
    <font>
      <sz val="11"/>
      <color theme="0"/>
      <name val="새굴림"/>
      <family val="1"/>
      <charset val="129"/>
    </font>
    <font>
      <b/>
      <sz val="12"/>
      <color indexed="10"/>
      <name val="굴림체"/>
      <family val="3"/>
      <charset val="129"/>
    </font>
    <font>
      <sz val="11"/>
      <color rgb="FFFF0000"/>
      <name val="새굴림"/>
      <family val="1"/>
      <charset val="129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indexed="81"/>
      <name val="Tahoma"/>
      <family val="2"/>
    </font>
    <font>
      <b/>
      <sz val="10"/>
      <color indexed="81"/>
      <name val="돋움"/>
      <family val="3"/>
      <charset val="129"/>
    </font>
    <font>
      <b/>
      <sz val="11"/>
      <color indexed="81"/>
      <name val="돋움"/>
      <family val="3"/>
      <charset val="129"/>
    </font>
    <font>
      <b/>
      <sz val="11"/>
      <color indexed="81"/>
      <name val="Tahoma"/>
      <family val="2"/>
    </font>
    <font>
      <sz val="11"/>
      <color indexed="81"/>
      <name val="Tahoma"/>
      <family val="2"/>
    </font>
    <font>
      <sz val="11"/>
      <color indexed="81"/>
      <name val="돋움"/>
      <family val="3"/>
      <charset val="129"/>
    </font>
  </fonts>
  <fills count="10">
    <fill>
      <patternFill patternType="none"/>
    </fill>
    <fill>
      <patternFill patternType="gray125"/>
    </fill>
    <fill>
      <gradientFill>
        <stop position="0">
          <color theme="0"/>
        </stop>
        <stop position="1">
          <color theme="0" tint="-0.1490218817712943"/>
        </stop>
      </gradient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</fills>
  <borders count="24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auto="1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auto="1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311">
    <xf numFmtId="0" fontId="0" fillId="0" borderId="0" xfId="0"/>
    <xf numFmtId="176" fontId="2" fillId="2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2" xfId="0" applyFont="1" applyBorder="1" applyAlignment="1">
      <alignment horizontal="distributed" vertical="center"/>
    </xf>
    <xf numFmtId="0" fontId="5" fillId="0" borderId="2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7" fillId="0" borderId="2" xfId="0" applyFont="1" applyBorder="1" applyAlignment="1">
      <alignment horizontal="right" vertical="center"/>
    </xf>
    <xf numFmtId="10" fontId="7" fillId="0" borderId="2" xfId="0" applyNumberFormat="1" applyFont="1" applyBorder="1" applyAlignment="1">
      <alignment horizontal="right" vertical="center"/>
    </xf>
    <xf numFmtId="177" fontId="7" fillId="0" borderId="2" xfId="0" applyNumberFormat="1" applyFont="1" applyBorder="1" applyAlignment="1">
      <alignment horizontal="right" vertical="center"/>
    </xf>
    <xf numFmtId="0" fontId="8" fillId="0" borderId="2" xfId="0" applyFont="1" applyBorder="1" applyAlignment="1">
      <alignment horizontal="distributed" vertical="center"/>
    </xf>
    <xf numFmtId="0" fontId="5" fillId="0" borderId="2" xfId="0" applyFont="1" applyBorder="1" applyAlignment="1">
      <alignment horizontal="left" vertical="center"/>
    </xf>
    <xf numFmtId="177" fontId="0" fillId="0" borderId="0" xfId="0" applyNumberFormat="1"/>
    <xf numFmtId="0" fontId="9" fillId="3" borderId="0" xfId="0" applyFont="1" applyFill="1" applyProtection="1">
      <protection locked="0"/>
    </xf>
    <xf numFmtId="178" fontId="11" fillId="2" borderId="0" xfId="0" applyNumberFormat="1" applyFont="1" applyFill="1"/>
    <xf numFmtId="0" fontId="12" fillId="0" borderId="0" xfId="0" applyFont="1" applyAlignment="1">
      <alignment horizontal="distributed" vertical="center"/>
    </xf>
    <xf numFmtId="0" fontId="12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179" fontId="11" fillId="0" borderId="0" xfId="0" applyNumberFormat="1" applyFont="1" applyAlignment="1">
      <alignment horizontal="right" vertical="center"/>
    </xf>
    <xf numFmtId="179" fontId="13" fillId="0" borderId="0" xfId="0" applyNumberFormat="1" applyFont="1" applyAlignment="1">
      <alignment horizontal="right" vertical="center"/>
    </xf>
    <xf numFmtId="0" fontId="11" fillId="0" borderId="0" xfId="0" applyFont="1"/>
    <xf numFmtId="177" fontId="11" fillId="0" borderId="0" xfId="0" applyNumberFormat="1" applyFont="1"/>
    <xf numFmtId="0" fontId="9" fillId="2" borderId="0" xfId="0" applyFont="1" applyFill="1" applyAlignment="1">
      <alignment horizontal="right"/>
    </xf>
    <xf numFmtId="38" fontId="9" fillId="0" borderId="3" xfId="0" applyNumberFormat="1" applyFont="1" applyBorder="1" applyAlignment="1">
      <alignment horizontal="distributed" vertical="center"/>
    </xf>
    <xf numFmtId="38" fontId="9" fillId="0" borderId="4" xfId="0" applyNumberFormat="1" applyFont="1" applyBorder="1" applyAlignment="1">
      <alignment horizontal="center" vertical="center"/>
    </xf>
    <xf numFmtId="38" fontId="9" fillId="0" borderId="5" xfId="0" applyNumberFormat="1" applyFont="1" applyBorder="1" applyAlignment="1">
      <alignment horizontal="distributed" vertical="center"/>
    </xf>
    <xf numFmtId="180" fontId="9" fillId="0" borderId="6" xfId="0" applyNumberFormat="1" applyFont="1" applyBorder="1" applyAlignment="1">
      <alignment horizontal="center" vertical="center"/>
    </xf>
    <xf numFmtId="181" fontId="9" fillId="0" borderId="3" xfId="0" applyNumberFormat="1" applyFont="1" applyBorder="1" applyAlignment="1">
      <alignment horizontal="center" vertical="center"/>
    </xf>
    <xf numFmtId="182" fontId="9" fillId="0" borderId="7" xfId="0" applyNumberFormat="1" applyFont="1" applyBorder="1" applyAlignment="1">
      <alignment horizontal="center" vertical="center"/>
    </xf>
    <xf numFmtId="183" fontId="9" fillId="0" borderId="5" xfId="0" applyNumberFormat="1" applyFont="1" applyBorder="1" applyAlignment="1">
      <alignment horizontal="center" vertical="center"/>
    </xf>
    <xf numFmtId="184" fontId="9" fillId="0" borderId="6" xfId="0" applyNumberFormat="1" applyFont="1" applyBorder="1" applyAlignment="1">
      <alignment horizontal="center" vertical="center"/>
    </xf>
    <xf numFmtId="185" fontId="9" fillId="0" borderId="6" xfId="0" applyNumberFormat="1" applyFont="1" applyBorder="1" applyAlignment="1">
      <alignment horizontal="center" vertical="center"/>
    </xf>
    <xf numFmtId="186" fontId="9" fillId="0" borderId="3" xfId="0" applyNumberFormat="1" applyFont="1" applyBorder="1" applyAlignment="1">
      <alignment horizontal="center" vertical="center"/>
    </xf>
    <xf numFmtId="187" fontId="9" fillId="0" borderId="7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177" fontId="9" fillId="0" borderId="0" xfId="0" applyNumberFormat="1" applyFont="1" applyAlignment="1">
      <alignment horizontal="center"/>
    </xf>
    <xf numFmtId="188" fontId="9" fillId="2" borderId="0" xfId="0" applyNumberFormat="1" applyFont="1" applyFill="1" applyProtection="1">
      <protection locked="0"/>
    </xf>
    <xf numFmtId="188" fontId="13" fillId="0" borderId="3" xfId="0" applyNumberFormat="1" applyFont="1" applyBorder="1" applyAlignment="1">
      <alignment horizontal="distributed" vertical="center"/>
    </xf>
    <xf numFmtId="188" fontId="13" fillId="0" borderId="4" xfId="0" applyNumberFormat="1" applyFont="1" applyBorder="1" applyAlignment="1">
      <alignment vertical="center"/>
    </xf>
    <xf numFmtId="188" fontId="13" fillId="0" borderId="5" xfId="0" applyNumberFormat="1" applyFont="1" applyBorder="1" applyAlignment="1">
      <alignment horizontal="distributed" vertical="center"/>
    </xf>
    <xf numFmtId="188" fontId="13" fillId="0" borderId="6" xfId="0" applyNumberFormat="1" applyFont="1" applyBorder="1" applyAlignment="1">
      <alignment horizontal="distributed" vertical="distributed"/>
    </xf>
    <xf numFmtId="188" fontId="13" fillId="0" borderId="3" xfId="0" applyNumberFormat="1" applyFont="1" applyBorder="1" applyAlignment="1">
      <alignment horizontal="distributed" vertical="distributed"/>
    </xf>
    <xf numFmtId="188" fontId="13" fillId="0" borderId="8" xfId="0" applyNumberFormat="1" applyFont="1" applyBorder="1" applyAlignment="1">
      <alignment horizontal="distributed" vertical="distributed"/>
    </xf>
    <xf numFmtId="188" fontId="9" fillId="0" borderId="5" xfId="0" applyNumberFormat="1" applyFont="1" applyBorder="1" applyAlignment="1">
      <alignment vertical="distributed"/>
    </xf>
    <xf numFmtId="188" fontId="9" fillId="0" borderId="6" xfId="0" applyNumberFormat="1" applyFont="1" applyBorder="1" applyAlignment="1">
      <alignment vertical="distributed"/>
    </xf>
    <xf numFmtId="188" fontId="9" fillId="0" borderId="0" xfId="0" applyNumberFormat="1" applyFont="1"/>
    <xf numFmtId="189" fontId="9" fillId="2" borderId="0" xfId="0" applyNumberFormat="1" applyFont="1" applyFill="1" applyProtection="1">
      <protection locked="0"/>
    </xf>
    <xf numFmtId="189" fontId="9" fillId="4" borderId="3" xfId="0" applyNumberFormat="1" applyFont="1" applyFill="1" applyBorder="1" applyAlignment="1">
      <alignment horizontal="distributed" vertical="center"/>
    </xf>
    <xf numFmtId="189" fontId="9" fillId="4" borderId="4" xfId="0" applyNumberFormat="1" applyFont="1" applyFill="1" applyBorder="1" applyAlignment="1">
      <alignment vertical="center"/>
    </xf>
    <xf numFmtId="189" fontId="9" fillId="4" borderId="5" xfId="0" applyNumberFormat="1" applyFont="1" applyFill="1" applyBorder="1" applyAlignment="1">
      <alignment horizontal="distributed" vertical="center"/>
    </xf>
    <xf numFmtId="189" fontId="9" fillId="4" borderId="6" xfId="0" applyNumberFormat="1" applyFont="1" applyFill="1" applyBorder="1" applyAlignment="1">
      <alignment horizontal="right" vertical="center"/>
    </xf>
    <xf numFmtId="189" fontId="9" fillId="4" borderId="3" xfId="0" applyNumberFormat="1" applyFont="1" applyFill="1" applyBorder="1" applyAlignment="1">
      <alignment horizontal="right" vertical="center"/>
    </xf>
    <xf numFmtId="189" fontId="9" fillId="4" borderId="8" xfId="0" applyNumberFormat="1" applyFont="1" applyFill="1" applyBorder="1" applyAlignment="1">
      <alignment horizontal="right" vertical="center"/>
    </xf>
    <xf numFmtId="189" fontId="9" fillId="4" borderId="5" xfId="0" applyNumberFormat="1" applyFont="1" applyFill="1" applyBorder="1" applyAlignment="1">
      <alignment horizontal="right" vertical="center"/>
    </xf>
    <xf numFmtId="189" fontId="9" fillId="0" borderId="0" xfId="0" applyNumberFormat="1" applyFont="1"/>
    <xf numFmtId="188" fontId="13" fillId="5" borderId="3" xfId="0" applyNumberFormat="1" applyFont="1" applyFill="1" applyBorder="1" applyAlignment="1">
      <alignment horizontal="distributed" vertical="center"/>
    </xf>
    <xf numFmtId="188" fontId="13" fillId="5" borderId="4" xfId="0" applyNumberFormat="1" applyFont="1" applyFill="1" applyBorder="1" applyAlignment="1">
      <alignment vertical="center"/>
    </xf>
    <xf numFmtId="188" fontId="13" fillId="5" borderId="5" xfId="0" applyNumberFormat="1" applyFont="1" applyFill="1" applyBorder="1" applyAlignment="1">
      <alignment horizontal="distributed" vertical="center"/>
    </xf>
    <xf numFmtId="188" fontId="15" fillId="5" borderId="6" xfId="0" applyNumberFormat="1" applyFont="1" applyFill="1" applyBorder="1" applyAlignment="1">
      <alignment horizontal="right" vertical="center"/>
    </xf>
    <xf numFmtId="188" fontId="15" fillId="5" borderId="3" xfId="0" applyNumberFormat="1" applyFont="1" applyFill="1" applyBorder="1" applyAlignment="1">
      <alignment horizontal="right" vertical="center"/>
    </xf>
    <xf numFmtId="188" fontId="15" fillId="5" borderId="8" xfId="0" applyNumberFormat="1" applyFont="1" applyFill="1" applyBorder="1" applyAlignment="1">
      <alignment horizontal="right" vertical="center"/>
    </xf>
    <xf numFmtId="188" fontId="9" fillId="5" borderId="5" xfId="0" applyNumberFormat="1" applyFont="1" applyFill="1" applyBorder="1" applyAlignment="1">
      <alignment horizontal="right" vertical="center"/>
    </xf>
    <xf numFmtId="188" fontId="9" fillId="5" borderId="6" xfId="0" applyNumberFormat="1" applyFont="1" applyFill="1" applyBorder="1" applyAlignment="1">
      <alignment horizontal="right" vertical="center"/>
    </xf>
    <xf numFmtId="188" fontId="13" fillId="0" borderId="9" xfId="0" applyNumberFormat="1" applyFont="1" applyBorder="1" applyAlignment="1">
      <alignment horizontal="distributed" vertical="center"/>
    </xf>
    <xf numFmtId="188" fontId="13" fillId="0" borderId="10" xfId="0" applyNumberFormat="1" applyFont="1" applyBorder="1" applyAlignment="1">
      <alignment vertical="center"/>
    </xf>
    <xf numFmtId="188" fontId="13" fillId="0" borderId="11" xfId="0" applyNumberFormat="1" applyFont="1" applyBorder="1" applyAlignment="1">
      <alignment horizontal="distributed" vertical="center"/>
    </xf>
    <xf numFmtId="188" fontId="15" fillId="0" borderId="12" xfId="0" applyNumberFormat="1" applyFont="1" applyBorder="1" applyAlignment="1">
      <alignment horizontal="right" vertical="center"/>
    </xf>
    <xf numFmtId="188" fontId="15" fillId="0" borderId="9" xfId="0" applyNumberFormat="1" applyFont="1" applyBorder="1" applyAlignment="1">
      <alignment horizontal="right" vertical="center"/>
    </xf>
    <xf numFmtId="188" fontId="15" fillId="0" borderId="13" xfId="0" applyNumberFormat="1" applyFont="1" applyBorder="1" applyAlignment="1">
      <alignment horizontal="right" vertical="center"/>
    </xf>
    <xf numFmtId="188" fontId="9" fillId="0" borderId="11" xfId="0" applyNumberFormat="1" applyFont="1" applyBorder="1" applyAlignment="1">
      <alignment horizontal="right" vertical="center"/>
    </xf>
    <xf numFmtId="188" fontId="9" fillId="0" borderId="12" xfId="0" applyNumberFormat="1" applyFont="1" applyBorder="1" applyAlignment="1" applyProtection="1">
      <alignment horizontal="right" vertical="center"/>
      <protection locked="0"/>
    </xf>
    <xf numFmtId="188" fontId="13" fillId="0" borderId="14" xfId="0" applyNumberFormat="1" applyFont="1" applyBorder="1" applyAlignment="1">
      <alignment horizontal="distributed" vertical="center"/>
    </xf>
    <xf numFmtId="188" fontId="13" fillId="0" borderId="0" xfId="0" applyNumberFormat="1" applyFont="1" applyAlignment="1">
      <alignment vertical="center"/>
    </xf>
    <xf numFmtId="188" fontId="13" fillId="0" borderId="15" xfId="0" applyNumberFormat="1" applyFont="1" applyBorder="1" applyAlignment="1">
      <alignment horizontal="distributed" vertical="center"/>
    </xf>
    <xf numFmtId="188" fontId="15" fillId="0" borderId="16" xfId="0" applyNumberFormat="1" applyFont="1" applyBorder="1" applyAlignment="1">
      <alignment horizontal="right" vertical="center"/>
    </xf>
    <xf numFmtId="188" fontId="15" fillId="0" borderId="14" xfId="0" applyNumberFormat="1" applyFont="1" applyBorder="1" applyAlignment="1">
      <alignment horizontal="right" vertical="center"/>
    </xf>
    <xf numFmtId="188" fontId="15" fillId="0" borderId="17" xfId="0" applyNumberFormat="1" applyFont="1" applyBorder="1" applyAlignment="1">
      <alignment horizontal="right" vertical="center"/>
    </xf>
    <xf numFmtId="188" fontId="9" fillId="0" borderId="15" xfId="0" applyNumberFormat="1" applyFont="1" applyBorder="1" applyAlignment="1">
      <alignment horizontal="right" vertical="center"/>
    </xf>
    <xf numFmtId="188" fontId="9" fillId="0" borderId="16" xfId="0" applyNumberFormat="1" applyFont="1" applyBorder="1" applyAlignment="1" applyProtection="1">
      <alignment horizontal="right" vertical="center"/>
      <protection locked="0"/>
    </xf>
    <xf numFmtId="188" fontId="13" fillId="0" borderId="18" xfId="0" applyNumberFormat="1" applyFont="1" applyBorder="1" applyAlignment="1">
      <alignment horizontal="distributed" vertical="center"/>
    </xf>
    <xf numFmtId="188" fontId="13" fillId="0" borderId="19" xfId="0" applyNumberFormat="1" applyFont="1" applyBorder="1" applyAlignment="1">
      <alignment vertical="center"/>
    </xf>
    <xf numFmtId="188" fontId="13" fillId="0" borderId="20" xfId="0" applyNumberFormat="1" applyFont="1" applyBorder="1" applyAlignment="1">
      <alignment horizontal="distributed" vertical="center"/>
    </xf>
    <xf numFmtId="188" fontId="15" fillId="0" borderId="21" xfId="0" applyNumberFormat="1" applyFont="1" applyBorder="1" applyAlignment="1">
      <alignment horizontal="right" vertical="center"/>
    </xf>
    <xf numFmtId="188" fontId="15" fillId="0" borderId="18" xfId="0" applyNumberFormat="1" applyFont="1" applyBorder="1" applyAlignment="1">
      <alignment horizontal="right" vertical="center"/>
    </xf>
    <xf numFmtId="188" fontId="15" fillId="0" borderId="22" xfId="0" applyNumberFormat="1" applyFont="1" applyBorder="1" applyAlignment="1">
      <alignment horizontal="right" vertical="center"/>
    </xf>
    <xf numFmtId="188" fontId="9" fillId="0" borderId="20" xfId="0" applyNumberFormat="1" applyFont="1" applyBorder="1" applyAlignment="1">
      <alignment horizontal="right" vertical="center"/>
    </xf>
    <xf numFmtId="188" fontId="9" fillId="0" borderId="21" xfId="0" applyNumberFormat="1" applyFont="1" applyBorder="1" applyAlignment="1" applyProtection="1">
      <alignment horizontal="right" vertical="center"/>
      <protection locked="0"/>
    </xf>
    <xf numFmtId="188" fontId="9" fillId="0" borderId="14" xfId="0" applyNumberFormat="1" applyFont="1" applyBorder="1" applyAlignment="1">
      <alignment horizontal="distributed" vertical="center"/>
    </xf>
    <xf numFmtId="188" fontId="9" fillId="0" borderId="0" xfId="0" applyNumberFormat="1" applyFont="1" applyAlignment="1">
      <alignment vertical="center"/>
    </xf>
    <xf numFmtId="188" fontId="15" fillId="6" borderId="9" xfId="0" applyNumberFormat="1" applyFont="1" applyFill="1" applyBorder="1" applyAlignment="1">
      <alignment horizontal="right" vertical="center"/>
    </xf>
    <xf numFmtId="188" fontId="9" fillId="6" borderId="11" xfId="0" applyNumberFormat="1" applyFont="1" applyFill="1" applyBorder="1" applyAlignment="1">
      <alignment horizontal="right" vertical="center"/>
    </xf>
    <xf numFmtId="188" fontId="9" fillId="6" borderId="12" xfId="0" applyNumberFormat="1" applyFont="1" applyFill="1" applyBorder="1" applyAlignment="1" applyProtection="1">
      <alignment horizontal="right" vertical="center"/>
      <protection locked="0"/>
    </xf>
    <xf numFmtId="188" fontId="9" fillId="7" borderId="12" xfId="0" applyNumberFormat="1" applyFont="1" applyFill="1" applyBorder="1" applyAlignment="1" applyProtection="1">
      <alignment horizontal="right" vertical="center"/>
      <protection locked="0"/>
    </xf>
    <xf numFmtId="188" fontId="13" fillId="6" borderId="9" xfId="0" applyNumberFormat="1" applyFont="1" applyFill="1" applyBorder="1" applyAlignment="1">
      <alignment horizontal="distributed" vertical="center"/>
    </xf>
    <xf numFmtId="188" fontId="13" fillId="6" borderId="10" xfId="0" applyNumberFormat="1" applyFont="1" applyFill="1" applyBorder="1" applyAlignment="1">
      <alignment vertical="center"/>
    </xf>
    <xf numFmtId="188" fontId="13" fillId="6" borderId="11" xfId="0" applyNumberFormat="1" applyFont="1" applyFill="1" applyBorder="1" applyAlignment="1">
      <alignment horizontal="distributed" vertical="center"/>
    </xf>
    <xf numFmtId="188" fontId="15" fillId="6" borderId="13" xfId="0" applyNumberFormat="1" applyFont="1" applyFill="1" applyBorder="1" applyAlignment="1">
      <alignment horizontal="right" vertical="center"/>
    </xf>
    <xf numFmtId="188" fontId="15" fillId="6" borderId="14" xfId="0" applyNumberFormat="1" applyFont="1" applyFill="1" applyBorder="1" applyAlignment="1">
      <alignment horizontal="right" vertical="center"/>
    </xf>
    <xf numFmtId="188" fontId="9" fillId="6" borderId="15" xfId="0" applyNumberFormat="1" applyFont="1" applyFill="1" applyBorder="1" applyAlignment="1">
      <alignment horizontal="right" vertical="center"/>
    </xf>
    <xf numFmtId="188" fontId="9" fillId="6" borderId="16" xfId="0" applyNumberFormat="1" applyFont="1" applyFill="1" applyBorder="1" applyAlignment="1" applyProtection="1">
      <alignment horizontal="right" vertical="center"/>
      <protection locked="0"/>
    </xf>
    <xf numFmtId="188" fontId="9" fillId="7" borderId="16" xfId="0" applyNumberFormat="1" applyFont="1" applyFill="1" applyBorder="1" applyAlignment="1" applyProtection="1">
      <alignment horizontal="right" vertical="center"/>
      <protection locked="0"/>
    </xf>
    <xf numFmtId="188" fontId="13" fillId="6" borderId="14" xfId="0" applyNumberFormat="1" applyFont="1" applyFill="1" applyBorder="1" applyAlignment="1">
      <alignment horizontal="distributed" vertical="center"/>
    </xf>
    <xf numFmtId="188" fontId="13" fillId="6" borderId="0" xfId="0" applyNumberFormat="1" applyFont="1" applyFill="1" applyAlignment="1">
      <alignment vertical="center"/>
    </xf>
    <xf numFmtId="188" fontId="13" fillId="6" borderId="15" xfId="0" applyNumberFormat="1" applyFont="1" applyFill="1" applyBorder="1" applyAlignment="1">
      <alignment horizontal="distributed" vertical="center"/>
    </xf>
    <xf numFmtId="188" fontId="15" fillId="6" borderId="17" xfId="0" applyNumberFormat="1" applyFont="1" applyFill="1" applyBorder="1" applyAlignment="1">
      <alignment horizontal="right" vertical="center"/>
    </xf>
    <xf numFmtId="188" fontId="15" fillId="6" borderId="18" xfId="0" applyNumberFormat="1" applyFont="1" applyFill="1" applyBorder="1" applyAlignment="1">
      <alignment horizontal="right" vertical="center"/>
    </xf>
    <xf numFmtId="188" fontId="9" fillId="6" borderId="20" xfId="0" applyNumberFormat="1" applyFont="1" applyFill="1" applyBorder="1" applyAlignment="1">
      <alignment horizontal="right" vertical="center"/>
    </xf>
    <xf numFmtId="188" fontId="9" fillId="6" borderId="21" xfId="0" applyNumberFormat="1" applyFont="1" applyFill="1" applyBorder="1" applyAlignment="1" applyProtection="1">
      <alignment horizontal="right" vertical="center"/>
      <protection locked="0"/>
    </xf>
    <xf numFmtId="188" fontId="13" fillId="6" borderId="18" xfId="0" applyNumberFormat="1" applyFont="1" applyFill="1" applyBorder="1" applyAlignment="1">
      <alignment horizontal="distributed" vertical="center"/>
    </xf>
    <xf numFmtId="188" fontId="13" fillId="6" borderId="19" xfId="0" applyNumberFormat="1" applyFont="1" applyFill="1" applyBorder="1" applyAlignment="1">
      <alignment vertical="center"/>
    </xf>
    <xf numFmtId="188" fontId="13" fillId="6" borderId="20" xfId="0" applyNumberFormat="1" applyFont="1" applyFill="1" applyBorder="1" applyAlignment="1">
      <alignment horizontal="distributed" vertical="center"/>
    </xf>
    <xf numFmtId="188" fontId="15" fillId="6" borderId="22" xfId="0" applyNumberFormat="1" applyFont="1" applyFill="1" applyBorder="1" applyAlignment="1">
      <alignment horizontal="right" vertical="center"/>
    </xf>
    <xf numFmtId="188" fontId="9" fillId="0" borderId="15" xfId="0" applyNumberFormat="1" applyFont="1" applyBorder="1" applyAlignment="1">
      <alignment horizontal="distributed" vertical="center"/>
    </xf>
    <xf numFmtId="188" fontId="9" fillId="0" borderId="14" xfId="0" applyNumberFormat="1" applyFont="1" applyBorder="1" applyAlignment="1">
      <alignment horizontal="right" vertical="center"/>
    </xf>
    <xf numFmtId="188" fontId="9" fillId="0" borderId="17" xfId="0" applyNumberFormat="1" applyFont="1" applyBorder="1" applyAlignment="1">
      <alignment horizontal="right" vertical="center"/>
    </xf>
    <xf numFmtId="188" fontId="9" fillId="0" borderId="12" xfId="0" applyNumberFormat="1" applyFont="1" applyBorder="1" applyAlignment="1">
      <alignment horizontal="right" vertical="center"/>
    </xf>
    <xf numFmtId="188" fontId="9" fillId="0" borderId="16" xfId="0" applyNumberFormat="1" applyFont="1" applyBorder="1" applyAlignment="1">
      <alignment horizontal="right" vertical="center"/>
    </xf>
    <xf numFmtId="188" fontId="9" fillId="0" borderId="16" xfId="0" applyNumberFormat="1" applyFont="1" applyBorder="1" applyAlignment="1" applyProtection="1">
      <alignment horizontal="right" vertical="center" wrapText="1"/>
      <protection locked="0"/>
    </xf>
    <xf numFmtId="188" fontId="9" fillId="0" borderId="16" xfId="0" applyNumberFormat="1" applyFont="1" applyBorder="1" applyProtection="1">
      <protection locked="0"/>
    </xf>
    <xf numFmtId="188" fontId="9" fillId="0" borderId="0" xfId="0" applyNumberFormat="1" applyFont="1" applyProtection="1">
      <protection locked="0"/>
    </xf>
    <xf numFmtId="188" fontId="9" fillId="0" borderId="21" xfId="0" applyNumberFormat="1" applyFont="1" applyBorder="1" applyAlignment="1">
      <alignment horizontal="right" vertical="center"/>
    </xf>
    <xf numFmtId="188" fontId="13" fillId="0" borderId="21" xfId="0" applyNumberFormat="1" applyFont="1" applyBorder="1" applyAlignment="1" applyProtection="1">
      <alignment horizontal="right" vertical="center"/>
      <protection locked="0"/>
    </xf>
    <xf numFmtId="188" fontId="9" fillId="5" borderId="6" xfId="0" applyNumberFormat="1" applyFont="1" applyFill="1" applyBorder="1" applyAlignment="1" applyProtection="1">
      <alignment horizontal="right" vertical="center"/>
      <protection locked="0"/>
    </xf>
    <xf numFmtId="189" fontId="9" fillId="3" borderId="4" xfId="0" applyNumberFormat="1" applyFont="1" applyFill="1" applyBorder="1" applyAlignment="1">
      <alignment vertical="center"/>
    </xf>
    <xf numFmtId="189" fontId="9" fillId="3" borderId="5" xfId="0" applyNumberFormat="1" applyFont="1" applyFill="1" applyBorder="1" applyAlignment="1">
      <alignment horizontal="distributed" vertical="center"/>
    </xf>
    <xf numFmtId="189" fontId="9" fillId="3" borderId="6" xfId="0" applyNumberFormat="1" applyFont="1" applyFill="1" applyBorder="1" applyAlignment="1">
      <alignment horizontal="right" vertical="center"/>
    </xf>
    <xf numFmtId="189" fontId="9" fillId="3" borderId="3" xfId="0" applyNumberFormat="1" applyFont="1" applyFill="1" applyBorder="1" applyAlignment="1">
      <alignment horizontal="right" vertical="center"/>
    </xf>
    <xf numFmtId="189" fontId="9" fillId="3" borderId="8" xfId="0" applyNumberFormat="1" applyFont="1" applyFill="1" applyBorder="1" applyAlignment="1">
      <alignment horizontal="right" vertical="center"/>
    </xf>
    <xf numFmtId="189" fontId="9" fillId="3" borderId="5" xfId="0" applyNumberFormat="1" applyFont="1" applyFill="1" applyBorder="1" applyAlignment="1">
      <alignment horizontal="right" vertical="center"/>
    </xf>
    <xf numFmtId="189" fontId="9" fillId="3" borderId="3" xfId="0" applyNumberFormat="1" applyFont="1" applyFill="1" applyBorder="1" applyAlignment="1">
      <alignment horizontal="distributed" vertical="center"/>
    </xf>
    <xf numFmtId="188" fontId="13" fillId="0" borderId="0" xfId="0" applyNumberFormat="1" applyFont="1" applyAlignment="1">
      <alignment vertical="center" wrapText="1"/>
    </xf>
    <xf numFmtId="188" fontId="13" fillId="0" borderId="16" xfId="0" applyNumberFormat="1" applyFont="1" applyBorder="1" applyAlignment="1">
      <alignment horizontal="right" vertical="center"/>
    </xf>
    <xf numFmtId="188" fontId="13" fillId="0" borderId="14" xfId="0" applyNumberFormat="1" applyFont="1" applyBorder="1" applyAlignment="1">
      <alignment horizontal="right" vertical="center"/>
    </xf>
    <xf numFmtId="188" fontId="13" fillId="0" borderId="17" xfId="0" applyNumberFormat="1" applyFont="1" applyBorder="1" applyAlignment="1">
      <alignment horizontal="right" vertical="center"/>
    </xf>
    <xf numFmtId="188" fontId="13" fillId="0" borderId="21" xfId="0" applyNumberFormat="1" applyFont="1" applyBorder="1" applyAlignment="1">
      <alignment horizontal="right" vertical="center"/>
    </xf>
    <xf numFmtId="188" fontId="13" fillId="0" borderId="18" xfId="0" applyNumberFormat="1" applyFont="1" applyBorder="1" applyAlignment="1">
      <alignment horizontal="right" vertical="center"/>
    </xf>
    <xf numFmtId="188" fontId="13" fillId="0" borderId="22" xfId="0" applyNumberFormat="1" applyFont="1" applyBorder="1" applyAlignment="1">
      <alignment horizontal="right" vertical="center"/>
    </xf>
    <xf numFmtId="188" fontId="15" fillId="0" borderId="6" xfId="0" applyNumberFormat="1" applyFont="1" applyBorder="1" applyAlignment="1">
      <alignment horizontal="right" vertical="center"/>
    </xf>
    <xf numFmtId="188" fontId="15" fillId="0" borderId="3" xfId="0" applyNumberFormat="1" applyFont="1" applyBorder="1" applyAlignment="1">
      <alignment horizontal="right" vertical="center"/>
    </xf>
    <xf numFmtId="188" fontId="15" fillId="0" borderId="8" xfId="0" applyNumberFormat="1" applyFont="1" applyBorder="1" applyAlignment="1">
      <alignment horizontal="right" vertical="center"/>
    </xf>
    <xf numFmtId="188" fontId="9" fillId="0" borderId="5" xfId="0" applyNumberFormat="1" applyFont="1" applyBorder="1" applyAlignment="1">
      <alignment horizontal="right" vertical="center"/>
    </xf>
    <xf numFmtId="188" fontId="9" fillId="0" borderId="6" xfId="0" applyNumberFormat="1" applyFont="1" applyBorder="1" applyAlignment="1" applyProtection="1">
      <alignment horizontal="right" vertical="center"/>
      <protection locked="0"/>
    </xf>
    <xf numFmtId="188" fontId="9" fillId="0" borderId="19" xfId="0" applyNumberFormat="1" applyFont="1" applyBorder="1" applyAlignment="1">
      <alignment vertical="center"/>
    </xf>
    <xf numFmtId="188" fontId="9" fillId="0" borderId="20" xfId="0" applyNumberFormat="1" applyFont="1" applyBorder="1" applyAlignment="1">
      <alignment horizontal="distributed" vertical="center"/>
    </xf>
    <xf numFmtId="188" fontId="9" fillId="0" borderId="18" xfId="0" applyNumberFormat="1" applyFont="1" applyBorder="1" applyAlignment="1">
      <alignment horizontal="right" vertical="center"/>
    </xf>
    <xf numFmtId="188" fontId="9" fillId="0" borderId="22" xfId="0" applyNumberFormat="1" applyFont="1" applyBorder="1" applyAlignment="1">
      <alignment horizontal="right" vertical="center"/>
    </xf>
    <xf numFmtId="188" fontId="9" fillId="0" borderId="18" xfId="0" applyNumberFormat="1" applyFont="1" applyBorder="1" applyAlignment="1">
      <alignment horizontal="distributed" vertical="center"/>
    </xf>
    <xf numFmtId="188" fontId="9" fillId="7" borderId="6" xfId="0" applyNumberFormat="1" applyFont="1" applyFill="1" applyBorder="1" applyAlignment="1" applyProtection="1">
      <alignment horizontal="right" vertical="center"/>
      <protection locked="0"/>
    </xf>
    <xf numFmtId="188" fontId="9" fillId="0" borderId="10" xfId="0" applyNumberFormat="1" applyFont="1" applyBorder="1" applyAlignment="1">
      <alignment vertical="center"/>
    </xf>
    <xf numFmtId="188" fontId="9" fillId="0" borderId="11" xfId="0" applyNumberFormat="1" applyFont="1" applyBorder="1" applyAlignment="1">
      <alignment horizontal="distributed" vertical="center"/>
    </xf>
    <xf numFmtId="188" fontId="9" fillId="0" borderId="9" xfId="0" applyNumberFormat="1" applyFont="1" applyBorder="1" applyAlignment="1">
      <alignment horizontal="right" vertical="center"/>
    </xf>
    <xf numFmtId="188" fontId="9" fillId="0" borderId="13" xfId="0" applyNumberFormat="1" applyFont="1" applyBorder="1" applyAlignment="1">
      <alignment horizontal="right" vertical="center"/>
    </xf>
    <xf numFmtId="188" fontId="9" fillId="0" borderId="9" xfId="0" applyNumberFormat="1" applyFont="1" applyBorder="1" applyAlignment="1">
      <alignment horizontal="distributed" vertical="center"/>
    </xf>
    <xf numFmtId="189" fontId="16" fillId="8" borderId="4" xfId="0" applyNumberFormat="1" applyFont="1" applyFill="1" applyBorder="1" applyAlignment="1">
      <alignment vertical="center"/>
    </xf>
    <xf numFmtId="189" fontId="16" fillId="8" borderId="5" xfId="0" applyNumberFormat="1" applyFont="1" applyFill="1" applyBorder="1" applyAlignment="1">
      <alignment horizontal="distributed" vertical="center"/>
    </xf>
    <xf numFmtId="189" fontId="16" fillId="8" borderId="6" xfId="0" applyNumberFormat="1" applyFont="1" applyFill="1" applyBorder="1" applyAlignment="1">
      <alignment horizontal="right" vertical="center"/>
    </xf>
    <xf numFmtId="189" fontId="16" fillId="8" borderId="3" xfId="0" applyNumberFormat="1" applyFont="1" applyFill="1" applyBorder="1" applyAlignment="1">
      <alignment horizontal="right" vertical="center"/>
    </xf>
    <xf numFmtId="189" fontId="16" fillId="8" borderId="8" xfId="0" applyNumberFormat="1" applyFont="1" applyFill="1" applyBorder="1" applyAlignment="1">
      <alignment horizontal="right" vertical="center"/>
    </xf>
    <xf numFmtId="189" fontId="16" fillId="8" borderId="5" xfId="0" applyNumberFormat="1" applyFont="1" applyFill="1" applyBorder="1" applyAlignment="1">
      <alignment horizontal="right" vertical="center"/>
    </xf>
    <xf numFmtId="189" fontId="16" fillId="8" borderId="3" xfId="0" applyNumberFormat="1" applyFont="1" applyFill="1" applyBorder="1" applyAlignment="1">
      <alignment horizontal="distributed" vertical="center"/>
    </xf>
    <xf numFmtId="189" fontId="16" fillId="0" borderId="0" xfId="0" applyNumberFormat="1" applyFont="1"/>
    <xf numFmtId="188" fontId="15" fillId="6" borderId="12" xfId="0" applyNumberFormat="1" applyFont="1" applyFill="1" applyBorder="1" applyAlignment="1">
      <alignment horizontal="right" vertical="center"/>
    </xf>
    <xf numFmtId="188" fontId="15" fillId="6" borderId="21" xfId="0" applyNumberFormat="1" applyFont="1" applyFill="1" applyBorder="1" applyAlignment="1">
      <alignment horizontal="right" vertical="center"/>
    </xf>
    <xf numFmtId="188" fontId="15" fillId="6" borderId="16" xfId="0" applyNumberFormat="1" applyFont="1" applyFill="1" applyBorder="1" applyAlignment="1">
      <alignment horizontal="right" vertical="center"/>
    </xf>
    <xf numFmtId="188" fontId="13" fillId="5" borderId="0" xfId="0" applyNumberFormat="1" applyFont="1" applyFill="1" applyAlignment="1">
      <alignment horizontal="left" vertical="center"/>
    </xf>
    <xf numFmtId="188" fontId="13" fillId="5" borderId="15" xfId="0" applyNumberFormat="1" applyFont="1" applyFill="1" applyBorder="1" applyAlignment="1">
      <alignment horizontal="distributed" vertical="center"/>
    </xf>
    <xf numFmtId="188" fontId="15" fillId="5" borderId="16" xfId="0" applyNumberFormat="1" applyFont="1" applyFill="1" applyBorder="1" applyAlignment="1">
      <alignment horizontal="right" vertical="center"/>
    </xf>
    <xf numFmtId="188" fontId="15" fillId="5" borderId="14" xfId="0" applyNumberFormat="1" applyFont="1" applyFill="1" applyBorder="1" applyAlignment="1">
      <alignment horizontal="right" vertical="center"/>
    </xf>
    <xf numFmtId="188" fontId="15" fillId="5" borderId="17" xfId="0" applyNumberFormat="1" applyFont="1" applyFill="1" applyBorder="1" applyAlignment="1">
      <alignment horizontal="right" vertical="center"/>
    </xf>
    <xf numFmtId="188" fontId="9" fillId="5" borderId="15" xfId="0" applyNumberFormat="1" applyFont="1" applyFill="1" applyBorder="1" applyAlignment="1">
      <alignment horizontal="right" vertical="center"/>
    </xf>
    <xf numFmtId="188" fontId="9" fillId="5" borderId="16" xfId="0" applyNumberFormat="1" applyFont="1" applyFill="1" applyBorder="1" applyAlignment="1">
      <alignment horizontal="right" vertical="center"/>
    </xf>
    <xf numFmtId="188" fontId="13" fillId="5" borderId="14" xfId="0" applyNumberFormat="1" applyFont="1" applyFill="1" applyBorder="1" applyAlignment="1">
      <alignment horizontal="distributed" vertical="center"/>
    </xf>
    <xf numFmtId="188" fontId="9" fillId="3" borderId="16" xfId="0" applyNumberFormat="1" applyFont="1" applyFill="1" applyBorder="1" applyAlignment="1" applyProtection="1">
      <alignment horizontal="right" vertical="center"/>
      <protection locked="0"/>
    </xf>
    <xf numFmtId="188" fontId="9" fillId="5" borderId="16" xfId="0" applyNumberFormat="1" applyFont="1" applyFill="1" applyBorder="1" applyAlignment="1" applyProtection="1">
      <alignment horizontal="right" vertical="center"/>
      <protection locked="0"/>
    </xf>
    <xf numFmtId="188" fontId="13" fillId="7" borderId="0" xfId="0" applyNumberFormat="1" applyFont="1" applyFill="1" applyAlignment="1">
      <alignment horizontal="left" vertical="center"/>
    </xf>
    <xf numFmtId="188" fontId="13" fillId="5" borderId="19" xfId="0" applyNumberFormat="1" applyFont="1" applyFill="1" applyBorder="1" applyAlignment="1">
      <alignment horizontal="left" vertical="center"/>
    </xf>
    <xf numFmtId="188" fontId="13" fillId="5" borderId="20" xfId="0" applyNumberFormat="1" applyFont="1" applyFill="1" applyBorder="1" applyAlignment="1">
      <alignment horizontal="distributed" vertical="center"/>
    </xf>
    <xf numFmtId="188" fontId="15" fillId="5" borderId="21" xfId="0" applyNumberFormat="1" applyFont="1" applyFill="1" applyBorder="1" applyAlignment="1">
      <alignment horizontal="right" vertical="center"/>
    </xf>
    <xf numFmtId="188" fontId="15" fillId="5" borderId="18" xfId="0" applyNumberFormat="1" applyFont="1" applyFill="1" applyBorder="1" applyAlignment="1">
      <alignment horizontal="right" vertical="center"/>
    </xf>
    <xf numFmtId="188" fontId="15" fillId="5" borderId="22" xfId="0" applyNumberFormat="1" applyFont="1" applyFill="1" applyBorder="1" applyAlignment="1">
      <alignment horizontal="right" vertical="center"/>
    </xf>
    <xf numFmtId="188" fontId="9" fillId="5" borderId="20" xfId="0" applyNumberFormat="1" applyFont="1" applyFill="1" applyBorder="1" applyAlignment="1">
      <alignment horizontal="right" vertical="center"/>
    </xf>
    <xf numFmtId="188" fontId="9" fillId="5" borderId="21" xfId="0" applyNumberFormat="1" applyFont="1" applyFill="1" applyBorder="1" applyAlignment="1">
      <alignment horizontal="right" vertical="center"/>
    </xf>
    <xf numFmtId="188" fontId="13" fillId="5" borderId="18" xfId="0" applyNumberFormat="1" applyFont="1" applyFill="1" applyBorder="1" applyAlignment="1">
      <alignment horizontal="distributed" vertical="center"/>
    </xf>
    <xf numFmtId="189" fontId="18" fillId="0" borderId="0" xfId="0" applyNumberFormat="1" applyFont="1"/>
    <xf numFmtId="188" fontId="13" fillId="0" borderId="6" xfId="0" applyNumberFormat="1" applyFont="1" applyBorder="1" applyAlignment="1">
      <alignment horizontal="right" vertical="center"/>
    </xf>
    <xf numFmtId="188" fontId="13" fillId="0" borderId="3" xfId="0" applyNumberFormat="1" applyFont="1" applyBorder="1" applyAlignment="1">
      <alignment horizontal="right" vertical="center"/>
    </xf>
    <xf numFmtId="188" fontId="13" fillId="0" borderId="8" xfId="0" applyNumberFormat="1" applyFont="1" applyBorder="1" applyAlignment="1">
      <alignment horizontal="right" vertical="center"/>
    </xf>
    <xf numFmtId="188" fontId="9" fillId="0" borderId="6" xfId="0" applyNumberFormat="1" applyFont="1" applyBorder="1" applyAlignment="1">
      <alignment horizontal="right" vertical="center"/>
    </xf>
    <xf numFmtId="188" fontId="11" fillId="0" borderId="4" xfId="0" applyNumberFormat="1" applyFont="1" applyBorder="1" applyAlignment="1">
      <alignment vertical="center"/>
    </xf>
    <xf numFmtId="188" fontId="11" fillId="0" borderId="5" xfId="0" applyNumberFormat="1" applyFont="1" applyBorder="1" applyAlignment="1">
      <alignment horizontal="distributed" vertical="center"/>
    </xf>
    <xf numFmtId="188" fontId="11" fillId="0" borderId="6" xfId="0" applyNumberFormat="1" applyFont="1" applyBorder="1" applyAlignment="1">
      <alignment horizontal="right" vertical="center"/>
    </xf>
    <xf numFmtId="188" fontId="11" fillId="0" borderId="3" xfId="0" applyNumberFormat="1" applyFont="1" applyBorder="1" applyAlignment="1">
      <alignment horizontal="right" vertical="center"/>
    </xf>
    <xf numFmtId="179" fontId="11" fillId="0" borderId="17" xfId="0" applyNumberFormat="1" applyFont="1" applyBorder="1" applyAlignment="1">
      <alignment horizontal="right" vertical="center"/>
    </xf>
    <xf numFmtId="188" fontId="11" fillId="0" borderId="5" xfId="0" applyNumberFormat="1" applyFont="1" applyBorder="1" applyAlignment="1">
      <alignment horizontal="right" vertical="center"/>
    </xf>
    <xf numFmtId="188" fontId="11" fillId="0" borderId="3" xfId="0" applyNumberFormat="1" applyFont="1" applyBorder="1" applyAlignment="1">
      <alignment horizontal="distributed" vertical="center"/>
    </xf>
    <xf numFmtId="188" fontId="11" fillId="0" borderId="0" xfId="0" applyNumberFormat="1" applyFont="1"/>
    <xf numFmtId="189" fontId="16" fillId="8" borderId="10" xfId="0" applyNumberFormat="1" applyFont="1" applyFill="1" applyBorder="1" applyAlignment="1">
      <alignment vertical="center"/>
    </xf>
    <xf numFmtId="189" fontId="16" fillId="8" borderId="11" xfId="0" applyNumberFormat="1" applyFont="1" applyFill="1" applyBorder="1" applyAlignment="1">
      <alignment horizontal="distributed" vertical="center"/>
    </xf>
    <xf numFmtId="189" fontId="16" fillId="8" borderId="13" xfId="0" applyNumberFormat="1" applyFont="1" applyFill="1" applyBorder="1" applyAlignment="1">
      <alignment horizontal="right" vertical="center"/>
    </xf>
    <xf numFmtId="190" fontId="16" fillId="8" borderId="11" xfId="0" applyNumberFormat="1" applyFont="1" applyFill="1" applyBorder="1" applyAlignment="1">
      <alignment horizontal="right" vertical="center"/>
    </xf>
    <xf numFmtId="189" fontId="16" fillId="8" borderId="12" xfId="0" applyNumberFormat="1" applyFont="1" applyFill="1" applyBorder="1" applyAlignment="1">
      <alignment horizontal="right" vertical="center"/>
    </xf>
    <xf numFmtId="189" fontId="16" fillId="8" borderId="9" xfId="0" applyNumberFormat="1" applyFont="1" applyFill="1" applyBorder="1" applyAlignment="1">
      <alignment horizontal="distributed" vertical="center"/>
    </xf>
    <xf numFmtId="188" fontId="9" fillId="5" borderId="19" xfId="0" applyNumberFormat="1" applyFont="1" applyFill="1" applyBorder="1" applyAlignment="1">
      <alignment vertical="center"/>
    </xf>
    <xf numFmtId="188" fontId="9" fillId="5" borderId="20" xfId="0" applyNumberFormat="1" applyFont="1" applyFill="1" applyBorder="1" applyAlignment="1">
      <alignment horizontal="distributed" vertical="center"/>
    </xf>
    <xf numFmtId="188" fontId="9" fillId="5" borderId="18" xfId="0" applyNumberFormat="1" applyFont="1" applyFill="1" applyBorder="1" applyAlignment="1">
      <alignment horizontal="right" vertical="center"/>
    </xf>
    <xf numFmtId="188" fontId="9" fillId="5" borderId="22" xfId="0" applyNumberFormat="1" applyFont="1" applyFill="1" applyBorder="1" applyAlignment="1">
      <alignment vertical="center"/>
    </xf>
    <xf numFmtId="190" fontId="9" fillId="5" borderId="20" xfId="0" applyNumberFormat="1" applyFont="1" applyFill="1" applyBorder="1" applyAlignment="1">
      <alignment horizontal="right" vertical="center"/>
    </xf>
    <xf numFmtId="188" fontId="9" fillId="5" borderId="21" xfId="0" applyNumberFormat="1" applyFont="1" applyFill="1" applyBorder="1" applyAlignment="1" applyProtection="1">
      <alignment horizontal="right" vertical="center"/>
      <protection locked="0"/>
    </xf>
    <xf numFmtId="188" fontId="9" fillId="5" borderId="18" xfId="0" applyNumberFormat="1" applyFont="1" applyFill="1" applyBorder="1" applyAlignment="1">
      <alignment horizontal="distributed" vertical="center"/>
    </xf>
    <xf numFmtId="188" fontId="9" fillId="5" borderId="4" xfId="0" applyNumberFormat="1" applyFont="1" applyFill="1" applyBorder="1" applyAlignment="1">
      <alignment vertical="center"/>
    </xf>
    <xf numFmtId="188" fontId="9" fillId="5" borderId="5" xfId="0" applyNumberFormat="1" applyFont="1" applyFill="1" applyBorder="1" applyAlignment="1">
      <alignment horizontal="distributed" vertical="center"/>
    </xf>
    <xf numFmtId="188" fontId="9" fillId="5" borderId="3" xfId="0" applyNumberFormat="1" applyFont="1" applyFill="1" applyBorder="1" applyAlignment="1">
      <alignment horizontal="right" vertical="center"/>
    </xf>
    <xf numFmtId="188" fontId="9" fillId="5" borderId="8" xfId="0" applyNumberFormat="1" applyFont="1" applyFill="1" applyBorder="1" applyAlignment="1">
      <alignment vertical="center"/>
    </xf>
    <xf numFmtId="190" fontId="9" fillId="5" borderId="5" xfId="0" applyNumberFormat="1" applyFont="1" applyFill="1" applyBorder="1" applyAlignment="1">
      <alignment horizontal="right" vertical="center"/>
    </xf>
    <xf numFmtId="188" fontId="9" fillId="5" borderId="3" xfId="0" applyNumberFormat="1" applyFont="1" applyFill="1" applyBorder="1" applyAlignment="1">
      <alignment horizontal="distributed" vertical="center"/>
    </xf>
    <xf numFmtId="188" fontId="9" fillId="0" borderId="0" xfId="0" applyNumberFormat="1" applyFont="1" applyAlignment="1">
      <alignment horizontal="left" vertical="center"/>
    </xf>
    <xf numFmtId="188" fontId="9" fillId="0" borderId="14" xfId="0" applyNumberFormat="1" applyFont="1" applyBorder="1" applyAlignment="1" applyProtection="1">
      <alignment horizontal="right" vertical="center"/>
      <protection locked="0"/>
    </xf>
    <xf numFmtId="188" fontId="9" fillId="0" borderId="17" xfId="0" applyNumberFormat="1" applyFont="1" applyBorder="1" applyAlignment="1">
      <alignment vertical="center"/>
    </xf>
    <xf numFmtId="190" fontId="9" fillId="0" borderId="15" xfId="0" applyNumberFormat="1" applyFont="1" applyBorder="1" applyAlignment="1">
      <alignment horizontal="right" vertical="center"/>
    </xf>
    <xf numFmtId="188" fontId="9" fillId="0" borderId="16" xfId="1" applyNumberFormat="1" applyFont="1" applyFill="1" applyBorder="1" applyAlignment="1" applyProtection="1">
      <alignment horizontal="right" vertical="center"/>
      <protection locked="0"/>
    </xf>
    <xf numFmtId="188" fontId="9" fillId="0" borderId="19" xfId="0" applyNumberFormat="1" applyFont="1" applyBorder="1" applyAlignment="1">
      <alignment horizontal="left" vertical="center"/>
    </xf>
    <xf numFmtId="188" fontId="9" fillId="0" borderId="18" xfId="0" applyNumberFormat="1" applyFont="1" applyBorder="1" applyAlignment="1" applyProtection="1">
      <alignment horizontal="right" vertical="center"/>
      <protection locked="0"/>
    </xf>
    <xf numFmtId="188" fontId="9" fillId="0" borderId="22" xfId="0" applyNumberFormat="1" applyFont="1" applyBorder="1" applyAlignment="1">
      <alignment vertical="center"/>
    </xf>
    <xf numFmtId="190" fontId="9" fillId="0" borderId="20" xfId="0" applyNumberFormat="1" applyFont="1" applyBorder="1" applyAlignment="1">
      <alignment horizontal="right" vertical="center"/>
    </xf>
    <xf numFmtId="190" fontId="16" fillId="8" borderId="5" xfId="0" applyNumberFormat="1" applyFont="1" applyFill="1" applyBorder="1" applyAlignment="1">
      <alignment horizontal="right" vertical="center"/>
    </xf>
    <xf numFmtId="189" fontId="9" fillId="5" borderId="4" xfId="0" applyNumberFormat="1" applyFont="1" applyFill="1" applyBorder="1" applyAlignment="1">
      <alignment vertical="center"/>
    </xf>
    <xf numFmtId="189" fontId="9" fillId="5" borderId="5" xfId="0" applyNumberFormat="1" applyFont="1" applyFill="1" applyBorder="1" applyAlignment="1">
      <alignment horizontal="distributed" vertical="center"/>
    </xf>
    <xf numFmtId="189" fontId="9" fillId="5" borderId="6" xfId="0" applyNumberFormat="1" applyFont="1" applyFill="1" applyBorder="1" applyAlignment="1">
      <alignment horizontal="right" vertical="center"/>
    </xf>
    <xf numFmtId="189" fontId="9" fillId="5" borderId="3" xfId="0" applyNumberFormat="1" applyFont="1" applyFill="1" applyBorder="1" applyAlignment="1">
      <alignment horizontal="right" vertical="center"/>
    </xf>
    <xf numFmtId="189" fontId="9" fillId="5" borderId="8" xfId="0" applyNumberFormat="1" applyFont="1" applyFill="1" applyBorder="1" applyAlignment="1">
      <alignment horizontal="right" vertical="center"/>
    </xf>
    <xf numFmtId="189" fontId="9" fillId="5" borderId="3" xfId="0" applyNumberFormat="1" applyFont="1" applyFill="1" applyBorder="1" applyAlignment="1">
      <alignment horizontal="distributed" vertical="center"/>
    </xf>
    <xf numFmtId="188" fontId="15" fillId="0" borderId="12" xfId="0" applyNumberFormat="1" applyFont="1" applyBorder="1" applyAlignment="1">
      <alignment vertical="center"/>
    </xf>
    <xf numFmtId="188" fontId="15" fillId="0" borderId="9" xfId="0" applyNumberFormat="1" applyFont="1" applyBorder="1" applyAlignment="1">
      <alignment vertical="center"/>
    </xf>
    <xf numFmtId="188" fontId="15" fillId="0" borderId="13" xfId="0" applyNumberFormat="1" applyFont="1" applyBorder="1" applyAlignment="1">
      <alignment vertical="center"/>
    </xf>
    <xf numFmtId="190" fontId="9" fillId="0" borderId="15" xfId="0" applyNumberFormat="1" applyFont="1" applyBorder="1" applyAlignment="1">
      <alignment vertical="center"/>
    </xf>
    <xf numFmtId="188" fontId="9" fillId="0" borderId="16" xfId="0" applyNumberFormat="1" applyFont="1" applyBorder="1" applyAlignment="1">
      <alignment vertical="center"/>
    </xf>
    <xf numFmtId="188" fontId="9" fillId="3" borderId="12" xfId="0" applyNumberFormat="1" applyFont="1" applyFill="1" applyBorder="1" applyAlignment="1" applyProtection="1">
      <alignment horizontal="right" vertical="center"/>
      <protection locked="0"/>
    </xf>
    <xf numFmtId="188" fontId="15" fillId="0" borderId="16" xfId="0" applyNumberFormat="1" applyFont="1" applyBorder="1" applyAlignment="1">
      <alignment vertical="center"/>
    </xf>
    <xf numFmtId="188" fontId="15" fillId="0" borderId="14" xfId="0" applyNumberFormat="1" applyFont="1" applyBorder="1" applyAlignment="1">
      <alignment vertical="center"/>
    </xf>
    <xf numFmtId="188" fontId="15" fillId="0" borderId="17" xfId="0" applyNumberFormat="1" applyFont="1" applyBorder="1" applyAlignment="1">
      <alignment vertical="center"/>
    </xf>
    <xf numFmtId="9" fontId="9" fillId="0" borderId="16" xfId="0" applyNumberFormat="1" applyFont="1" applyBorder="1" applyAlignment="1" applyProtection="1">
      <alignment horizontal="right" vertical="center"/>
      <protection locked="0"/>
    </xf>
    <xf numFmtId="41" fontId="9" fillId="0" borderId="16" xfId="1" applyFont="1" applyBorder="1" applyAlignment="1" applyProtection="1">
      <alignment horizontal="right" vertical="center"/>
      <protection locked="0"/>
    </xf>
    <xf numFmtId="10" fontId="9" fillId="0" borderId="16" xfId="0" applyNumberFormat="1" applyFont="1" applyBorder="1" applyAlignment="1" applyProtection="1">
      <alignment horizontal="right" vertical="center"/>
      <protection locked="0"/>
    </xf>
    <xf numFmtId="188" fontId="15" fillId="0" borderId="21" xfId="0" applyNumberFormat="1" applyFont="1" applyBorder="1" applyAlignment="1">
      <alignment vertical="center"/>
    </xf>
    <xf numFmtId="188" fontId="15" fillId="0" borderId="18" xfId="0" applyNumberFormat="1" applyFont="1" applyBorder="1" applyAlignment="1">
      <alignment vertical="center"/>
    </xf>
    <xf numFmtId="188" fontId="15" fillId="0" borderId="22" xfId="0" applyNumberFormat="1" applyFont="1" applyBorder="1" applyAlignment="1">
      <alignment vertical="center"/>
    </xf>
    <xf numFmtId="190" fontId="9" fillId="0" borderId="11" xfId="0" applyNumberFormat="1" applyFont="1" applyBorder="1" applyAlignment="1">
      <alignment horizontal="right" vertical="center"/>
    </xf>
    <xf numFmtId="188" fontId="9" fillId="0" borderId="21" xfId="0" applyNumberFormat="1" applyFont="1" applyBorder="1" applyAlignment="1">
      <alignment vertical="center"/>
    </xf>
    <xf numFmtId="188" fontId="9" fillId="0" borderId="18" xfId="0" applyNumberFormat="1" applyFont="1" applyBorder="1" applyAlignment="1">
      <alignment vertical="center"/>
    </xf>
    <xf numFmtId="190" fontId="9" fillId="0" borderId="20" xfId="0" applyNumberFormat="1" applyFont="1" applyBorder="1" applyAlignment="1">
      <alignment vertical="center"/>
    </xf>
    <xf numFmtId="188" fontId="9" fillId="0" borderId="21" xfId="0" applyNumberFormat="1" applyFont="1" applyBorder="1" applyAlignment="1" applyProtection="1">
      <alignment vertical="center"/>
      <protection locked="0"/>
    </xf>
    <xf numFmtId="188" fontId="9" fillId="3" borderId="12" xfId="0" applyNumberFormat="1" applyFont="1" applyFill="1" applyBorder="1" applyAlignment="1">
      <alignment horizontal="right" vertical="center"/>
    </xf>
    <xf numFmtId="189" fontId="16" fillId="9" borderId="6" xfId="0" applyNumberFormat="1" applyFont="1" applyFill="1" applyBorder="1" applyAlignment="1">
      <alignment horizontal="right" vertical="center"/>
    </xf>
    <xf numFmtId="189" fontId="16" fillId="9" borderId="4" xfId="0" applyNumberFormat="1" applyFont="1" applyFill="1" applyBorder="1" applyAlignment="1">
      <alignment vertical="center"/>
    </xf>
    <xf numFmtId="189" fontId="16" fillId="9" borderId="5" xfId="0" applyNumberFormat="1" applyFont="1" applyFill="1" applyBorder="1" applyAlignment="1">
      <alignment horizontal="distributed" vertical="center"/>
    </xf>
    <xf numFmtId="189" fontId="16" fillId="9" borderId="3" xfId="0" applyNumberFormat="1" applyFont="1" applyFill="1" applyBorder="1" applyAlignment="1">
      <alignment horizontal="right" vertical="center"/>
    </xf>
    <xf numFmtId="189" fontId="16" fillId="9" borderId="8" xfId="0" applyNumberFormat="1" applyFont="1" applyFill="1" applyBorder="1" applyAlignment="1">
      <alignment horizontal="right" vertical="center"/>
    </xf>
    <xf numFmtId="190" fontId="16" fillId="9" borderId="5" xfId="0" applyNumberFormat="1" applyFont="1" applyFill="1" applyBorder="1" applyAlignment="1">
      <alignment horizontal="right" vertical="center"/>
    </xf>
    <xf numFmtId="189" fontId="16" fillId="9" borderId="3" xfId="0" applyNumberFormat="1" applyFont="1" applyFill="1" applyBorder="1" applyAlignment="1">
      <alignment horizontal="distributed" vertical="center"/>
    </xf>
    <xf numFmtId="3" fontId="0" fillId="0" borderId="0" xfId="0" applyNumberFormat="1" applyAlignment="1">
      <alignment vertical="center"/>
    </xf>
    <xf numFmtId="188" fontId="15" fillId="0" borderId="16" xfId="0" applyNumberFormat="1" applyFont="1" applyBorder="1" applyAlignment="1" applyProtection="1">
      <alignment vertical="center"/>
      <protection locked="0"/>
    </xf>
    <xf numFmtId="188" fontId="13" fillId="0" borderId="16" xfId="0" applyNumberFormat="1" applyFont="1" applyBorder="1" applyAlignment="1" applyProtection="1">
      <alignment horizontal="right" vertical="center"/>
      <protection locked="0"/>
    </xf>
    <xf numFmtId="188" fontId="9" fillId="0" borderId="14" xfId="0" applyNumberFormat="1" applyFont="1" applyBorder="1" applyAlignment="1">
      <alignment vertical="center"/>
    </xf>
    <xf numFmtId="191" fontId="9" fillId="0" borderId="16" xfId="0" applyNumberFormat="1" applyFont="1" applyBorder="1" applyAlignment="1" applyProtection="1">
      <alignment horizontal="right" vertical="center"/>
      <protection locked="0"/>
    </xf>
    <xf numFmtId="177" fontId="9" fillId="0" borderId="16" xfId="0" applyNumberFormat="1" applyFont="1" applyBorder="1" applyAlignment="1" applyProtection="1">
      <alignment horizontal="right" vertical="center"/>
      <protection locked="0"/>
    </xf>
    <xf numFmtId="188" fontId="9" fillId="0" borderId="3" xfId="0" applyNumberFormat="1" applyFont="1" applyBorder="1" applyAlignment="1">
      <alignment horizontal="right" vertical="center"/>
    </xf>
    <xf numFmtId="190" fontId="9" fillId="0" borderId="5" xfId="0" applyNumberFormat="1" applyFont="1" applyBorder="1" applyAlignment="1">
      <alignment horizontal="right" vertical="center"/>
    </xf>
    <xf numFmtId="188" fontId="9" fillId="0" borderId="8" xfId="0" applyNumberFormat="1" applyFont="1" applyBorder="1" applyAlignment="1">
      <alignment horizontal="right" vertical="center"/>
    </xf>
    <xf numFmtId="188" fontId="15" fillId="0" borderId="4" xfId="0" applyNumberFormat="1" applyFont="1" applyBorder="1" applyAlignment="1">
      <alignment vertical="center"/>
    </xf>
    <xf numFmtId="188" fontId="15" fillId="0" borderId="5" xfId="0" applyNumberFormat="1" applyFont="1" applyBorder="1" applyAlignment="1">
      <alignment horizontal="distributed" vertical="center"/>
    </xf>
    <xf numFmtId="188" fontId="15" fillId="0" borderId="6" xfId="0" applyNumberFormat="1" applyFont="1" applyBorder="1" applyAlignment="1">
      <alignment vertical="center"/>
    </xf>
    <xf numFmtId="188" fontId="15" fillId="0" borderId="3" xfId="0" applyNumberFormat="1" applyFont="1" applyBorder="1" applyAlignment="1">
      <alignment vertical="center"/>
    </xf>
    <xf numFmtId="188" fontId="15" fillId="0" borderId="8" xfId="0" applyNumberFormat="1" applyFont="1" applyBorder="1" applyAlignment="1">
      <alignment vertical="center"/>
    </xf>
    <xf numFmtId="188" fontId="13" fillId="5" borderId="10" xfId="0" applyNumberFormat="1" applyFont="1" applyFill="1" applyBorder="1" applyAlignment="1">
      <alignment vertical="center"/>
    </xf>
    <xf numFmtId="188" fontId="13" fillId="5" borderId="11" xfId="0" applyNumberFormat="1" applyFont="1" applyFill="1" applyBorder="1" applyAlignment="1">
      <alignment horizontal="distributed" vertical="center"/>
    </xf>
    <xf numFmtId="188" fontId="15" fillId="5" borderId="12" xfId="0" applyNumberFormat="1" applyFont="1" applyFill="1" applyBorder="1" applyAlignment="1">
      <alignment vertical="center"/>
    </xf>
    <xf numFmtId="188" fontId="15" fillId="5" borderId="9" xfId="0" applyNumberFormat="1" applyFont="1" applyFill="1" applyBorder="1" applyAlignment="1">
      <alignment vertical="center"/>
    </xf>
    <xf numFmtId="188" fontId="15" fillId="5" borderId="13" xfId="0" applyNumberFormat="1" applyFont="1" applyFill="1" applyBorder="1" applyAlignment="1">
      <alignment vertical="center"/>
    </xf>
    <xf numFmtId="190" fontId="9" fillId="5" borderId="11" xfId="0" applyNumberFormat="1" applyFont="1" applyFill="1" applyBorder="1" applyAlignment="1">
      <alignment horizontal="right" vertical="center"/>
    </xf>
    <xf numFmtId="188" fontId="9" fillId="5" borderId="12" xfId="0" applyNumberFormat="1" applyFont="1" applyFill="1" applyBorder="1" applyAlignment="1" applyProtection="1">
      <alignment horizontal="right" vertical="center"/>
      <protection locked="0"/>
    </xf>
    <xf numFmtId="188" fontId="13" fillId="7" borderId="0" xfId="0" applyNumberFormat="1" applyFont="1" applyFill="1" applyAlignment="1">
      <alignment vertical="center"/>
    </xf>
    <xf numFmtId="188" fontId="15" fillId="5" borderId="16" xfId="0" applyNumberFormat="1" applyFont="1" applyFill="1" applyBorder="1" applyAlignment="1">
      <alignment vertical="center"/>
    </xf>
    <xf numFmtId="188" fontId="15" fillId="5" borderId="14" xfId="0" applyNumberFormat="1" applyFont="1" applyFill="1" applyBorder="1" applyAlignment="1">
      <alignment vertical="center"/>
    </xf>
    <xf numFmtId="188" fontId="15" fillId="5" borderId="17" xfId="0" applyNumberFormat="1" applyFont="1" applyFill="1" applyBorder="1" applyAlignment="1">
      <alignment vertical="center"/>
    </xf>
    <xf numFmtId="190" fontId="9" fillId="5" borderId="15" xfId="0" applyNumberFormat="1" applyFont="1" applyFill="1" applyBorder="1" applyAlignment="1">
      <alignment horizontal="right" vertical="center"/>
    </xf>
    <xf numFmtId="188" fontId="13" fillId="5" borderId="0" xfId="0" applyNumberFormat="1" applyFont="1" applyFill="1" applyAlignment="1">
      <alignment vertical="center"/>
    </xf>
    <xf numFmtId="177" fontId="9" fillId="5" borderId="16" xfId="0" applyNumberFormat="1" applyFont="1" applyFill="1" applyBorder="1" applyAlignment="1" applyProtection="1">
      <alignment horizontal="right" vertical="center"/>
      <protection locked="0"/>
    </xf>
    <xf numFmtId="188" fontId="13" fillId="5" borderId="19" xfId="0" applyNumberFormat="1" applyFont="1" applyFill="1" applyBorder="1" applyAlignment="1">
      <alignment vertical="center"/>
    </xf>
    <xf numFmtId="188" fontId="15" fillId="5" borderId="21" xfId="0" applyNumberFormat="1" applyFont="1" applyFill="1" applyBorder="1" applyAlignment="1">
      <alignment vertical="center"/>
    </xf>
    <xf numFmtId="188" fontId="15" fillId="5" borderId="18" xfId="0" applyNumberFormat="1" applyFont="1" applyFill="1" applyBorder="1" applyAlignment="1">
      <alignment vertical="center"/>
    </xf>
    <xf numFmtId="188" fontId="15" fillId="5" borderId="22" xfId="0" applyNumberFormat="1" applyFont="1" applyFill="1" applyBorder="1" applyAlignment="1">
      <alignment vertical="center"/>
    </xf>
    <xf numFmtId="10" fontId="9" fillId="5" borderId="21" xfId="0" applyNumberFormat="1" applyFont="1" applyFill="1" applyBorder="1" applyAlignment="1" applyProtection="1">
      <alignment horizontal="right" vertical="center"/>
      <protection locked="0"/>
    </xf>
    <xf numFmtId="192" fontId="9" fillId="0" borderId="6" xfId="0" applyNumberFormat="1" applyFont="1" applyBorder="1" applyAlignment="1">
      <alignment horizontal="right" vertical="center"/>
    </xf>
    <xf numFmtId="192" fontId="9" fillId="0" borderId="3" xfId="0" applyNumberFormat="1" applyFont="1" applyBorder="1" applyAlignment="1">
      <alignment horizontal="right" vertical="center"/>
    </xf>
    <xf numFmtId="192" fontId="9" fillId="0" borderId="8" xfId="0" applyNumberFormat="1" applyFont="1" applyBorder="1" applyAlignment="1">
      <alignment horizontal="right" vertical="center"/>
    </xf>
    <xf numFmtId="192" fontId="9" fillId="0" borderId="16" xfId="0" applyNumberFormat="1" applyFont="1" applyBorder="1" applyAlignment="1" applyProtection="1">
      <alignment horizontal="right" vertical="center"/>
      <protection locked="0"/>
    </xf>
    <xf numFmtId="193" fontId="9" fillId="0" borderId="16" xfId="0" applyNumberFormat="1" applyFont="1" applyBorder="1" applyAlignment="1" applyProtection="1">
      <alignment horizontal="right" vertical="center"/>
      <protection locked="0"/>
    </xf>
    <xf numFmtId="189" fontId="16" fillId="9" borderId="23" xfId="0" applyNumberFormat="1" applyFont="1" applyFill="1" applyBorder="1" applyAlignment="1">
      <alignment horizontal="right" vertical="center"/>
    </xf>
    <xf numFmtId="188" fontId="9" fillId="2" borderId="0" xfId="0" applyNumberFormat="1" applyFont="1" applyFill="1"/>
    <xf numFmtId="188" fontId="15" fillId="0" borderId="0" xfId="0" applyNumberFormat="1" applyFont="1" applyAlignment="1">
      <alignment horizontal="distributed" vertical="center"/>
    </xf>
    <xf numFmtId="188" fontId="15" fillId="0" borderId="0" xfId="0" applyNumberFormat="1" applyFont="1" applyAlignment="1">
      <alignment vertical="center"/>
    </xf>
    <xf numFmtId="188" fontId="9" fillId="0" borderId="0" xfId="0" applyNumberFormat="1" applyFont="1" applyAlignment="1">
      <alignment horizontal="right" vertical="center"/>
    </xf>
    <xf numFmtId="9" fontId="9" fillId="0" borderId="0" xfId="2" applyFont="1" applyAlignment="1">
      <alignment horizontal="right" vertical="center"/>
    </xf>
    <xf numFmtId="41" fontId="9" fillId="0" borderId="0" xfId="1" applyFont="1" applyAlignment="1">
      <alignment horizontal="right" vertical="center"/>
    </xf>
    <xf numFmtId="3" fontId="0" fillId="0" borderId="0" xfId="0" applyNumberFormat="1"/>
    <xf numFmtId="188" fontId="6" fillId="0" borderId="0" xfId="0" applyNumberFormat="1" applyFont="1" applyAlignment="1">
      <alignment horizontal="distributed" vertical="center"/>
    </xf>
    <xf numFmtId="188" fontId="6" fillId="0" borderId="0" xfId="0" applyNumberFormat="1" applyFont="1" applyAlignment="1">
      <alignment vertical="center"/>
    </xf>
    <xf numFmtId="188" fontId="7" fillId="0" borderId="0" xfId="0" applyNumberFormat="1" applyFont="1" applyAlignment="1">
      <alignment horizontal="right" vertical="center"/>
    </xf>
    <xf numFmtId="188" fontId="0" fillId="0" borderId="0" xfId="0" applyNumberFormat="1"/>
    <xf numFmtId="0" fontId="9" fillId="2" borderId="0" xfId="0" applyFont="1" applyFill="1"/>
    <xf numFmtId="0" fontId="6" fillId="0" borderId="0" xfId="0" applyFont="1" applyAlignment="1">
      <alignment horizontal="distributed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</cellXfs>
  <cellStyles count="3">
    <cellStyle name="백분율" xfId="2" builtinId="5"/>
    <cellStyle name="쉼표 [0]" xfId="1" builtinId="6"/>
    <cellStyle name="표준" xfId="0" builtinId="0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styles" Target="style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TEMP\AAA\&#54364;&#51456;\&#44048;&#44032;&#49345;&#44033;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osmaxdt.sharepoint.com/sites/CosmaxBTITax/Shared%20Documents/&#54924;&#44228;&#44208;&#49328;/2025&#45380;/01.%20&#48324;&#46020;&#44208;&#49328;/25&#45380;%2012&#50900;/02.%20&#44208;&#49328;&#44288;&#47144;/00.%20&#51116;&#47924;&#51228;&#54364;/&#48708;&#54000;&#50500;&#51060;/&#51116;&#47924;&#51228;&#54364;%202025&#45380;%2012&#50900;%20&#48708;&#54000;&#50500;&#51060;(&#48324;&#46020;)_v1.xlsx" TargetMode="External"/><Relationship Id="rId1" Type="http://schemas.openxmlformats.org/officeDocument/2006/relationships/externalLinkPath" Target="https://cosmaxdt.sharepoint.com/sites/CosmaxBTITax/Shared%20Documents/&#54924;&#44228;&#44208;&#49328;/2025&#45380;/01.%20&#48324;&#46020;&#44208;&#49328;/25&#45380;%2012&#50900;/02.%20&#44208;&#49328;&#44288;&#47144;/00.%20&#51116;&#47924;&#51228;&#54364;/&#48708;&#54000;&#50500;&#51060;/&#51116;&#47924;&#51228;&#54364;%202025&#45380;%2012&#50900;%20&#48708;&#54000;&#50500;&#51060;(&#48324;&#46020;)_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c90\BYUCKSAN\MYOB%20Byucksan%20E&amp;C\Byucksan%20Cipta%202012%20-%20Revisi%20Samuel%202\Byucksan-Cipta\9-2012\My%20Clien\PT.%20Byucksan\Byucksan-Cipta\7-2012\Kerjaan_fahm\PT.%20OS%20Happy%20Dream\JURNAL%20TB%20PT.%20OS%20Happy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c90\BYUCKSAN\MYOB%20Byucksan%20E&amp;C\Byucksan%20Cipta%202012%20-%20Revisi%20Samuel%202\Byucksan-Cipta\9-2012\My%20Clien\PT.%20Byucksan\Byucksan-Cipta\7-2012\Users\Compaq\Desktop\PT.%20SEO%20HEE\PT.%20SEO%20HEE%202011&#45380;12&#50900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choi\2005&#45380;%201&#48516;&#44592;%20&#54924;&#44228;&#44048;&#49324;&#51088;&#47308;\&#51221;&#54788;&#51060;&#50629;&#47924;&#48169;\&#50896;&#51116;&#47308;&#49688;&#48520;\2001&#45380;\2001%20&#50896;&#51116;&#47308;%20&#52509;&#44292;%20&#52572;&#51333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c04\&#51228;19&#44592;%202011&#45380;\&#49340;&#51221;&#54924;&#44228;&#48277;&#51064;\IM2\&#44048;&#49324;\STX&#50644;&#51652;\2008&#45380;%203&#48516;&#44592;\3&#48516;&#44592;&#51312;&#49436;\STX&#50644;&#51652;_08&#45380;3&#48516;&#44592;_&#49884;&#49444;&#51088;&#50896;_lwh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OMH98\98&#45380;&#44208;&#49328;\TEMP\AAA\&#54364;&#51456;\&#44048;&#44032;&#49345;&#44033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c90\koperasi%20thamrin%20City\finance%20&amp;%20Office%20procedure%20kop.%20thamrin%20city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ANIMATE\SECURE\Production\2D_REPNew2.4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c04\&#51228;19&#44592;%202011&#45380;\Documents%20and%20Settings\shari\Local%20Settings\Temporary%20Internet%20Files\OLKA6\&#44221;&#47532;&#54016;_&#44208;&#49328;&#49436;&#49885;_HEO_240108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pnt004\%231790\WINDOWS\&#65411;&#65438;&#65405;&#65400;&#65412;&#65391;&#65420;&#65439;\&#12467;&#12500;&#12540;%20&#65374;%20new%20A1846%20BFD%20and%20PF2D2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c09\&#44208;&#49328;&#44288;&#47144;\has\2006&#45380;\&#54869;&#45824;&#44221;&#50689;&#54924;&#51032;\2006&#45380;11&#50900;&#54869;&#45824;&#44221;&#50689;&#54924;&#51032;\&#51064;&#49324;&#52509;&#47924;&#54016;\pln04%20&#47928;&#49436;\&#50629;&#47924;&#47928;&#49436;\==%20%20&#50896;%20%20%20&#44032;%20%20%20&#44288;%20%20%20&#47532;%20%20%20==\2003&#45380;&#46020;\5&#50900;\5&#50900;&#50896;&#44032;&#48516;&#49437;(&#50689;&#50629;&#50808;&#48708;&#50857;&#51228;&#50808;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c04\&#51228;19&#44592;%202011&#45380;\My%20Documents\client-&#50857;%20%20%20&#50669;\dwmc_2000&#50672;&#44208;\2.&#50672;&#44208;pkg&#50836;&#52397;&#51088;&#47308;\99&#45380;\1999&#45824;&#50864;&#50672;&#44208;&#54056;&#53412;&#51648;&#51452;&#49437;3%20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c90\&#44208;&#49328;&#44288;&#47144;\3&#50900;\&#9733;&#53076;&#49828;&#47589;&#49828;(&#51452;)_&#49324;&#50629;&#54924;&#49324;_&#54924;&#51032;&#52404;&#51088;&#47308;\01_&#53076;&#49828;&#47589;&#49828;\&#50672;&#46020;&#48324;%20&#49552;&#51061;&#48372;&#44256;\START\17&#44592;&#44208;&#49328;(2009.12.31)\&#44288;&#44228;&#49324;&#51088;&#47308;\&#48512;&#49892;&#51088;&#49328;\8&#50900;%20&#51116;&#44256;&#51088;&#49328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Santong22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061;&#44508;\C\&#44208;&#49328;&#48372;&#44256;&#49436;\1999&#45380;&#46020;\99&#53748;&#51649;&#52628;&#44228;&#50529;(&#48376;&#49324;)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n03\my%20documents\pln04%20&#47928;&#49436;\&#50629;&#47924;&#47928;&#49436;\==%20%20&#50896;%20%20%20&#44032;%20%20%20&#44288;%20%20%20&#47532;%20%20%20==\2003&#45380;&#46020;\5&#50900;\5&#50900;&#50896;&#44032;&#48516;&#49437;(&#50689;&#50629;&#50808;&#48708;&#50857;&#51228;&#50808;)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5517%20S%20&#51109;&#44592;&#45824;&#50668;&#44552;,%20&#51109;&#44592;&#49457;&#47588;&#52636;&#52292;&#44428;%20(NITC%205131~5,%205141~5)&#51032;%20&#50892;&#53356;&#49884;&#53944;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c04\&#51228;19&#44592;%202011&#45380;\Documents%20and%20Settings\deokjaepark\Desktop\&#49436;&#51221;%20&#51088;&#47308;\&#54924;&#44228;&#44048;&#49324;\&#53468;&#49328;&#50672;&#44208;\D7100\&#44208;&#49328;dir\1998&#44208;&#49328;\&#47749;&#49464;&#49436;\&#53748;&#52649;98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c04\&#51228;19&#44592;%202011&#45380;\Documents%20and%20Settings\deokjaepark\Desktop\&#49436;&#51221;%20&#51088;&#47308;\&#54924;&#44228;&#44048;&#49324;\&#53468;&#49328;&#50672;&#44208;\d7100\1999&#44208;&#49328;\&#50672;&#47568;&#44208;&#49328;\&#53748;&#51649;&#44553;&#50668;&#52649;&#45817;&#4455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기구"/>
      <sheetName val="감가상각"/>
      <sheetName val="Payline"/>
      <sheetName val="외화"/>
      <sheetName val="자금동향"/>
      <sheetName val="WBS98"/>
      <sheetName val="ST"/>
      <sheetName val="052003"/>
      <sheetName val="Sch9"/>
      <sheetName val="지급이자"/>
      <sheetName val="차입금"/>
      <sheetName val="Ref"/>
      <sheetName val="C"/>
      <sheetName val="BS(Don't Prt)"/>
      <sheetName val="손익합산"/>
      <sheetName val="BS"/>
      <sheetName val="현금흐름표"/>
      <sheetName val="시산표"/>
      <sheetName val="SCF"/>
      <sheetName val="Assumptions"/>
      <sheetName val="RR Allocation"/>
      <sheetName val="comparables"/>
      <sheetName val="Deduction"/>
      <sheetName val="other"/>
      <sheetName val="conclusion"/>
      <sheetName val="大额银行交易测试"/>
      <sheetName val="상각률표"/>
      <sheetName val="기계장치현황"/>
      <sheetName val="기계장치(법인)"/>
      <sheetName val="유형고정자산"/>
      <sheetName val="회사정보"/>
      <sheetName val="기본사항"/>
      <sheetName val="Intro"/>
      <sheetName val="원_VL"/>
      <sheetName val="MRS세부"/>
      <sheetName val="유통망계획"/>
      <sheetName val="목표대비실적(R)"/>
      <sheetName val="원자재(LGP SPL)"/>
      <sheetName val="원재료 수불현황"/>
      <sheetName val="DD10"/>
      <sheetName val="2_IR"/>
      <sheetName val="전체실적"/>
      <sheetName val="Bang_ke_TT"/>
      <sheetName val="Köpfe"/>
      <sheetName val="받check"/>
      <sheetName val="118.세금과공과"/>
      <sheetName val="대환취급"/>
      <sheetName val="합손"/>
      <sheetName val="정기적금"/>
      <sheetName val="97년추정손익계산서"/>
      <sheetName val="MASTER"/>
      <sheetName val="inventory2002"/>
      <sheetName val="PPV2002"/>
      <sheetName val="간주기안"/>
      <sheetName val="의제기안"/>
      <sheetName val="신기술(비상장)0412"/>
      <sheetName val="리드"/>
      <sheetName val="후순위채05.01.20"/>
      <sheetName val="대차"/>
      <sheetName val="손익"/>
      <sheetName val="매출(영업 VS 경리)"/>
      <sheetName val="반품"/>
      <sheetName val="정상"/>
      <sheetName val="폐기-090831"/>
      <sheetName val="기획1"/>
      <sheetName val="XREF"/>
      <sheetName val="무형"/>
      <sheetName val="Sheet1"/>
      <sheetName val="Cover"/>
      <sheetName val="maccp04"/>
      <sheetName val="현금및현금등가물"/>
      <sheetName val="SUP-03"/>
      <sheetName val="7 (2)"/>
      <sheetName val="#REF"/>
      <sheetName val="Total환율"/>
      <sheetName val="2000손익실적"/>
      <sheetName val="2000손익예산"/>
      <sheetName val="수불명세서"/>
      <sheetName val="산전수불집계표"/>
      <sheetName val="2003SaleHC"/>
      <sheetName val="CUSTOMER (DETAIL)"/>
      <sheetName val="C.A"/>
      <sheetName val="기준정보"/>
      <sheetName val="FA-LISTING"/>
      <sheetName val="MatchCode"/>
      <sheetName val="TBclosing"/>
      <sheetName val="Working"/>
      <sheetName val="서울판관-공통부문"/>
      <sheetName val="부서별"/>
      <sheetName val="유형자산증감"/>
      <sheetName val="건물"/>
      <sheetName val="기계"/>
      <sheetName val="Basic_Information"/>
      <sheetName val="FC_CC Mapping"/>
      <sheetName val="CI_GL Mapping"/>
      <sheetName val="비교손익계산서"/>
      <sheetName val="controll"/>
      <sheetName val="마감장"/>
      <sheetName val="99Q2A156"/>
      <sheetName val="A"/>
      <sheetName val="PAJE,PRJE"/>
      <sheetName val="WTB"/>
      <sheetName val="3-31"/>
      <sheetName val="SLa"/>
      <sheetName val="CAUDIT"/>
      <sheetName val="수정분개"/>
      <sheetName val="ARP"/>
      <sheetName val="Sheet3"/>
      <sheetName val="기초해지2"/>
      <sheetName val="기초해지"/>
      <sheetName val="1.일반사항"/>
      <sheetName val="14.리스"/>
      <sheetName val="32.특관자"/>
      <sheetName val="33.우발,약정"/>
      <sheetName val="Results"/>
      <sheetName val="SALE&amp;COST"/>
      <sheetName val="Lguide"/>
      <sheetName val="완성차 미수금"/>
      <sheetName val="누계실적6"/>
      <sheetName val="대차대조표-공시형"/>
      <sheetName val="품목코드"/>
      <sheetName val="BNET"/>
      <sheetName val="list price"/>
      <sheetName val="평가&amp;선급.미지급"/>
      <sheetName val="Dart_BS"/>
      <sheetName val="Dart_PL"/>
      <sheetName val="CA"/>
      <sheetName val="Index"/>
      <sheetName val="DB"/>
      <sheetName val="월마트"/>
      <sheetName val="SalesMYP"/>
      <sheetName val="INFO"/>
      <sheetName val="P12 TB SZ"/>
    </sheetNames>
    <sheetDataSet>
      <sheetData sheetId="0"/>
      <sheetData sheetId="1">
        <row r="1">
          <cell r="A1" t="str">
            <v>1996년 5월 감가상각비 명세서(기계장치)</v>
          </cell>
        </row>
        <row r="2">
          <cell r="A2" t="str">
            <v>━━━━━━━━━━━━━━━━━━━</v>
          </cell>
        </row>
        <row r="4">
          <cell r="A4" t="str">
            <v>번호</v>
          </cell>
          <cell r="B4" t="str">
            <v>자   산   명</v>
          </cell>
          <cell r="C4" t="str">
            <v>취득년월</v>
          </cell>
          <cell r="D4" t="str">
            <v>수량</v>
          </cell>
          <cell r="E4" t="str">
            <v>취득금액</v>
          </cell>
          <cell r="F4" t="str">
            <v>사용부서</v>
          </cell>
          <cell r="G4" t="str">
            <v>당기증가액</v>
          </cell>
          <cell r="H4" t="str">
            <v>당기감소액</v>
          </cell>
          <cell r="I4" t="str">
            <v>기말가액</v>
          </cell>
          <cell r="J4" t="str">
            <v>최종잔존가액</v>
          </cell>
          <cell r="K4" t="str">
            <v>감가상각대상액</v>
          </cell>
          <cell r="L4" t="str">
            <v>내용년수</v>
          </cell>
          <cell r="M4" t="str">
            <v>상각율</v>
          </cell>
          <cell r="N4" t="str">
            <v>전기충당금누계</v>
          </cell>
          <cell r="O4" t="str">
            <v>월상각액</v>
          </cell>
          <cell r="P4" t="str">
            <v>당기충당금누계</v>
          </cell>
          <cell r="Q4" t="str">
            <v>미상각잔액</v>
          </cell>
          <cell r="R4" t="str">
            <v>비  고</v>
          </cell>
        </row>
        <row r="5">
          <cell r="A5">
            <v>1</v>
          </cell>
          <cell r="B5" t="str">
            <v xml:space="preserve"> PRESS</v>
          </cell>
          <cell r="C5" t="str">
            <v>1991. 12</v>
          </cell>
          <cell r="D5">
            <v>5</v>
          </cell>
          <cell r="E5">
            <v>21752006813</v>
          </cell>
          <cell r="F5" t="str">
            <v>합성</v>
          </cell>
          <cell r="I5">
            <v>21752006813</v>
          </cell>
          <cell r="J5">
            <v>2175200681</v>
          </cell>
          <cell r="K5">
            <v>19576806132</v>
          </cell>
          <cell r="L5">
            <v>13</v>
          </cell>
          <cell r="M5">
            <v>6.4102564102564109E-3</v>
          </cell>
          <cell r="N5">
            <v>6622738719</v>
          </cell>
          <cell r="O5">
            <v>125492347</v>
          </cell>
          <cell r="P5">
            <v>6748231066</v>
          </cell>
          <cell r="Q5">
            <v>15003775747</v>
          </cell>
        </row>
        <row r="6">
          <cell r="A6">
            <v>2</v>
          </cell>
          <cell r="B6" t="str">
            <v xml:space="preserve"> BALANCE</v>
          </cell>
          <cell r="C6" t="str">
            <v>1991. 12</v>
          </cell>
          <cell r="D6">
            <v>1</v>
          </cell>
          <cell r="E6">
            <v>11568282</v>
          </cell>
          <cell r="F6" t="str">
            <v>품보</v>
          </cell>
          <cell r="I6">
            <v>11568282</v>
          </cell>
          <cell r="J6">
            <v>1156828</v>
          </cell>
          <cell r="K6">
            <v>10411454</v>
          </cell>
          <cell r="L6">
            <v>13</v>
          </cell>
          <cell r="M6">
            <v>6.4102564102564109E-3</v>
          </cell>
          <cell r="N6">
            <v>3537220</v>
          </cell>
          <cell r="O6">
            <v>66740</v>
          </cell>
          <cell r="P6">
            <v>3603960</v>
          </cell>
          <cell r="Q6">
            <v>7964322</v>
          </cell>
        </row>
        <row r="7">
          <cell r="A7">
            <v>3</v>
          </cell>
          <cell r="B7" t="str">
            <v xml:space="preserve"> MICROSCOPE</v>
          </cell>
          <cell r="C7" t="str">
            <v>1991. 12</v>
          </cell>
          <cell r="D7">
            <v>1</v>
          </cell>
          <cell r="E7">
            <v>23676435</v>
          </cell>
          <cell r="F7" t="str">
            <v>품보</v>
          </cell>
          <cell r="I7">
            <v>23676435</v>
          </cell>
          <cell r="J7">
            <v>2367643</v>
          </cell>
          <cell r="K7">
            <v>21308792</v>
          </cell>
          <cell r="L7">
            <v>13</v>
          </cell>
          <cell r="M7">
            <v>6.4102564102564109E-3</v>
          </cell>
          <cell r="N7">
            <v>7239482</v>
          </cell>
          <cell r="O7">
            <v>136594</v>
          </cell>
          <cell r="P7">
            <v>7376076</v>
          </cell>
          <cell r="Q7">
            <v>16300359</v>
          </cell>
        </row>
        <row r="8">
          <cell r="A8">
            <v>4</v>
          </cell>
          <cell r="B8" t="str">
            <v>ULTRASONIC TEST</v>
          </cell>
          <cell r="C8" t="str">
            <v>1991. 12</v>
          </cell>
          <cell r="D8">
            <v>1</v>
          </cell>
          <cell r="E8">
            <v>6301362</v>
          </cell>
          <cell r="F8" t="str">
            <v>품보</v>
          </cell>
          <cell r="I8">
            <v>6301362</v>
          </cell>
          <cell r="J8">
            <v>630136</v>
          </cell>
          <cell r="K8">
            <v>5671226</v>
          </cell>
          <cell r="L8">
            <v>13</v>
          </cell>
          <cell r="M8">
            <v>6.4102564102564109E-3</v>
          </cell>
          <cell r="N8">
            <v>1926762</v>
          </cell>
          <cell r="O8">
            <v>36354</v>
          </cell>
          <cell r="P8">
            <v>1963116</v>
          </cell>
          <cell r="Q8">
            <v>4338246</v>
          </cell>
        </row>
        <row r="9">
          <cell r="A9">
            <v>5</v>
          </cell>
          <cell r="B9" t="str">
            <v>ULTRASONIC FLAW</v>
          </cell>
          <cell r="C9" t="str">
            <v>1991. 12</v>
          </cell>
          <cell r="D9">
            <v>1</v>
          </cell>
          <cell r="E9">
            <v>27834036</v>
          </cell>
          <cell r="F9" t="str">
            <v>품보</v>
          </cell>
          <cell r="I9">
            <v>27834036</v>
          </cell>
          <cell r="J9">
            <v>2783403</v>
          </cell>
          <cell r="K9">
            <v>25050633</v>
          </cell>
          <cell r="L9">
            <v>13</v>
          </cell>
          <cell r="M9">
            <v>6.4102564102564109E-3</v>
          </cell>
          <cell r="N9">
            <v>8510740</v>
          </cell>
          <cell r="O9">
            <v>160580</v>
          </cell>
          <cell r="P9">
            <v>8671320</v>
          </cell>
          <cell r="Q9">
            <v>19162716</v>
          </cell>
        </row>
        <row r="10">
          <cell r="A10">
            <v>6</v>
          </cell>
          <cell r="B10" t="str">
            <v xml:space="preserve"> LASER</v>
          </cell>
          <cell r="C10" t="str">
            <v>1991. 12</v>
          </cell>
          <cell r="D10">
            <v>1</v>
          </cell>
          <cell r="E10">
            <v>72542795</v>
          </cell>
          <cell r="F10" t="str">
            <v>품보</v>
          </cell>
          <cell r="I10">
            <v>72542795</v>
          </cell>
          <cell r="J10">
            <v>7254279</v>
          </cell>
          <cell r="K10">
            <v>65288516</v>
          </cell>
          <cell r="L10">
            <v>13</v>
          </cell>
          <cell r="M10">
            <v>6.4102564102564109E-3</v>
          </cell>
          <cell r="N10">
            <v>22181348</v>
          </cell>
          <cell r="O10">
            <v>418516</v>
          </cell>
          <cell r="P10">
            <v>22599864</v>
          </cell>
          <cell r="Q10">
            <v>49942931</v>
          </cell>
        </row>
        <row r="11">
          <cell r="A11">
            <v>7</v>
          </cell>
          <cell r="B11" t="str">
            <v xml:space="preserve"> SIEVE</v>
          </cell>
          <cell r="C11" t="str">
            <v>1991. 12</v>
          </cell>
          <cell r="D11">
            <v>1</v>
          </cell>
          <cell r="E11">
            <v>23877794</v>
          </cell>
          <cell r="F11" t="str">
            <v>품보</v>
          </cell>
          <cell r="I11">
            <v>23877794</v>
          </cell>
          <cell r="J11">
            <v>2387779</v>
          </cell>
          <cell r="K11">
            <v>21490015</v>
          </cell>
          <cell r="L11">
            <v>13</v>
          </cell>
          <cell r="M11">
            <v>6.4102564102564109E-3</v>
          </cell>
          <cell r="N11">
            <v>7301068</v>
          </cell>
          <cell r="O11">
            <v>137756</v>
          </cell>
          <cell r="P11">
            <v>7438824</v>
          </cell>
          <cell r="Q11">
            <v>16438970</v>
          </cell>
        </row>
        <row r="12">
          <cell r="A12">
            <v>8</v>
          </cell>
          <cell r="B12" t="str">
            <v>RAPID DRYING</v>
          </cell>
          <cell r="C12" t="str">
            <v>1991. 12</v>
          </cell>
          <cell r="D12">
            <v>1</v>
          </cell>
          <cell r="E12">
            <v>13714063</v>
          </cell>
          <cell r="F12" t="str">
            <v>품보</v>
          </cell>
          <cell r="I12">
            <v>13714063</v>
          </cell>
          <cell r="J12">
            <v>1371406</v>
          </cell>
          <cell r="K12">
            <v>12342657</v>
          </cell>
          <cell r="L12">
            <v>13</v>
          </cell>
          <cell r="M12">
            <v>6.4102564102564109E-3</v>
          </cell>
          <cell r="N12">
            <v>4121019</v>
          </cell>
          <cell r="O12">
            <v>79119</v>
          </cell>
          <cell r="P12">
            <v>4200138</v>
          </cell>
          <cell r="Q12">
            <v>9513925</v>
          </cell>
        </row>
        <row r="13">
          <cell r="A13">
            <v>9</v>
          </cell>
          <cell r="B13" t="str">
            <v>ELECTRO SIEVE</v>
          </cell>
          <cell r="C13" t="str">
            <v>1991. 12</v>
          </cell>
          <cell r="D13">
            <v>1</v>
          </cell>
          <cell r="E13">
            <v>13923575</v>
          </cell>
          <cell r="F13" t="str">
            <v>품보</v>
          </cell>
          <cell r="I13">
            <v>13923575</v>
          </cell>
          <cell r="J13">
            <v>1392357</v>
          </cell>
          <cell r="K13">
            <v>12531218</v>
          </cell>
          <cell r="L13">
            <v>13</v>
          </cell>
          <cell r="M13">
            <v>6.4102564102564109E-3</v>
          </cell>
          <cell r="N13">
            <v>4125840</v>
          </cell>
          <cell r="O13">
            <v>80328</v>
          </cell>
          <cell r="P13">
            <v>4206168</v>
          </cell>
          <cell r="Q13">
            <v>9717407</v>
          </cell>
        </row>
        <row r="14">
          <cell r="A14">
            <v>10</v>
          </cell>
          <cell r="B14" t="str">
            <v>METAL MICROSCOPE</v>
          </cell>
          <cell r="C14" t="str">
            <v>1991. 12</v>
          </cell>
          <cell r="D14">
            <v>1</v>
          </cell>
          <cell r="E14">
            <v>6155870</v>
          </cell>
          <cell r="F14" t="str">
            <v>품보</v>
          </cell>
          <cell r="I14">
            <v>6155870</v>
          </cell>
          <cell r="J14">
            <v>615587</v>
          </cell>
          <cell r="K14">
            <v>5540283</v>
          </cell>
          <cell r="L14">
            <v>13</v>
          </cell>
          <cell r="M14">
            <v>6.4102564102564109E-3</v>
          </cell>
          <cell r="N14">
            <v>1882242</v>
          </cell>
          <cell r="O14">
            <v>35514</v>
          </cell>
          <cell r="P14">
            <v>1917756</v>
          </cell>
          <cell r="Q14">
            <v>4238114</v>
          </cell>
        </row>
        <row r="15">
          <cell r="A15">
            <v>11</v>
          </cell>
          <cell r="B15" t="str">
            <v>PROGRAMER</v>
          </cell>
          <cell r="C15" t="str">
            <v>1991. 12</v>
          </cell>
          <cell r="D15">
            <v>1</v>
          </cell>
          <cell r="E15">
            <v>18013504</v>
          </cell>
          <cell r="F15" t="str">
            <v>연구소</v>
          </cell>
          <cell r="I15">
            <v>18013504</v>
          </cell>
          <cell r="J15">
            <v>1801350</v>
          </cell>
          <cell r="K15">
            <v>16212154</v>
          </cell>
          <cell r="L15">
            <v>13</v>
          </cell>
          <cell r="M15">
            <v>6.4102564102564109E-3</v>
          </cell>
          <cell r="N15">
            <v>5507972</v>
          </cell>
          <cell r="O15">
            <v>103924</v>
          </cell>
          <cell r="P15">
            <v>5611896</v>
          </cell>
          <cell r="Q15">
            <v>12401608</v>
          </cell>
        </row>
        <row r="16">
          <cell r="A16">
            <v>12</v>
          </cell>
          <cell r="B16" t="str">
            <v>HIGH SPEED PLANETARY</v>
          </cell>
          <cell r="C16" t="str">
            <v>1991. 12</v>
          </cell>
          <cell r="D16">
            <v>1</v>
          </cell>
          <cell r="E16">
            <v>13520369</v>
          </cell>
          <cell r="F16" t="str">
            <v>전처리</v>
          </cell>
          <cell r="I16">
            <v>13520369</v>
          </cell>
          <cell r="J16">
            <v>1352036</v>
          </cell>
          <cell r="K16">
            <v>12168333</v>
          </cell>
          <cell r="L16">
            <v>13</v>
          </cell>
          <cell r="M16">
            <v>6.4102564102564109E-3</v>
          </cell>
          <cell r="N16">
            <v>4134106</v>
          </cell>
          <cell r="O16">
            <v>78002</v>
          </cell>
          <cell r="P16">
            <v>4212108</v>
          </cell>
          <cell r="Q16">
            <v>9308261</v>
          </cell>
        </row>
        <row r="17">
          <cell r="A17">
            <v>13</v>
          </cell>
          <cell r="B17" t="str">
            <v>고 압 공 구</v>
          </cell>
          <cell r="C17" t="str">
            <v>1991. 12</v>
          </cell>
          <cell r="D17">
            <v>1</v>
          </cell>
          <cell r="E17">
            <v>355193312</v>
          </cell>
          <cell r="F17" t="str">
            <v>합성</v>
          </cell>
          <cell r="I17">
            <v>355193312</v>
          </cell>
          <cell r="J17">
            <v>35519331</v>
          </cell>
          <cell r="K17">
            <v>319673981</v>
          </cell>
          <cell r="L17">
            <v>13</v>
          </cell>
          <cell r="M17">
            <v>6.4102564102564109E-3</v>
          </cell>
          <cell r="N17">
            <v>108607176</v>
          </cell>
          <cell r="O17">
            <v>2049192</v>
          </cell>
          <cell r="P17">
            <v>110656368</v>
          </cell>
          <cell r="Q17">
            <v>244536944</v>
          </cell>
        </row>
        <row r="18">
          <cell r="A18">
            <v>14</v>
          </cell>
          <cell r="B18" t="str">
            <v>UNIVERSAL HARDNESS</v>
          </cell>
          <cell r="C18" t="str">
            <v>1991. 12</v>
          </cell>
          <cell r="D18">
            <v>1</v>
          </cell>
          <cell r="E18">
            <v>28349000</v>
          </cell>
          <cell r="F18" t="str">
            <v>품보</v>
          </cell>
          <cell r="I18">
            <v>28349000</v>
          </cell>
          <cell r="J18">
            <v>2834900</v>
          </cell>
          <cell r="K18">
            <v>25514100</v>
          </cell>
          <cell r="L18">
            <v>13</v>
          </cell>
          <cell r="M18">
            <v>6.4102564102564109E-3</v>
          </cell>
          <cell r="N18">
            <v>8668203</v>
          </cell>
          <cell r="O18">
            <v>163551</v>
          </cell>
          <cell r="P18">
            <v>8831754</v>
          </cell>
          <cell r="Q18">
            <v>19517246</v>
          </cell>
        </row>
        <row r="19">
          <cell r="A19">
            <v>15</v>
          </cell>
          <cell r="B19" t="str">
            <v>FILTER</v>
          </cell>
          <cell r="C19" t="str">
            <v>1991. 12</v>
          </cell>
          <cell r="D19">
            <v>1</v>
          </cell>
          <cell r="E19">
            <v>42906476</v>
          </cell>
          <cell r="F19" t="str">
            <v>공무</v>
          </cell>
          <cell r="I19">
            <v>42906476</v>
          </cell>
          <cell r="J19">
            <v>4290647</v>
          </cell>
          <cell r="K19">
            <v>38615829</v>
          </cell>
          <cell r="L19">
            <v>13</v>
          </cell>
          <cell r="M19">
            <v>6.4102564102564109E-3</v>
          </cell>
          <cell r="N19">
            <v>13119461</v>
          </cell>
          <cell r="O19">
            <v>247537</v>
          </cell>
          <cell r="P19">
            <v>13366998</v>
          </cell>
          <cell r="Q19">
            <v>29539478</v>
          </cell>
        </row>
        <row r="20">
          <cell r="A20">
            <v>16</v>
          </cell>
          <cell r="B20" t="str">
            <v>BALL MILL</v>
          </cell>
          <cell r="C20" t="str">
            <v>1991. 12</v>
          </cell>
          <cell r="D20">
            <v>1</v>
          </cell>
          <cell r="E20">
            <v>9030640</v>
          </cell>
          <cell r="F20" t="str">
            <v>연구소</v>
          </cell>
          <cell r="I20">
            <v>9030640</v>
          </cell>
          <cell r="J20">
            <v>903064</v>
          </cell>
          <cell r="K20">
            <v>8127576</v>
          </cell>
          <cell r="L20">
            <v>13</v>
          </cell>
          <cell r="M20">
            <v>6.4102564102564109E-3</v>
          </cell>
          <cell r="N20">
            <v>2761247</v>
          </cell>
          <cell r="O20">
            <v>52099</v>
          </cell>
          <cell r="P20">
            <v>2813346</v>
          </cell>
          <cell r="Q20">
            <v>6217294</v>
          </cell>
        </row>
        <row r="21">
          <cell r="A21">
            <v>17</v>
          </cell>
          <cell r="B21" t="str">
            <v>PYRO. SAW</v>
          </cell>
          <cell r="C21" t="str">
            <v>1991. 12</v>
          </cell>
          <cell r="D21">
            <v>1</v>
          </cell>
          <cell r="E21">
            <v>28840621</v>
          </cell>
          <cell r="F21" t="str">
            <v>전처리</v>
          </cell>
          <cell r="I21">
            <v>28840621</v>
          </cell>
          <cell r="J21">
            <v>2884062</v>
          </cell>
          <cell r="K21">
            <v>25956559</v>
          </cell>
          <cell r="L21">
            <v>13</v>
          </cell>
          <cell r="M21">
            <v>6.4102564102564109E-3</v>
          </cell>
          <cell r="N21">
            <v>8818564</v>
          </cell>
          <cell r="O21">
            <v>166388</v>
          </cell>
          <cell r="P21">
            <v>8984952</v>
          </cell>
          <cell r="Q21">
            <v>19855669</v>
          </cell>
        </row>
        <row r="22">
          <cell r="A22">
            <v>18</v>
          </cell>
          <cell r="B22" t="str">
            <v>2,000T PRESS</v>
          </cell>
          <cell r="C22" t="str">
            <v>1991. 12</v>
          </cell>
          <cell r="D22">
            <v>1</v>
          </cell>
          <cell r="E22">
            <v>248765637</v>
          </cell>
          <cell r="F22" t="str">
            <v>합성</v>
          </cell>
          <cell r="I22">
            <v>248765637</v>
          </cell>
          <cell r="J22">
            <v>24876563</v>
          </cell>
          <cell r="K22">
            <v>223889074</v>
          </cell>
          <cell r="L22">
            <v>13</v>
          </cell>
          <cell r="M22">
            <v>6.4102564102564109E-3</v>
          </cell>
          <cell r="N22">
            <v>76064858</v>
          </cell>
          <cell r="O22">
            <v>1435186</v>
          </cell>
          <cell r="P22">
            <v>77500044</v>
          </cell>
          <cell r="Q22">
            <v>171265593</v>
          </cell>
        </row>
        <row r="23">
          <cell r="A23">
            <v>19</v>
          </cell>
          <cell r="B23" t="str">
            <v>XY-RECORDER</v>
          </cell>
          <cell r="C23" t="str">
            <v>1991. 12</v>
          </cell>
          <cell r="D23">
            <v>1</v>
          </cell>
          <cell r="E23">
            <v>3918266</v>
          </cell>
          <cell r="F23" t="str">
            <v>생산사무실</v>
          </cell>
          <cell r="I23">
            <v>3918266</v>
          </cell>
          <cell r="J23">
            <v>391826</v>
          </cell>
          <cell r="K23">
            <v>3526440</v>
          </cell>
          <cell r="L23">
            <v>13</v>
          </cell>
          <cell r="M23">
            <v>6.4102564102564109E-3</v>
          </cell>
          <cell r="N23">
            <v>1198065</v>
          </cell>
          <cell r="O23">
            <v>22605</v>
          </cell>
          <cell r="P23">
            <v>1220670</v>
          </cell>
          <cell r="Q23">
            <v>2697596</v>
          </cell>
        </row>
        <row r="24">
          <cell r="A24">
            <v>20</v>
          </cell>
          <cell r="B24" t="str">
            <v>AIR SHIFTER</v>
          </cell>
          <cell r="C24" t="str">
            <v>1991. 12</v>
          </cell>
          <cell r="D24">
            <v>1</v>
          </cell>
          <cell r="E24">
            <v>41148013</v>
          </cell>
          <cell r="F24" t="str">
            <v>품보</v>
          </cell>
          <cell r="I24">
            <v>41148013</v>
          </cell>
          <cell r="J24">
            <v>4114801</v>
          </cell>
          <cell r="K24">
            <v>37033212</v>
          </cell>
          <cell r="L24">
            <v>13</v>
          </cell>
          <cell r="M24">
            <v>6.4102564102564109E-3</v>
          </cell>
          <cell r="N24">
            <v>12581776</v>
          </cell>
          <cell r="O24">
            <v>237392</v>
          </cell>
          <cell r="P24">
            <v>12819168</v>
          </cell>
          <cell r="Q24">
            <v>28328845</v>
          </cell>
        </row>
        <row r="25">
          <cell r="A25">
            <v>21</v>
          </cell>
          <cell r="B25" t="str">
            <v>MAGNETIC SEPERATOR</v>
          </cell>
          <cell r="C25" t="str">
            <v>1991. 12</v>
          </cell>
          <cell r="D25">
            <v>1</v>
          </cell>
          <cell r="E25">
            <v>19241675</v>
          </cell>
          <cell r="F25" t="str">
            <v>품보</v>
          </cell>
          <cell r="I25">
            <v>19241675</v>
          </cell>
          <cell r="J25">
            <v>1924167</v>
          </cell>
          <cell r="K25">
            <v>17317508</v>
          </cell>
          <cell r="L25">
            <v>13</v>
          </cell>
          <cell r="M25">
            <v>6.4102564102564109E-3</v>
          </cell>
          <cell r="N25">
            <v>5794269</v>
          </cell>
          <cell r="O25">
            <v>111009</v>
          </cell>
          <cell r="P25">
            <v>5905278</v>
          </cell>
          <cell r="Q25">
            <v>13336397</v>
          </cell>
        </row>
        <row r="26">
          <cell r="A26">
            <v>22</v>
          </cell>
          <cell r="B26" t="str">
            <v>C.I.P.</v>
          </cell>
          <cell r="C26" t="str">
            <v>1991. 12</v>
          </cell>
          <cell r="D26">
            <v>1</v>
          </cell>
          <cell r="E26">
            <v>32118862</v>
          </cell>
          <cell r="F26" t="str">
            <v>전처리</v>
          </cell>
          <cell r="I26">
            <v>32118862</v>
          </cell>
          <cell r="J26">
            <v>3211886</v>
          </cell>
          <cell r="K26">
            <v>28906976</v>
          </cell>
          <cell r="L26">
            <v>13</v>
          </cell>
          <cell r="M26">
            <v>6.4102564102564109E-3</v>
          </cell>
          <cell r="N26">
            <v>9720609</v>
          </cell>
          <cell r="O26">
            <v>185301</v>
          </cell>
          <cell r="P26">
            <v>9905910</v>
          </cell>
          <cell r="Q26">
            <v>22212952</v>
          </cell>
        </row>
        <row r="27">
          <cell r="A27">
            <v>23</v>
          </cell>
          <cell r="B27" t="str">
            <v>AIR COMP'</v>
          </cell>
          <cell r="C27" t="str">
            <v>1991. 12</v>
          </cell>
          <cell r="D27">
            <v>1</v>
          </cell>
          <cell r="E27">
            <v>160394892</v>
          </cell>
          <cell r="F27" t="str">
            <v>합성</v>
          </cell>
          <cell r="I27">
            <v>160394892</v>
          </cell>
          <cell r="J27">
            <v>16039489</v>
          </cell>
          <cell r="K27">
            <v>144355403</v>
          </cell>
          <cell r="L27">
            <v>13</v>
          </cell>
          <cell r="M27">
            <v>6.4102564102564109E-3</v>
          </cell>
          <cell r="N27">
            <v>49043815</v>
          </cell>
          <cell r="O27">
            <v>925355</v>
          </cell>
          <cell r="P27">
            <v>49969170</v>
          </cell>
          <cell r="Q27">
            <v>110425722</v>
          </cell>
        </row>
        <row r="28">
          <cell r="A28">
            <v>24</v>
          </cell>
          <cell r="B28" t="str">
            <v>TURNING LATHE</v>
          </cell>
          <cell r="C28" t="str">
            <v>1991. 12</v>
          </cell>
          <cell r="D28">
            <v>1</v>
          </cell>
          <cell r="E28">
            <v>73075068</v>
          </cell>
          <cell r="F28" t="str">
            <v>전처리</v>
          </cell>
          <cell r="I28">
            <v>73075068</v>
          </cell>
          <cell r="J28">
            <v>7307506</v>
          </cell>
          <cell r="K28">
            <v>65767562</v>
          </cell>
          <cell r="L28">
            <v>13</v>
          </cell>
          <cell r="M28">
            <v>6.4102564102564109E-3</v>
          </cell>
          <cell r="N28">
            <v>22344058</v>
          </cell>
          <cell r="O28">
            <v>421586</v>
          </cell>
          <cell r="P28">
            <v>22765644</v>
          </cell>
          <cell r="Q28">
            <v>50309424</v>
          </cell>
        </row>
        <row r="29">
          <cell r="A29">
            <v>25</v>
          </cell>
          <cell r="B29" t="str">
            <v>V-TYPE MIXER외</v>
          </cell>
          <cell r="C29" t="str">
            <v>1991. 12</v>
          </cell>
          <cell r="D29">
            <v>1</v>
          </cell>
          <cell r="E29">
            <v>99588546</v>
          </cell>
          <cell r="F29" t="str">
            <v>합성</v>
          </cell>
          <cell r="I29">
            <v>99588546</v>
          </cell>
          <cell r="J29">
            <v>9958854</v>
          </cell>
          <cell r="K29">
            <v>89629692</v>
          </cell>
          <cell r="L29">
            <v>13</v>
          </cell>
          <cell r="M29">
            <v>6.4102564102564109E-3</v>
          </cell>
          <cell r="N29">
            <v>29630135</v>
          </cell>
          <cell r="O29">
            <v>574549</v>
          </cell>
          <cell r="P29">
            <v>30204684</v>
          </cell>
          <cell r="Q29">
            <v>69383862</v>
          </cell>
        </row>
        <row r="30">
          <cell r="A30">
            <v>26</v>
          </cell>
          <cell r="B30" t="str">
            <v>MICRO SCIVE외</v>
          </cell>
          <cell r="C30" t="str">
            <v>1991. 12</v>
          </cell>
          <cell r="D30">
            <v>1</v>
          </cell>
          <cell r="E30">
            <v>76314575</v>
          </cell>
          <cell r="F30" t="str">
            <v>전처리</v>
          </cell>
          <cell r="I30">
            <v>76314575</v>
          </cell>
          <cell r="J30">
            <v>7631457</v>
          </cell>
          <cell r="K30">
            <v>68683118</v>
          </cell>
          <cell r="L30">
            <v>13</v>
          </cell>
          <cell r="M30">
            <v>6.4102564102564109E-3</v>
          </cell>
          <cell r="N30">
            <v>19475008</v>
          </cell>
          <cell r="O30">
            <v>440276</v>
          </cell>
          <cell r="P30">
            <v>19915284</v>
          </cell>
          <cell r="Q30">
            <v>56399291</v>
          </cell>
        </row>
        <row r="31">
          <cell r="A31">
            <v>27</v>
          </cell>
          <cell r="B31" t="str">
            <v>전기인입공사</v>
          </cell>
          <cell r="C31" t="str">
            <v>1991. 12</v>
          </cell>
          <cell r="D31" t="str">
            <v>1 식</v>
          </cell>
          <cell r="E31">
            <v>4359643</v>
          </cell>
          <cell r="F31" t="str">
            <v>품보</v>
          </cell>
          <cell r="I31">
            <v>4359643</v>
          </cell>
          <cell r="J31">
            <v>435964</v>
          </cell>
          <cell r="K31">
            <v>3923679</v>
          </cell>
          <cell r="L31">
            <v>13</v>
          </cell>
          <cell r="M31">
            <v>6.4102564102564109E-3</v>
          </cell>
          <cell r="N31">
            <v>1333003</v>
          </cell>
          <cell r="O31">
            <v>25151</v>
          </cell>
          <cell r="P31">
            <v>1358154</v>
          </cell>
          <cell r="Q31">
            <v>3001489</v>
          </cell>
        </row>
        <row r="32">
          <cell r="A32">
            <v>28</v>
          </cell>
          <cell r="B32" t="str">
            <v>AUTO PUNCH PRESS</v>
          </cell>
          <cell r="C32" t="str">
            <v>1991. 12</v>
          </cell>
          <cell r="D32" t="str">
            <v>1 식</v>
          </cell>
          <cell r="E32">
            <v>51498833</v>
          </cell>
          <cell r="F32" t="str">
            <v>품보</v>
          </cell>
          <cell r="I32">
            <v>51498833</v>
          </cell>
          <cell r="J32">
            <v>5149883</v>
          </cell>
          <cell r="K32">
            <v>46348950</v>
          </cell>
          <cell r="L32">
            <v>13</v>
          </cell>
          <cell r="M32">
            <v>6.4102564102564109E-3</v>
          </cell>
          <cell r="N32">
            <v>15746724</v>
          </cell>
          <cell r="O32">
            <v>297108</v>
          </cell>
          <cell r="P32">
            <v>16043832</v>
          </cell>
          <cell r="Q32">
            <v>35455001</v>
          </cell>
        </row>
        <row r="33">
          <cell r="A33">
            <v>29</v>
          </cell>
          <cell r="B33" t="str">
            <v>CRANE</v>
          </cell>
          <cell r="C33" t="str">
            <v>1991. 12</v>
          </cell>
          <cell r="D33" t="str">
            <v>1 식</v>
          </cell>
          <cell r="E33">
            <v>117971261</v>
          </cell>
          <cell r="F33" t="str">
            <v>공무</v>
          </cell>
          <cell r="I33">
            <v>117971261</v>
          </cell>
          <cell r="J33">
            <v>11797126</v>
          </cell>
          <cell r="K33">
            <v>106174135</v>
          </cell>
          <cell r="L33">
            <v>13</v>
          </cell>
          <cell r="M33">
            <v>6.4102564102564109E-3</v>
          </cell>
          <cell r="N33">
            <v>36071958</v>
          </cell>
          <cell r="O33">
            <v>680603</v>
          </cell>
          <cell r="P33">
            <v>36752561</v>
          </cell>
          <cell r="Q33">
            <v>81218700</v>
          </cell>
        </row>
        <row r="34">
          <cell r="A34">
            <v>30</v>
          </cell>
          <cell r="B34" t="str">
            <v>TRANS FORMER</v>
          </cell>
          <cell r="C34" t="str">
            <v>1991. 12</v>
          </cell>
          <cell r="D34" t="str">
            <v>1 식</v>
          </cell>
          <cell r="E34">
            <v>415543</v>
          </cell>
          <cell r="F34" t="str">
            <v>전처리</v>
          </cell>
          <cell r="I34">
            <v>415543</v>
          </cell>
          <cell r="J34">
            <v>41554</v>
          </cell>
          <cell r="K34">
            <v>373989</v>
          </cell>
          <cell r="L34">
            <v>13</v>
          </cell>
          <cell r="M34">
            <v>6.4102564102564109E-3</v>
          </cell>
          <cell r="N34">
            <v>127041</v>
          </cell>
          <cell r="O34">
            <v>2397</v>
          </cell>
          <cell r="P34">
            <v>129438</v>
          </cell>
          <cell r="Q34">
            <v>286105</v>
          </cell>
        </row>
        <row r="35">
          <cell r="A35">
            <v>31</v>
          </cell>
          <cell r="B35" t="str">
            <v>TABLE PRESS</v>
          </cell>
          <cell r="C35" t="str">
            <v>1991. 12</v>
          </cell>
          <cell r="D35" t="str">
            <v>2 식</v>
          </cell>
          <cell r="E35">
            <v>976702</v>
          </cell>
          <cell r="F35" t="str">
            <v>합성</v>
          </cell>
          <cell r="I35">
            <v>976702</v>
          </cell>
          <cell r="J35">
            <v>97670</v>
          </cell>
          <cell r="K35">
            <v>879032</v>
          </cell>
          <cell r="L35">
            <v>13</v>
          </cell>
          <cell r="M35">
            <v>6.4102564102564109E-3</v>
          </cell>
          <cell r="N35">
            <v>298602</v>
          </cell>
          <cell r="O35">
            <v>5634</v>
          </cell>
          <cell r="P35">
            <v>304236</v>
          </cell>
          <cell r="Q35">
            <v>672466</v>
          </cell>
        </row>
        <row r="36">
          <cell r="A36">
            <v>32</v>
          </cell>
          <cell r="B36" t="str">
            <v>SAMPLE BREAKER</v>
          </cell>
          <cell r="C36" t="str">
            <v>1991. 12</v>
          </cell>
          <cell r="D36" t="str">
            <v>1 식</v>
          </cell>
          <cell r="E36">
            <v>1154284</v>
          </cell>
          <cell r="F36" t="str">
            <v>품보</v>
          </cell>
          <cell r="I36">
            <v>1154284</v>
          </cell>
          <cell r="J36">
            <v>115428</v>
          </cell>
          <cell r="K36">
            <v>1038856</v>
          </cell>
          <cell r="L36">
            <v>13</v>
          </cell>
          <cell r="M36">
            <v>6.4102564102564109E-3</v>
          </cell>
          <cell r="N36">
            <v>352927</v>
          </cell>
          <cell r="O36">
            <v>6659</v>
          </cell>
          <cell r="P36">
            <v>359586</v>
          </cell>
          <cell r="Q36">
            <v>794698</v>
          </cell>
        </row>
        <row r="37">
          <cell r="A37">
            <v>33</v>
          </cell>
          <cell r="B37" t="str">
            <v>진공청소기</v>
          </cell>
          <cell r="C37" t="str">
            <v>1991. 12</v>
          </cell>
          <cell r="D37" t="str">
            <v>1 식</v>
          </cell>
          <cell r="E37">
            <v>3320787</v>
          </cell>
          <cell r="F37" t="str">
            <v>전처리</v>
          </cell>
          <cell r="I37">
            <v>3320787</v>
          </cell>
          <cell r="J37">
            <v>332078</v>
          </cell>
          <cell r="K37">
            <v>2988709</v>
          </cell>
          <cell r="L37">
            <v>13</v>
          </cell>
          <cell r="M37">
            <v>6.4102564102564109E-3</v>
          </cell>
          <cell r="N37">
            <v>1015374</v>
          </cell>
          <cell r="O37">
            <v>19158</v>
          </cell>
          <cell r="P37">
            <v>1034532</v>
          </cell>
          <cell r="Q37">
            <v>2286255</v>
          </cell>
        </row>
        <row r="38">
          <cell r="A38">
            <v>34</v>
          </cell>
          <cell r="B38" t="str">
            <v>초음파탈지조</v>
          </cell>
          <cell r="C38" t="str">
            <v>1991. 12</v>
          </cell>
          <cell r="D38" t="str">
            <v>1 식</v>
          </cell>
          <cell r="E38">
            <v>9589438</v>
          </cell>
          <cell r="F38" t="str">
            <v>전처리</v>
          </cell>
          <cell r="I38">
            <v>9589438</v>
          </cell>
          <cell r="J38">
            <v>958943</v>
          </cell>
          <cell r="K38">
            <v>8630495</v>
          </cell>
          <cell r="L38">
            <v>13</v>
          </cell>
          <cell r="M38">
            <v>6.4102564102564109E-3</v>
          </cell>
          <cell r="N38">
            <v>2932119</v>
          </cell>
          <cell r="O38">
            <v>55323</v>
          </cell>
          <cell r="P38">
            <v>2987442</v>
          </cell>
          <cell r="Q38">
            <v>6601996</v>
          </cell>
        </row>
        <row r="39">
          <cell r="A39">
            <v>35</v>
          </cell>
          <cell r="B39" t="str">
            <v>릴리프 벨브</v>
          </cell>
          <cell r="C39" t="str">
            <v>1991. 12</v>
          </cell>
          <cell r="D39" t="str">
            <v>1 식</v>
          </cell>
          <cell r="E39">
            <v>3729225</v>
          </cell>
          <cell r="F39" t="str">
            <v>공무</v>
          </cell>
          <cell r="I39">
            <v>3729225</v>
          </cell>
          <cell r="J39">
            <v>372922</v>
          </cell>
          <cell r="K39">
            <v>3356303</v>
          </cell>
          <cell r="L39">
            <v>13</v>
          </cell>
          <cell r="M39">
            <v>6.4102564102564109E-3</v>
          </cell>
          <cell r="N39">
            <v>1140242</v>
          </cell>
          <cell r="O39">
            <v>21514</v>
          </cell>
          <cell r="P39">
            <v>1161756</v>
          </cell>
          <cell r="Q39">
            <v>2567469</v>
          </cell>
        </row>
        <row r="40">
          <cell r="A40">
            <v>36</v>
          </cell>
          <cell r="B40" t="str">
            <v>C.N.C.</v>
          </cell>
          <cell r="C40" t="str">
            <v>1991. 12</v>
          </cell>
          <cell r="D40" t="str">
            <v>1 식</v>
          </cell>
          <cell r="E40">
            <v>283598746</v>
          </cell>
          <cell r="F40" t="str">
            <v>전처리</v>
          </cell>
          <cell r="I40">
            <v>283598746</v>
          </cell>
          <cell r="J40">
            <v>28359874</v>
          </cell>
          <cell r="K40">
            <v>255238872</v>
          </cell>
          <cell r="L40">
            <v>13</v>
          </cell>
          <cell r="M40">
            <v>6.4102564102564109E-3</v>
          </cell>
          <cell r="N40">
            <v>86715738</v>
          </cell>
          <cell r="O40">
            <v>1636146</v>
          </cell>
          <cell r="P40">
            <v>88351884</v>
          </cell>
          <cell r="Q40">
            <v>195246862</v>
          </cell>
        </row>
        <row r="41">
          <cell r="A41">
            <v>37</v>
          </cell>
          <cell r="B41" t="str">
            <v>TURNING LATHE</v>
          </cell>
          <cell r="C41" t="str">
            <v>1991. 12</v>
          </cell>
          <cell r="D41" t="str">
            <v>1 식</v>
          </cell>
          <cell r="E41">
            <v>16714212</v>
          </cell>
          <cell r="F41" t="str">
            <v>전처리</v>
          </cell>
          <cell r="I41">
            <v>16714212</v>
          </cell>
          <cell r="J41">
            <v>1671421</v>
          </cell>
          <cell r="K41">
            <v>15042791</v>
          </cell>
          <cell r="L41">
            <v>13</v>
          </cell>
          <cell r="M41">
            <v>6.4102564102564109E-3</v>
          </cell>
          <cell r="N41">
            <v>5110684</v>
          </cell>
          <cell r="O41">
            <v>96428</v>
          </cell>
          <cell r="P41">
            <v>5207112</v>
          </cell>
          <cell r="Q41">
            <v>11507100</v>
          </cell>
        </row>
        <row r="42">
          <cell r="A42">
            <v>38</v>
          </cell>
          <cell r="B42" t="str">
            <v>SAND BLSTER M/C</v>
          </cell>
          <cell r="C42" t="str">
            <v>1991. 12</v>
          </cell>
          <cell r="D42" t="str">
            <v>2 식</v>
          </cell>
          <cell r="E42">
            <v>6570541</v>
          </cell>
          <cell r="F42" t="str">
            <v>합성</v>
          </cell>
          <cell r="G42" t="str">
            <v xml:space="preserve"> </v>
          </cell>
          <cell r="I42">
            <v>6570541</v>
          </cell>
          <cell r="J42">
            <v>657054</v>
          </cell>
          <cell r="K42">
            <v>5913487</v>
          </cell>
          <cell r="L42">
            <v>13</v>
          </cell>
          <cell r="M42">
            <v>6.4102564102564109E-3</v>
          </cell>
          <cell r="N42">
            <v>2009018</v>
          </cell>
          <cell r="O42">
            <v>37906</v>
          </cell>
          <cell r="P42">
            <v>2046924</v>
          </cell>
          <cell r="Q42">
            <v>4523617</v>
          </cell>
        </row>
        <row r="43">
          <cell r="A43">
            <v>39</v>
          </cell>
          <cell r="B43" t="str">
            <v>GRAPHITE SAW</v>
          </cell>
          <cell r="C43" t="str">
            <v>1991. 12</v>
          </cell>
          <cell r="D43" t="str">
            <v>2 식</v>
          </cell>
          <cell r="E43">
            <v>19711622</v>
          </cell>
          <cell r="F43" t="str">
            <v>전처리</v>
          </cell>
          <cell r="I43">
            <v>19711622</v>
          </cell>
          <cell r="J43">
            <v>1971162</v>
          </cell>
          <cell r="K43">
            <v>17740460</v>
          </cell>
          <cell r="L43">
            <v>13</v>
          </cell>
          <cell r="M43">
            <v>6.4102564102564109E-3</v>
          </cell>
          <cell r="N43">
            <v>6027160</v>
          </cell>
          <cell r="O43">
            <v>113720</v>
          </cell>
          <cell r="P43">
            <v>6140880</v>
          </cell>
          <cell r="Q43">
            <v>13570742</v>
          </cell>
        </row>
        <row r="44">
          <cell r="A44">
            <v>40</v>
          </cell>
          <cell r="B44" t="str">
            <v>AUTO PUNCH PRESS</v>
          </cell>
          <cell r="C44" t="str">
            <v>1991. 12</v>
          </cell>
          <cell r="D44" t="str">
            <v>4 식</v>
          </cell>
          <cell r="E44">
            <v>19534040</v>
          </cell>
          <cell r="F44" t="str">
            <v>전처리</v>
          </cell>
          <cell r="I44">
            <v>19534040</v>
          </cell>
          <cell r="J44">
            <v>1953404</v>
          </cell>
          <cell r="K44">
            <v>17580636</v>
          </cell>
          <cell r="L44">
            <v>13</v>
          </cell>
          <cell r="M44">
            <v>6.4102564102564109E-3</v>
          </cell>
          <cell r="N44">
            <v>5972888</v>
          </cell>
          <cell r="O44">
            <v>112696</v>
          </cell>
          <cell r="P44">
            <v>6085584</v>
          </cell>
          <cell r="Q44">
            <v>13448456</v>
          </cell>
        </row>
        <row r="45">
          <cell r="A45">
            <v>41</v>
          </cell>
          <cell r="B45" t="str">
            <v>항온항습 DUCT</v>
          </cell>
          <cell r="C45" t="str">
            <v>1991. 12</v>
          </cell>
          <cell r="D45" t="str">
            <v>1 식</v>
          </cell>
          <cell r="E45">
            <v>18219932</v>
          </cell>
          <cell r="F45" t="str">
            <v>품보</v>
          </cell>
          <cell r="I45">
            <v>18219932</v>
          </cell>
          <cell r="J45">
            <v>1821993</v>
          </cell>
          <cell r="K45">
            <v>16397939</v>
          </cell>
          <cell r="L45">
            <v>13</v>
          </cell>
          <cell r="M45">
            <v>6.4102564102564109E-3</v>
          </cell>
          <cell r="N45">
            <v>5571042</v>
          </cell>
          <cell r="O45">
            <v>105114</v>
          </cell>
          <cell r="P45">
            <v>5676156</v>
          </cell>
          <cell r="Q45">
            <v>12543776</v>
          </cell>
        </row>
        <row r="46">
          <cell r="A46">
            <v>42</v>
          </cell>
          <cell r="B46" t="str">
            <v>폐수처리조</v>
          </cell>
          <cell r="C46" t="str">
            <v>1991. 12</v>
          </cell>
          <cell r="D46" t="str">
            <v>1 식</v>
          </cell>
          <cell r="E46">
            <v>144765747</v>
          </cell>
          <cell r="F46" t="str">
            <v>후처리</v>
          </cell>
          <cell r="I46">
            <v>144765747</v>
          </cell>
          <cell r="J46">
            <v>14476574</v>
          </cell>
          <cell r="K46">
            <v>130289173</v>
          </cell>
          <cell r="L46">
            <v>13</v>
          </cell>
          <cell r="M46">
            <v>6.4102564102564109E-3</v>
          </cell>
          <cell r="N46">
            <v>43657408</v>
          </cell>
          <cell r="O46">
            <v>835187</v>
          </cell>
          <cell r="P46">
            <v>44492595</v>
          </cell>
          <cell r="Q46">
            <v>100273152</v>
          </cell>
        </row>
        <row r="47">
          <cell r="A47">
            <v>43</v>
          </cell>
          <cell r="B47" t="str">
            <v>SID 용기금형</v>
          </cell>
          <cell r="C47" t="str">
            <v>1991. 12</v>
          </cell>
          <cell r="D47" t="str">
            <v>1 식</v>
          </cell>
          <cell r="E47">
            <v>30188972</v>
          </cell>
          <cell r="F47" t="str">
            <v>합성</v>
          </cell>
          <cell r="I47">
            <v>30188972</v>
          </cell>
          <cell r="J47">
            <v>3018897</v>
          </cell>
          <cell r="K47">
            <v>27170075</v>
          </cell>
          <cell r="L47">
            <v>13</v>
          </cell>
          <cell r="M47">
            <v>6.4102564102564109E-3</v>
          </cell>
          <cell r="N47">
            <v>9230851</v>
          </cell>
          <cell r="O47">
            <v>174167</v>
          </cell>
          <cell r="P47">
            <v>9405018</v>
          </cell>
          <cell r="Q47">
            <v>20783954</v>
          </cell>
        </row>
        <row r="48">
          <cell r="A48">
            <v>44</v>
          </cell>
          <cell r="B48" t="str">
            <v>작업대,저장대</v>
          </cell>
          <cell r="C48" t="str">
            <v>1991. 12</v>
          </cell>
          <cell r="D48" t="str">
            <v>1 식</v>
          </cell>
          <cell r="E48">
            <v>14916904</v>
          </cell>
          <cell r="F48" t="str">
            <v>합성</v>
          </cell>
          <cell r="I48">
            <v>14916904</v>
          </cell>
          <cell r="J48">
            <v>1491690</v>
          </cell>
          <cell r="K48">
            <v>13425214</v>
          </cell>
          <cell r="L48">
            <v>13</v>
          </cell>
          <cell r="M48">
            <v>6.4102564102564109E-3</v>
          </cell>
          <cell r="N48">
            <v>4561127</v>
          </cell>
          <cell r="O48">
            <v>86059</v>
          </cell>
          <cell r="P48">
            <v>4647186</v>
          </cell>
          <cell r="Q48">
            <v>10269718</v>
          </cell>
        </row>
        <row r="49">
          <cell r="A49">
            <v>45</v>
          </cell>
          <cell r="B49" t="str">
            <v>C.N.C. DUCT</v>
          </cell>
          <cell r="C49" t="str">
            <v>1991. 12</v>
          </cell>
          <cell r="D49" t="str">
            <v>1 식</v>
          </cell>
          <cell r="E49">
            <v>2486150</v>
          </cell>
          <cell r="F49" t="str">
            <v>전처리</v>
          </cell>
          <cell r="I49">
            <v>2486150</v>
          </cell>
          <cell r="J49">
            <v>248615</v>
          </cell>
          <cell r="K49">
            <v>2237535</v>
          </cell>
          <cell r="L49">
            <v>13</v>
          </cell>
          <cell r="M49">
            <v>6.4102564102564109E-3</v>
          </cell>
          <cell r="N49">
            <v>760179</v>
          </cell>
          <cell r="O49">
            <v>14343</v>
          </cell>
          <cell r="P49">
            <v>774522</v>
          </cell>
          <cell r="Q49">
            <v>1711628</v>
          </cell>
        </row>
        <row r="50">
          <cell r="A50">
            <v>46</v>
          </cell>
          <cell r="B50" t="str">
            <v>FURNACE</v>
          </cell>
          <cell r="C50" t="str">
            <v>1991. 12</v>
          </cell>
          <cell r="D50" t="str">
            <v>1 식</v>
          </cell>
          <cell r="E50">
            <v>128507528</v>
          </cell>
          <cell r="F50" t="str">
            <v>품보</v>
          </cell>
          <cell r="I50">
            <v>128507528</v>
          </cell>
          <cell r="J50">
            <v>12850752</v>
          </cell>
          <cell r="K50">
            <v>115656776</v>
          </cell>
          <cell r="L50">
            <v>13</v>
          </cell>
          <cell r="M50">
            <v>6.4102564102564109E-3</v>
          </cell>
          <cell r="N50">
            <v>38348608</v>
          </cell>
          <cell r="O50">
            <v>741389</v>
          </cell>
          <cell r="P50">
            <v>39089997</v>
          </cell>
          <cell r="Q50">
            <v>89417531</v>
          </cell>
        </row>
        <row r="51">
          <cell r="A51">
            <v>47</v>
          </cell>
          <cell r="B51" t="str">
            <v>BALANCE</v>
          </cell>
          <cell r="C51" t="str">
            <v>1991. 12</v>
          </cell>
          <cell r="D51" t="str">
            <v>1 식</v>
          </cell>
          <cell r="E51">
            <v>1509449</v>
          </cell>
          <cell r="F51" t="str">
            <v>품보</v>
          </cell>
          <cell r="I51">
            <v>1509449</v>
          </cell>
          <cell r="J51">
            <v>150944</v>
          </cell>
          <cell r="K51">
            <v>1358505</v>
          </cell>
          <cell r="L51">
            <v>13</v>
          </cell>
          <cell r="M51">
            <v>6.4102564102564109E-3</v>
          </cell>
          <cell r="N51">
            <v>461524</v>
          </cell>
          <cell r="O51">
            <v>8708</v>
          </cell>
          <cell r="P51">
            <v>470232</v>
          </cell>
          <cell r="Q51">
            <v>1039217</v>
          </cell>
        </row>
        <row r="52">
          <cell r="A52">
            <v>48</v>
          </cell>
          <cell r="B52" t="str">
            <v>STEREO MICROSCOPE</v>
          </cell>
          <cell r="C52" t="str">
            <v>1991. 12</v>
          </cell>
          <cell r="D52" t="str">
            <v>1 식</v>
          </cell>
          <cell r="E52">
            <v>408438</v>
          </cell>
          <cell r="F52" t="str">
            <v>품보</v>
          </cell>
          <cell r="I52">
            <v>408438</v>
          </cell>
          <cell r="J52">
            <v>40843</v>
          </cell>
          <cell r="K52">
            <v>367595</v>
          </cell>
          <cell r="L52">
            <v>13</v>
          </cell>
          <cell r="M52">
            <v>6.4102564102564109E-3</v>
          </cell>
          <cell r="N52">
            <v>124868</v>
          </cell>
          <cell r="O52">
            <v>2356</v>
          </cell>
          <cell r="P52">
            <v>127224</v>
          </cell>
          <cell r="Q52">
            <v>281214</v>
          </cell>
        </row>
        <row r="53">
          <cell r="A53">
            <v>49</v>
          </cell>
          <cell r="B53" t="str">
            <v>DIE &amp; ANVIL</v>
          </cell>
          <cell r="C53" t="str">
            <v>1991. 12</v>
          </cell>
          <cell r="D53" t="str">
            <v>2 식</v>
          </cell>
          <cell r="E53">
            <v>12119983</v>
          </cell>
          <cell r="F53" t="str">
            <v>합성</v>
          </cell>
          <cell r="I53">
            <v>12119983</v>
          </cell>
          <cell r="J53">
            <v>1211998</v>
          </cell>
          <cell r="K53">
            <v>10907985</v>
          </cell>
          <cell r="L53">
            <v>13</v>
          </cell>
          <cell r="M53">
            <v>6.4102564102564109E-3</v>
          </cell>
          <cell r="N53">
            <v>3705866</v>
          </cell>
          <cell r="O53">
            <v>69922</v>
          </cell>
          <cell r="P53">
            <v>3775788</v>
          </cell>
          <cell r="Q53">
            <v>8344195</v>
          </cell>
        </row>
        <row r="54">
          <cell r="A54">
            <v>50</v>
          </cell>
          <cell r="B54" t="str">
            <v>DIE COVER</v>
          </cell>
          <cell r="C54" t="str">
            <v>1991. 12</v>
          </cell>
          <cell r="D54" t="str">
            <v>1 식</v>
          </cell>
          <cell r="E54">
            <v>1243075</v>
          </cell>
          <cell r="F54" t="str">
            <v>합성</v>
          </cell>
          <cell r="I54">
            <v>1243075</v>
          </cell>
          <cell r="J54">
            <v>124307</v>
          </cell>
          <cell r="K54">
            <v>1118768</v>
          </cell>
          <cell r="L54">
            <v>13</v>
          </cell>
          <cell r="M54">
            <v>6.4102564102564109E-3</v>
          </cell>
          <cell r="N54">
            <v>380063</v>
          </cell>
          <cell r="O54">
            <v>7171</v>
          </cell>
          <cell r="P54">
            <v>387234</v>
          </cell>
          <cell r="Q54">
            <v>855841</v>
          </cell>
        </row>
        <row r="55">
          <cell r="A55">
            <v>51</v>
          </cell>
          <cell r="B55" t="str">
            <v>DRYING OVEN</v>
          </cell>
          <cell r="C55" t="str">
            <v>1991. 12</v>
          </cell>
          <cell r="D55" t="str">
            <v>1 식</v>
          </cell>
          <cell r="E55">
            <v>1172042</v>
          </cell>
          <cell r="F55" t="str">
            <v>품보</v>
          </cell>
          <cell r="I55">
            <v>1172042</v>
          </cell>
          <cell r="J55">
            <v>117204</v>
          </cell>
          <cell r="K55">
            <v>1054838</v>
          </cell>
          <cell r="L55">
            <v>13</v>
          </cell>
          <cell r="M55">
            <v>6.4102564102564109E-3</v>
          </cell>
          <cell r="N55">
            <v>358333</v>
          </cell>
          <cell r="O55">
            <v>6761</v>
          </cell>
          <cell r="P55">
            <v>365094</v>
          </cell>
          <cell r="Q55">
            <v>806948</v>
          </cell>
        </row>
        <row r="56">
          <cell r="A56">
            <v>52</v>
          </cell>
          <cell r="B56" t="str">
            <v>FILTER PRESS</v>
          </cell>
          <cell r="C56" t="str">
            <v>1991. 12</v>
          </cell>
          <cell r="D56" t="str">
            <v>1 식</v>
          </cell>
          <cell r="E56">
            <v>27525238</v>
          </cell>
          <cell r="F56" t="str">
            <v>합성</v>
          </cell>
          <cell r="H56" t="str">
            <v xml:space="preserve"> </v>
          </cell>
          <cell r="I56">
            <v>27525238</v>
          </cell>
          <cell r="J56">
            <v>2752523</v>
          </cell>
          <cell r="K56">
            <v>24772715</v>
          </cell>
          <cell r="L56">
            <v>13</v>
          </cell>
          <cell r="M56">
            <v>6.4102564102564109E-3</v>
          </cell>
          <cell r="N56">
            <v>8416347</v>
          </cell>
          <cell r="O56">
            <v>158799</v>
          </cell>
          <cell r="P56">
            <v>8575146</v>
          </cell>
          <cell r="Q56">
            <v>18950092</v>
          </cell>
        </row>
        <row r="57">
          <cell r="A57">
            <v>53</v>
          </cell>
          <cell r="B57" t="str">
            <v>TABLE PRESS</v>
          </cell>
          <cell r="C57" t="str">
            <v>1991. 12</v>
          </cell>
          <cell r="D57" t="str">
            <v>1 식</v>
          </cell>
          <cell r="E57">
            <v>15893606</v>
          </cell>
          <cell r="F57" t="str">
            <v>품보</v>
          </cell>
          <cell r="H57" t="str">
            <v xml:space="preserve"> </v>
          </cell>
          <cell r="I57">
            <v>15893606</v>
          </cell>
          <cell r="J57">
            <v>1589360</v>
          </cell>
          <cell r="K57">
            <v>14304246</v>
          </cell>
          <cell r="L57">
            <v>13</v>
          </cell>
          <cell r="M57">
            <v>6.4102564102564109E-3</v>
          </cell>
          <cell r="N57">
            <v>4859729</v>
          </cell>
          <cell r="O57">
            <v>91693</v>
          </cell>
          <cell r="P57">
            <v>4951422</v>
          </cell>
          <cell r="Q57">
            <v>10942184</v>
          </cell>
        </row>
        <row r="58">
          <cell r="A58">
            <v>54</v>
          </cell>
          <cell r="B58" t="str">
            <v>염산 TANK</v>
          </cell>
          <cell r="C58" t="str">
            <v>1991. 12</v>
          </cell>
          <cell r="D58" t="str">
            <v>1 식</v>
          </cell>
          <cell r="E58">
            <v>4794719</v>
          </cell>
          <cell r="F58" t="str">
            <v>후처리</v>
          </cell>
          <cell r="H58" t="str">
            <v xml:space="preserve"> </v>
          </cell>
          <cell r="I58">
            <v>4794719</v>
          </cell>
          <cell r="J58">
            <v>479471</v>
          </cell>
          <cell r="K58">
            <v>4315248</v>
          </cell>
          <cell r="L58">
            <v>13</v>
          </cell>
          <cell r="M58">
            <v>6.4102564102564109E-3</v>
          </cell>
          <cell r="N58">
            <v>1466033</v>
          </cell>
          <cell r="O58">
            <v>27661</v>
          </cell>
          <cell r="P58">
            <v>1493694</v>
          </cell>
          <cell r="Q58">
            <v>3301025</v>
          </cell>
        </row>
        <row r="59">
          <cell r="A59">
            <v>55</v>
          </cell>
          <cell r="B59" t="str">
            <v>항온항습기</v>
          </cell>
          <cell r="C59" t="str">
            <v>1991. 12</v>
          </cell>
          <cell r="D59">
            <v>2</v>
          </cell>
          <cell r="E59">
            <v>45445069</v>
          </cell>
          <cell r="F59" t="str">
            <v>품보</v>
          </cell>
          <cell r="I59">
            <v>45445069</v>
          </cell>
          <cell r="J59">
            <v>4544506</v>
          </cell>
          <cell r="K59">
            <v>40900563</v>
          </cell>
          <cell r="L59">
            <v>13</v>
          </cell>
          <cell r="M59">
            <v>6.4102564102564109E-3</v>
          </cell>
          <cell r="N59">
            <v>10595675</v>
          </cell>
          <cell r="O59">
            <v>262183</v>
          </cell>
          <cell r="P59">
            <v>10857858</v>
          </cell>
          <cell r="Q59">
            <v>34587211</v>
          </cell>
        </row>
        <row r="60">
          <cell r="A60">
            <v>56</v>
          </cell>
          <cell r="B60" t="str">
            <v>transformer</v>
          </cell>
          <cell r="C60" t="str">
            <v>1991. 12</v>
          </cell>
          <cell r="D60">
            <v>2</v>
          </cell>
          <cell r="E60">
            <v>61084720</v>
          </cell>
          <cell r="F60" t="str">
            <v>공무</v>
          </cell>
          <cell r="I60">
            <v>61084720</v>
          </cell>
          <cell r="J60">
            <v>6108472</v>
          </cell>
          <cell r="K60">
            <v>54976248</v>
          </cell>
          <cell r="L60">
            <v>13</v>
          </cell>
          <cell r="M60">
            <v>6.4102564102564109E-3</v>
          </cell>
          <cell r="N60">
            <v>18677783</v>
          </cell>
          <cell r="O60">
            <v>352411</v>
          </cell>
          <cell r="P60">
            <v>19030194</v>
          </cell>
          <cell r="Q60">
            <v>42054526</v>
          </cell>
        </row>
        <row r="61">
          <cell r="A61">
            <v>57</v>
          </cell>
          <cell r="B61" t="str">
            <v>발  전  기</v>
          </cell>
          <cell r="C61" t="str">
            <v>1991. 12</v>
          </cell>
          <cell r="D61">
            <v>2</v>
          </cell>
          <cell r="E61">
            <v>80799892</v>
          </cell>
          <cell r="F61" t="str">
            <v>공무</v>
          </cell>
          <cell r="I61">
            <v>80799892</v>
          </cell>
          <cell r="J61">
            <v>8079989</v>
          </cell>
          <cell r="K61">
            <v>72719903</v>
          </cell>
          <cell r="L61">
            <v>13</v>
          </cell>
          <cell r="M61">
            <v>6.4102564102564109E-3</v>
          </cell>
          <cell r="N61">
            <v>24706109</v>
          </cell>
          <cell r="O61">
            <v>466153</v>
          </cell>
          <cell r="P61">
            <v>25172262</v>
          </cell>
          <cell r="Q61">
            <v>55627630</v>
          </cell>
        </row>
        <row r="62">
          <cell r="A62">
            <v>58</v>
          </cell>
          <cell r="B62" t="str">
            <v>중앙감시반</v>
          </cell>
          <cell r="C62" t="str">
            <v>1991. 12</v>
          </cell>
          <cell r="D62" t="str">
            <v>1 식</v>
          </cell>
          <cell r="E62">
            <v>400168029</v>
          </cell>
          <cell r="F62" t="str">
            <v>공무</v>
          </cell>
          <cell r="I62">
            <v>400168029</v>
          </cell>
          <cell r="J62">
            <v>40016802</v>
          </cell>
          <cell r="K62">
            <v>360151227</v>
          </cell>
          <cell r="L62">
            <v>13</v>
          </cell>
          <cell r="M62">
            <v>6.4102564102564109E-3</v>
          </cell>
          <cell r="N62">
            <v>122359033</v>
          </cell>
          <cell r="O62">
            <v>2308661</v>
          </cell>
          <cell r="P62">
            <v>124667694</v>
          </cell>
          <cell r="Q62">
            <v>275500335</v>
          </cell>
        </row>
        <row r="63">
          <cell r="A63">
            <v>59</v>
          </cell>
          <cell r="B63" t="str">
            <v>공장기계실 설비</v>
          </cell>
          <cell r="C63" t="str">
            <v>1991. 12</v>
          </cell>
          <cell r="D63" t="str">
            <v>1 식</v>
          </cell>
          <cell r="E63">
            <v>80024321</v>
          </cell>
          <cell r="F63" t="str">
            <v>공무</v>
          </cell>
          <cell r="I63">
            <v>80024321</v>
          </cell>
          <cell r="J63">
            <v>8002432</v>
          </cell>
          <cell r="K63">
            <v>72021889</v>
          </cell>
          <cell r="L63">
            <v>13</v>
          </cell>
          <cell r="M63">
            <v>6.4102564102564109E-3</v>
          </cell>
          <cell r="N63">
            <v>24468934</v>
          </cell>
          <cell r="O63">
            <v>461678</v>
          </cell>
          <cell r="P63">
            <v>24930612</v>
          </cell>
          <cell r="Q63">
            <v>55093709</v>
          </cell>
        </row>
        <row r="64">
          <cell r="A64">
            <v>60</v>
          </cell>
          <cell r="B64" t="str">
            <v>공장기계실 배수설비</v>
          </cell>
          <cell r="C64" t="str">
            <v>1991. 12</v>
          </cell>
          <cell r="D64" t="str">
            <v>1 식</v>
          </cell>
          <cell r="E64">
            <v>50898696</v>
          </cell>
          <cell r="F64" t="str">
            <v>공무</v>
          </cell>
          <cell r="I64">
            <v>50898696</v>
          </cell>
          <cell r="J64">
            <v>5089869</v>
          </cell>
          <cell r="K64">
            <v>45808827</v>
          </cell>
          <cell r="L64">
            <v>13</v>
          </cell>
          <cell r="M64">
            <v>6.4102564102564109E-3</v>
          </cell>
          <cell r="N64">
            <v>15563238</v>
          </cell>
          <cell r="O64">
            <v>293646</v>
          </cell>
          <cell r="P64">
            <v>15856884</v>
          </cell>
          <cell r="Q64">
            <v>35041812</v>
          </cell>
        </row>
        <row r="65">
          <cell r="A65">
            <v>61</v>
          </cell>
          <cell r="B65" t="str">
            <v>냉  동  기</v>
          </cell>
          <cell r="C65" t="str">
            <v>1991. 12</v>
          </cell>
          <cell r="D65" t="str">
            <v>1 식</v>
          </cell>
          <cell r="E65">
            <v>7781651</v>
          </cell>
          <cell r="F65" t="str">
            <v>공무</v>
          </cell>
          <cell r="I65">
            <v>7781651</v>
          </cell>
          <cell r="J65">
            <v>778165</v>
          </cell>
          <cell r="K65">
            <v>7003486</v>
          </cell>
          <cell r="L65">
            <v>13</v>
          </cell>
          <cell r="M65">
            <v>6.4102564102564109E-3</v>
          </cell>
          <cell r="N65">
            <v>2379382</v>
          </cell>
          <cell r="O65">
            <v>44894</v>
          </cell>
          <cell r="P65">
            <v>2424276</v>
          </cell>
          <cell r="Q65">
            <v>5357375</v>
          </cell>
        </row>
        <row r="66">
          <cell r="A66">
            <v>62</v>
          </cell>
          <cell r="B66" t="str">
            <v>냉  동  기</v>
          </cell>
          <cell r="C66" t="str">
            <v>1991. 12</v>
          </cell>
          <cell r="D66" t="str">
            <v>1 식</v>
          </cell>
          <cell r="E66">
            <v>37077271</v>
          </cell>
          <cell r="F66" t="str">
            <v>공무</v>
          </cell>
          <cell r="I66">
            <v>37077271</v>
          </cell>
          <cell r="J66">
            <v>3707727</v>
          </cell>
          <cell r="K66">
            <v>33369544</v>
          </cell>
          <cell r="L66">
            <v>13</v>
          </cell>
          <cell r="M66">
            <v>6.4102564102564109E-3</v>
          </cell>
          <cell r="N66">
            <v>11337071</v>
          </cell>
          <cell r="O66">
            <v>213907</v>
          </cell>
          <cell r="P66">
            <v>11550978</v>
          </cell>
          <cell r="Q66">
            <v>25526293</v>
          </cell>
        </row>
        <row r="67">
          <cell r="A67">
            <v>63</v>
          </cell>
          <cell r="B67" t="str">
            <v>냉  각  탑</v>
          </cell>
          <cell r="C67" t="str">
            <v>1991. 12</v>
          </cell>
          <cell r="D67" t="str">
            <v>2 식</v>
          </cell>
          <cell r="E67">
            <v>10068412</v>
          </cell>
          <cell r="F67" t="str">
            <v>공무</v>
          </cell>
          <cell r="I67">
            <v>10068412</v>
          </cell>
          <cell r="J67">
            <v>1006841</v>
          </cell>
          <cell r="K67">
            <v>9061571</v>
          </cell>
          <cell r="L67">
            <v>13</v>
          </cell>
          <cell r="M67">
            <v>6.4102564102564109E-3</v>
          </cell>
          <cell r="N67">
            <v>3078558</v>
          </cell>
          <cell r="O67">
            <v>58086</v>
          </cell>
          <cell r="P67">
            <v>3136644</v>
          </cell>
          <cell r="Q67">
            <v>6931768</v>
          </cell>
        </row>
        <row r="68">
          <cell r="A68">
            <v>64</v>
          </cell>
          <cell r="B68" t="str">
            <v>냉각수순환펌프</v>
          </cell>
          <cell r="C68" t="str">
            <v>1991. 12</v>
          </cell>
          <cell r="D68" t="str">
            <v>4 기</v>
          </cell>
          <cell r="E68">
            <v>5585176</v>
          </cell>
          <cell r="F68" t="str">
            <v>공무</v>
          </cell>
          <cell r="I68">
            <v>5585176</v>
          </cell>
          <cell r="J68">
            <v>558517</v>
          </cell>
          <cell r="K68">
            <v>5026659</v>
          </cell>
          <cell r="L68">
            <v>13</v>
          </cell>
          <cell r="M68">
            <v>6.4102564102564109E-3</v>
          </cell>
          <cell r="N68">
            <v>1707766</v>
          </cell>
          <cell r="O68">
            <v>32222</v>
          </cell>
          <cell r="P68">
            <v>1739988</v>
          </cell>
          <cell r="Q68">
            <v>3845188</v>
          </cell>
        </row>
        <row r="69">
          <cell r="A69">
            <v>65</v>
          </cell>
          <cell r="B69" t="str">
            <v>PRESS용 순환펌프</v>
          </cell>
          <cell r="C69" t="str">
            <v>1991. 12</v>
          </cell>
          <cell r="D69" t="str">
            <v>6 기</v>
          </cell>
          <cell r="E69">
            <v>7004113</v>
          </cell>
          <cell r="F69" t="str">
            <v>공무</v>
          </cell>
          <cell r="I69">
            <v>7004113</v>
          </cell>
          <cell r="J69">
            <v>700411</v>
          </cell>
          <cell r="K69">
            <v>6303702</v>
          </cell>
          <cell r="L69">
            <v>13</v>
          </cell>
          <cell r="M69">
            <v>6.4102564102564109E-3</v>
          </cell>
          <cell r="N69">
            <v>2141624</v>
          </cell>
          <cell r="O69">
            <v>40408</v>
          </cell>
          <cell r="P69">
            <v>2182032</v>
          </cell>
          <cell r="Q69">
            <v>4822081</v>
          </cell>
        </row>
        <row r="70">
          <cell r="A70">
            <v>66</v>
          </cell>
          <cell r="B70" t="str">
            <v>열 교 환 기</v>
          </cell>
          <cell r="C70" t="str">
            <v>1991. 12</v>
          </cell>
          <cell r="D70" t="str">
            <v>1 식</v>
          </cell>
          <cell r="E70">
            <v>3019014</v>
          </cell>
          <cell r="F70" t="str">
            <v>공무</v>
          </cell>
          <cell r="I70">
            <v>3019014</v>
          </cell>
          <cell r="J70">
            <v>301901</v>
          </cell>
          <cell r="K70">
            <v>2717113</v>
          </cell>
          <cell r="L70">
            <v>13</v>
          </cell>
          <cell r="M70">
            <v>6.4102564102564109E-3</v>
          </cell>
          <cell r="N70">
            <v>923101</v>
          </cell>
          <cell r="O70">
            <v>17417</v>
          </cell>
          <cell r="P70">
            <v>940518</v>
          </cell>
          <cell r="Q70">
            <v>2078496</v>
          </cell>
        </row>
        <row r="71">
          <cell r="A71">
            <v>67</v>
          </cell>
          <cell r="B71" t="str">
            <v>소 화 설 비</v>
          </cell>
          <cell r="C71" t="str">
            <v>1991. 12</v>
          </cell>
          <cell r="D71" t="str">
            <v>28개</v>
          </cell>
          <cell r="E71">
            <v>1130490</v>
          </cell>
          <cell r="F71" t="str">
            <v>공무</v>
          </cell>
          <cell r="I71">
            <v>1130490</v>
          </cell>
          <cell r="J71">
            <v>113049</v>
          </cell>
          <cell r="K71">
            <v>1017441</v>
          </cell>
          <cell r="L71">
            <v>13</v>
          </cell>
          <cell r="M71">
            <v>6.4102564102564109E-3</v>
          </cell>
          <cell r="N71">
            <v>345666</v>
          </cell>
          <cell r="O71">
            <v>6522</v>
          </cell>
          <cell r="P71">
            <v>352188</v>
          </cell>
          <cell r="Q71">
            <v>778302</v>
          </cell>
        </row>
        <row r="72">
          <cell r="A72">
            <v>68</v>
          </cell>
          <cell r="B72" t="str">
            <v>DOUBLE V-TYPE MIXER</v>
          </cell>
          <cell r="C72" t="str">
            <v>1992.  1</v>
          </cell>
          <cell r="D72" t="str">
            <v>1 식</v>
          </cell>
          <cell r="E72">
            <v>600000</v>
          </cell>
          <cell r="F72" t="str">
            <v>전처리</v>
          </cell>
          <cell r="I72">
            <v>600000</v>
          </cell>
          <cell r="J72">
            <v>60000</v>
          </cell>
          <cell r="K72">
            <v>540000</v>
          </cell>
          <cell r="L72">
            <v>13</v>
          </cell>
          <cell r="M72">
            <v>6.4102564102564109E-3</v>
          </cell>
          <cell r="N72">
            <v>183433</v>
          </cell>
          <cell r="O72">
            <v>3461</v>
          </cell>
          <cell r="P72">
            <v>186894</v>
          </cell>
          <cell r="Q72">
            <v>413106</v>
          </cell>
        </row>
        <row r="73">
          <cell r="A73">
            <v>69</v>
          </cell>
          <cell r="B73" t="str">
            <v>DUST COLLECT</v>
          </cell>
          <cell r="C73" t="str">
            <v>1992.  4</v>
          </cell>
          <cell r="D73" t="str">
            <v>1 식</v>
          </cell>
          <cell r="E73">
            <v>6300000</v>
          </cell>
          <cell r="F73" t="str">
            <v>전처리</v>
          </cell>
          <cell r="I73">
            <v>6300000</v>
          </cell>
          <cell r="J73">
            <v>630000</v>
          </cell>
          <cell r="K73">
            <v>5670000</v>
          </cell>
          <cell r="L73">
            <v>13</v>
          </cell>
          <cell r="M73">
            <v>6.4102564102564109E-3</v>
          </cell>
          <cell r="N73">
            <v>1780954</v>
          </cell>
          <cell r="O73">
            <v>36346</v>
          </cell>
          <cell r="P73">
            <v>1817300</v>
          </cell>
          <cell r="Q73">
            <v>4482700</v>
          </cell>
        </row>
        <row r="74">
          <cell r="A74">
            <v>70</v>
          </cell>
          <cell r="B74" t="str">
            <v>반 전 기</v>
          </cell>
          <cell r="C74" t="str">
            <v>1992.  4</v>
          </cell>
          <cell r="D74" t="str">
            <v>1 식</v>
          </cell>
          <cell r="E74">
            <v>3000000</v>
          </cell>
          <cell r="F74" t="str">
            <v>공무</v>
          </cell>
          <cell r="I74">
            <v>3000000</v>
          </cell>
          <cell r="J74">
            <v>300000</v>
          </cell>
          <cell r="K74">
            <v>2700000</v>
          </cell>
          <cell r="L74">
            <v>13</v>
          </cell>
          <cell r="M74">
            <v>6.4102564102564109E-3</v>
          </cell>
          <cell r="N74">
            <v>848043</v>
          </cell>
          <cell r="O74">
            <v>17307</v>
          </cell>
          <cell r="P74">
            <v>865350</v>
          </cell>
          <cell r="Q74">
            <v>2134650</v>
          </cell>
        </row>
        <row r="75">
          <cell r="A75">
            <v>71</v>
          </cell>
          <cell r="B75" t="str">
            <v>제 습 기</v>
          </cell>
          <cell r="C75" t="str">
            <v>1992.  6</v>
          </cell>
          <cell r="D75" t="str">
            <v>1 식</v>
          </cell>
          <cell r="E75">
            <v>43000000</v>
          </cell>
          <cell r="F75" t="str">
            <v>전처리</v>
          </cell>
          <cell r="I75">
            <v>43000000</v>
          </cell>
          <cell r="J75">
            <v>4300000</v>
          </cell>
          <cell r="K75">
            <v>38700000</v>
          </cell>
          <cell r="L75">
            <v>13</v>
          </cell>
          <cell r="M75">
            <v>6.4102564102564109E-3</v>
          </cell>
          <cell r="N75">
            <v>11659572</v>
          </cell>
          <cell r="O75">
            <v>248076</v>
          </cell>
          <cell r="P75">
            <v>11907648</v>
          </cell>
          <cell r="Q75">
            <v>31092352</v>
          </cell>
        </row>
        <row r="76">
          <cell r="A76">
            <v>72</v>
          </cell>
          <cell r="B76" t="str">
            <v>DC SPORT WELDER</v>
          </cell>
          <cell r="C76" t="str">
            <v>1992.  6</v>
          </cell>
          <cell r="D76" t="str">
            <v>1 식</v>
          </cell>
          <cell r="E76">
            <v>2500000</v>
          </cell>
          <cell r="F76" t="str">
            <v>전처리</v>
          </cell>
          <cell r="I76">
            <v>2500000</v>
          </cell>
          <cell r="J76">
            <v>250000</v>
          </cell>
          <cell r="K76">
            <v>2250000</v>
          </cell>
          <cell r="L76">
            <v>13</v>
          </cell>
          <cell r="M76">
            <v>6.4102564102564109E-3</v>
          </cell>
          <cell r="N76">
            <v>677881</v>
          </cell>
          <cell r="O76">
            <v>14423</v>
          </cell>
          <cell r="P76">
            <v>692304</v>
          </cell>
          <cell r="Q76">
            <v>1807696</v>
          </cell>
        </row>
        <row r="77">
          <cell r="A77">
            <v>73</v>
          </cell>
          <cell r="B77" t="str">
            <v>SIEVE SHAKER</v>
          </cell>
          <cell r="C77" t="str">
            <v>1992.  7</v>
          </cell>
          <cell r="D77" t="str">
            <v>1 식</v>
          </cell>
          <cell r="E77">
            <v>350000</v>
          </cell>
          <cell r="F77" t="str">
            <v>품보</v>
          </cell>
          <cell r="I77">
            <v>350000</v>
          </cell>
          <cell r="J77">
            <v>35000</v>
          </cell>
          <cell r="K77">
            <v>315000</v>
          </cell>
          <cell r="L77">
            <v>13</v>
          </cell>
          <cell r="M77">
            <v>6.4102564102564109E-3</v>
          </cell>
          <cell r="N77">
            <v>92874</v>
          </cell>
          <cell r="O77">
            <v>2019</v>
          </cell>
          <cell r="P77">
            <v>94893</v>
          </cell>
          <cell r="Q77">
            <v>255107</v>
          </cell>
        </row>
        <row r="78">
          <cell r="A78">
            <v>74</v>
          </cell>
          <cell r="B78" t="str">
            <v>냉 방 기</v>
          </cell>
          <cell r="C78" t="str">
            <v>1992.  8</v>
          </cell>
          <cell r="D78" t="str">
            <v>1 식</v>
          </cell>
          <cell r="E78">
            <v>21000000</v>
          </cell>
          <cell r="F78" t="str">
            <v>합성</v>
          </cell>
          <cell r="I78">
            <v>21000000</v>
          </cell>
          <cell r="J78">
            <v>2100000</v>
          </cell>
          <cell r="K78">
            <v>18900000</v>
          </cell>
          <cell r="L78">
            <v>13</v>
          </cell>
          <cell r="M78">
            <v>6.4102564102564109E-3</v>
          </cell>
          <cell r="N78">
            <v>5451885</v>
          </cell>
          <cell r="O78">
            <v>121153</v>
          </cell>
          <cell r="P78">
            <v>5573038</v>
          </cell>
          <cell r="Q78">
            <v>15426962</v>
          </cell>
        </row>
        <row r="79">
          <cell r="A79">
            <v>75</v>
          </cell>
          <cell r="B79" t="str">
            <v xml:space="preserve"> LASER</v>
          </cell>
          <cell r="C79" t="str">
            <v>1993.  4</v>
          </cell>
          <cell r="D79" t="str">
            <v>1 식</v>
          </cell>
          <cell r="E79">
            <v>7000000</v>
          </cell>
          <cell r="F79" t="str">
            <v>품보</v>
          </cell>
          <cell r="G79" t="str">
            <v xml:space="preserve"> </v>
          </cell>
          <cell r="I79">
            <v>7000000</v>
          </cell>
          <cell r="J79">
            <v>700000</v>
          </cell>
          <cell r="K79">
            <v>6300000</v>
          </cell>
          <cell r="L79">
            <v>13</v>
          </cell>
          <cell r="M79">
            <v>6.4102564102564109E-3</v>
          </cell>
          <cell r="N79">
            <v>1494208</v>
          </cell>
          <cell r="O79">
            <v>40384</v>
          </cell>
          <cell r="P79">
            <v>1534592</v>
          </cell>
          <cell r="Q79">
            <v>5465408</v>
          </cell>
        </row>
        <row r="80">
          <cell r="A80">
            <v>76</v>
          </cell>
          <cell r="B80" t="str">
            <v>AUTOWELDER M/C</v>
          </cell>
          <cell r="C80" t="str">
            <v>1993.  5</v>
          </cell>
          <cell r="D80" t="str">
            <v>1 식</v>
          </cell>
          <cell r="E80">
            <v>27200000</v>
          </cell>
          <cell r="F80" t="str">
            <v>전처리</v>
          </cell>
          <cell r="I80">
            <v>27200000</v>
          </cell>
          <cell r="J80">
            <v>2720000</v>
          </cell>
          <cell r="K80">
            <v>24480000</v>
          </cell>
          <cell r="L80">
            <v>13</v>
          </cell>
          <cell r="M80">
            <v>6.4102564102564109E-3</v>
          </cell>
          <cell r="N80">
            <v>5631918</v>
          </cell>
          <cell r="O80">
            <v>156923</v>
          </cell>
          <cell r="P80">
            <v>5788841</v>
          </cell>
          <cell r="Q80">
            <v>21411159</v>
          </cell>
        </row>
        <row r="81">
          <cell r="A81">
            <v>77</v>
          </cell>
          <cell r="B81" t="str">
            <v>VIBRATING SCREEN M/C</v>
          </cell>
          <cell r="C81" t="str">
            <v>1993.  5</v>
          </cell>
          <cell r="D81" t="str">
            <v>1 식</v>
          </cell>
          <cell r="E81">
            <v>2700000</v>
          </cell>
          <cell r="F81" t="str">
            <v>후처리</v>
          </cell>
          <cell r="G81" t="str">
            <v xml:space="preserve"> </v>
          </cell>
          <cell r="I81">
            <v>2700000</v>
          </cell>
          <cell r="J81">
            <v>270000</v>
          </cell>
          <cell r="K81">
            <v>2430000</v>
          </cell>
          <cell r="L81">
            <v>13</v>
          </cell>
          <cell r="M81">
            <v>6.4102564102564109E-3</v>
          </cell>
          <cell r="N81">
            <v>560736</v>
          </cell>
          <cell r="O81">
            <v>15576</v>
          </cell>
          <cell r="P81">
            <v>576312</v>
          </cell>
          <cell r="Q81">
            <v>2123688</v>
          </cell>
        </row>
        <row r="82">
          <cell r="A82">
            <v>78</v>
          </cell>
          <cell r="B82" t="str">
            <v>선     반</v>
          </cell>
          <cell r="C82" t="str">
            <v>1993.  6</v>
          </cell>
          <cell r="D82" t="str">
            <v>1 식</v>
          </cell>
          <cell r="E82">
            <v>6180000</v>
          </cell>
          <cell r="F82" t="str">
            <v>공무</v>
          </cell>
          <cell r="I82">
            <v>6180000</v>
          </cell>
          <cell r="J82">
            <v>618000</v>
          </cell>
          <cell r="K82">
            <v>5562000</v>
          </cell>
          <cell r="L82">
            <v>13</v>
          </cell>
          <cell r="M82">
            <v>6.4102564102564109E-3</v>
          </cell>
          <cell r="N82">
            <v>1247855</v>
          </cell>
          <cell r="O82">
            <v>35653</v>
          </cell>
          <cell r="P82">
            <v>1283508</v>
          </cell>
          <cell r="Q82">
            <v>4896492</v>
          </cell>
        </row>
        <row r="83">
          <cell r="A83">
            <v>79</v>
          </cell>
          <cell r="B83" t="str">
            <v>집  진  기</v>
          </cell>
          <cell r="C83" t="str">
            <v>1993.  7</v>
          </cell>
          <cell r="D83" t="str">
            <v>2 식</v>
          </cell>
          <cell r="E83">
            <v>3200000</v>
          </cell>
          <cell r="F83" t="str">
            <v>전처리</v>
          </cell>
          <cell r="I83">
            <v>3200000</v>
          </cell>
          <cell r="J83">
            <v>320000</v>
          </cell>
          <cell r="K83">
            <v>2880000</v>
          </cell>
          <cell r="L83">
            <v>13</v>
          </cell>
          <cell r="M83">
            <v>6.4102564102564109E-3</v>
          </cell>
          <cell r="N83">
            <v>627674</v>
          </cell>
          <cell r="O83">
            <v>18461</v>
          </cell>
          <cell r="P83">
            <v>646135</v>
          </cell>
          <cell r="Q83">
            <v>2553865</v>
          </cell>
        </row>
        <row r="84">
          <cell r="A84">
            <v>80</v>
          </cell>
          <cell r="B84" t="str">
            <v>lapping m/c</v>
          </cell>
          <cell r="C84" t="str">
            <v>1993. 11</v>
          </cell>
          <cell r="D84" t="str">
            <v>1 식</v>
          </cell>
          <cell r="E84">
            <v>38000000</v>
          </cell>
          <cell r="F84" t="str">
            <v>PCD가공</v>
          </cell>
          <cell r="I84">
            <v>38000000</v>
          </cell>
          <cell r="J84">
            <v>3800000</v>
          </cell>
          <cell r="K84">
            <v>34200000</v>
          </cell>
          <cell r="L84">
            <v>13</v>
          </cell>
          <cell r="M84">
            <v>6.4102564102564109E-3</v>
          </cell>
          <cell r="N84">
            <v>6576900</v>
          </cell>
          <cell r="O84">
            <v>219230</v>
          </cell>
          <cell r="P84">
            <v>6796130</v>
          </cell>
          <cell r="Q84">
            <v>31203870</v>
          </cell>
        </row>
        <row r="85">
          <cell r="A85">
            <v>81</v>
          </cell>
          <cell r="B85" t="str">
            <v>surface grinder</v>
          </cell>
          <cell r="C85" t="str">
            <v>1993. 11</v>
          </cell>
          <cell r="D85" t="str">
            <v>1 식</v>
          </cell>
          <cell r="E85">
            <v>14300000</v>
          </cell>
          <cell r="F85" t="str">
            <v>PCD가공</v>
          </cell>
          <cell r="I85">
            <v>14300000</v>
          </cell>
          <cell r="J85">
            <v>1430000</v>
          </cell>
          <cell r="K85">
            <v>12870000</v>
          </cell>
          <cell r="L85">
            <v>13</v>
          </cell>
          <cell r="M85">
            <v>6.4102564102564109E-3</v>
          </cell>
          <cell r="N85">
            <v>2475000</v>
          </cell>
          <cell r="O85">
            <v>82500</v>
          </cell>
          <cell r="P85">
            <v>2557500</v>
          </cell>
          <cell r="Q85">
            <v>11742500</v>
          </cell>
        </row>
        <row r="86">
          <cell r="A86">
            <v>82</v>
          </cell>
          <cell r="B86" t="str">
            <v>centerless grinder</v>
          </cell>
          <cell r="C86" t="str">
            <v>1993. 11</v>
          </cell>
          <cell r="D86" t="str">
            <v>1 식</v>
          </cell>
          <cell r="E86">
            <v>26500000</v>
          </cell>
          <cell r="F86" t="str">
            <v>PCD가공</v>
          </cell>
          <cell r="I86">
            <v>26500000</v>
          </cell>
          <cell r="J86">
            <v>2650000</v>
          </cell>
          <cell r="K86">
            <v>23850000</v>
          </cell>
          <cell r="L86">
            <v>13</v>
          </cell>
          <cell r="M86">
            <v>6.4102564102564109E-3</v>
          </cell>
          <cell r="N86">
            <v>4586520</v>
          </cell>
          <cell r="O86">
            <v>152884</v>
          </cell>
          <cell r="P86">
            <v>4739404</v>
          </cell>
          <cell r="Q86">
            <v>21760596</v>
          </cell>
        </row>
        <row r="87">
          <cell r="A87">
            <v>83</v>
          </cell>
          <cell r="B87" t="str">
            <v>Tube furnace</v>
          </cell>
          <cell r="C87" t="str">
            <v>1993. 12</v>
          </cell>
          <cell r="D87" t="str">
            <v>1 식</v>
          </cell>
          <cell r="E87">
            <v>4602094</v>
          </cell>
          <cell r="F87" t="str">
            <v>품보</v>
          </cell>
          <cell r="I87">
            <v>4602094</v>
          </cell>
          <cell r="J87">
            <v>460209</v>
          </cell>
          <cell r="K87">
            <v>4141885</v>
          </cell>
          <cell r="L87">
            <v>8</v>
          </cell>
          <cell r="M87">
            <v>1.0416666666666666E-2</v>
          </cell>
          <cell r="N87">
            <v>1251176</v>
          </cell>
          <cell r="O87">
            <v>43144</v>
          </cell>
          <cell r="P87">
            <v>1294320</v>
          </cell>
          <cell r="Q87">
            <v>3307774</v>
          </cell>
        </row>
        <row r="88">
          <cell r="A88">
            <v>84</v>
          </cell>
          <cell r="B88" t="str">
            <v>Box furnace</v>
          </cell>
          <cell r="C88" t="str">
            <v>1993. 12</v>
          </cell>
          <cell r="D88" t="str">
            <v>1 식</v>
          </cell>
          <cell r="E88">
            <v>13296453</v>
          </cell>
          <cell r="F88" t="str">
            <v>연구소</v>
          </cell>
          <cell r="I88">
            <v>13296453</v>
          </cell>
          <cell r="J88">
            <v>1329645</v>
          </cell>
          <cell r="K88">
            <v>11966808</v>
          </cell>
          <cell r="L88">
            <v>8</v>
          </cell>
          <cell r="M88">
            <v>1.0416666666666666E-2</v>
          </cell>
          <cell r="N88">
            <v>3614966</v>
          </cell>
          <cell r="O88">
            <v>124654</v>
          </cell>
          <cell r="P88">
            <v>3739620</v>
          </cell>
          <cell r="Q88">
            <v>9556833</v>
          </cell>
        </row>
        <row r="89">
          <cell r="A89">
            <v>87</v>
          </cell>
          <cell r="B89" t="str">
            <v>powder press</v>
          </cell>
          <cell r="C89" t="str">
            <v>1994.  2</v>
          </cell>
          <cell r="D89">
            <v>1</v>
          </cell>
          <cell r="E89">
            <v>46000000</v>
          </cell>
          <cell r="F89" t="str">
            <v>연구소</v>
          </cell>
          <cell r="I89">
            <v>46000000</v>
          </cell>
          <cell r="J89">
            <v>4600000</v>
          </cell>
          <cell r="K89">
            <v>41400000</v>
          </cell>
          <cell r="L89">
            <v>13</v>
          </cell>
          <cell r="M89">
            <v>6.4102564102564109E-3</v>
          </cell>
          <cell r="N89">
            <v>7165368</v>
          </cell>
          <cell r="O89">
            <v>265384</v>
          </cell>
          <cell r="P89">
            <v>7430752</v>
          </cell>
          <cell r="Q89">
            <v>38569248</v>
          </cell>
        </row>
        <row r="90">
          <cell r="A90">
            <v>88</v>
          </cell>
          <cell r="B90" t="str">
            <v>attrition mill</v>
          </cell>
          <cell r="C90" t="str">
            <v>1994.  2</v>
          </cell>
          <cell r="D90">
            <v>1</v>
          </cell>
          <cell r="E90">
            <v>3500000</v>
          </cell>
          <cell r="F90" t="str">
            <v>연구소</v>
          </cell>
          <cell r="I90">
            <v>3500000</v>
          </cell>
          <cell r="J90">
            <v>350000</v>
          </cell>
          <cell r="K90">
            <v>3150000</v>
          </cell>
          <cell r="L90">
            <v>13</v>
          </cell>
          <cell r="M90">
            <v>6.4102564102564109E-3</v>
          </cell>
          <cell r="N90">
            <v>545184</v>
          </cell>
          <cell r="O90">
            <v>20192</v>
          </cell>
          <cell r="P90">
            <v>565376</v>
          </cell>
          <cell r="Q90">
            <v>2934624</v>
          </cell>
        </row>
        <row r="91">
          <cell r="A91">
            <v>89</v>
          </cell>
          <cell r="B91" t="str">
            <v>만능재료시험기</v>
          </cell>
          <cell r="C91" t="str">
            <v>1994.  3</v>
          </cell>
          <cell r="D91">
            <v>1</v>
          </cell>
          <cell r="E91">
            <v>9000000</v>
          </cell>
          <cell r="F91" t="str">
            <v>품보</v>
          </cell>
          <cell r="I91">
            <v>9000000</v>
          </cell>
          <cell r="J91">
            <v>900000</v>
          </cell>
          <cell r="K91">
            <v>8100000</v>
          </cell>
          <cell r="L91">
            <v>13</v>
          </cell>
          <cell r="M91">
            <v>6.4102564102564109E-3</v>
          </cell>
          <cell r="N91">
            <v>1298075</v>
          </cell>
          <cell r="O91">
            <v>51923</v>
          </cell>
          <cell r="P91">
            <v>1349998</v>
          </cell>
          <cell r="Q91">
            <v>7650002</v>
          </cell>
        </row>
        <row r="92">
          <cell r="A92">
            <v>90</v>
          </cell>
          <cell r="B92" t="str">
            <v>HOLDER 외1종</v>
          </cell>
          <cell r="C92" t="str">
            <v>1994.  7</v>
          </cell>
          <cell r="E92">
            <v>2100000</v>
          </cell>
          <cell r="F92" t="str">
            <v>품보</v>
          </cell>
          <cell r="I92">
            <v>2100000</v>
          </cell>
          <cell r="J92">
            <v>210000</v>
          </cell>
          <cell r="K92">
            <v>1890000</v>
          </cell>
          <cell r="L92">
            <v>5</v>
          </cell>
          <cell r="M92">
            <v>1.6666666666666666E-2</v>
          </cell>
          <cell r="N92">
            <v>693000</v>
          </cell>
          <cell r="O92">
            <v>31500</v>
          </cell>
          <cell r="P92">
            <v>724500</v>
          </cell>
          <cell r="Q92">
            <v>1375500</v>
          </cell>
        </row>
        <row r="93">
          <cell r="A93">
            <v>91</v>
          </cell>
          <cell r="B93" t="str">
            <v>BOWL FEEDER 외 1종</v>
          </cell>
          <cell r="C93" t="str">
            <v>1994.  7</v>
          </cell>
          <cell r="E93">
            <v>1000000</v>
          </cell>
          <cell r="F93" t="str">
            <v>품보</v>
          </cell>
          <cell r="I93">
            <v>1000000</v>
          </cell>
          <cell r="J93">
            <v>100000</v>
          </cell>
          <cell r="K93">
            <v>900000</v>
          </cell>
          <cell r="L93">
            <v>5</v>
          </cell>
          <cell r="M93">
            <v>1.6666666666666666E-2</v>
          </cell>
          <cell r="N93">
            <v>330000</v>
          </cell>
          <cell r="O93">
            <v>15000</v>
          </cell>
          <cell r="P93">
            <v>345000</v>
          </cell>
          <cell r="Q93">
            <v>655000</v>
          </cell>
        </row>
        <row r="94">
          <cell r="A94">
            <v>92</v>
          </cell>
          <cell r="B94" t="str">
            <v>DISOLVING REACTOR</v>
          </cell>
          <cell r="C94" t="str">
            <v>1994.  9</v>
          </cell>
          <cell r="D94" t="str">
            <v>1 식</v>
          </cell>
          <cell r="E94">
            <v>2000000</v>
          </cell>
          <cell r="F94" t="str">
            <v>후처리</v>
          </cell>
          <cell r="I94">
            <v>2000000</v>
          </cell>
          <cell r="J94">
            <v>200000</v>
          </cell>
          <cell r="K94">
            <v>1800000</v>
          </cell>
          <cell r="L94">
            <v>9</v>
          </cell>
          <cell r="M94">
            <v>9.2592592592592587E-3</v>
          </cell>
          <cell r="N94">
            <v>319862</v>
          </cell>
          <cell r="O94">
            <v>16666</v>
          </cell>
          <cell r="P94">
            <v>336528</v>
          </cell>
          <cell r="Q94">
            <v>1663472</v>
          </cell>
        </row>
        <row r="95">
          <cell r="A95">
            <v>93</v>
          </cell>
          <cell r="B95" t="str">
            <v>MT-EQUIPMENT</v>
          </cell>
          <cell r="C95" t="str">
            <v>1994.  9</v>
          </cell>
          <cell r="D95" t="str">
            <v>1SET</v>
          </cell>
          <cell r="E95">
            <v>1100000</v>
          </cell>
          <cell r="F95" t="str">
            <v>합성</v>
          </cell>
          <cell r="I95">
            <v>1100000</v>
          </cell>
          <cell r="J95">
            <v>110000</v>
          </cell>
          <cell r="K95">
            <v>990000</v>
          </cell>
          <cell r="L95">
            <v>8</v>
          </cell>
          <cell r="M95">
            <v>1.0416666666666666E-2</v>
          </cell>
          <cell r="N95">
            <v>206240</v>
          </cell>
          <cell r="O95">
            <v>10312</v>
          </cell>
          <cell r="P95">
            <v>216552</v>
          </cell>
          <cell r="Q95">
            <v>883448</v>
          </cell>
        </row>
        <row r="96">
          <cell r="A96">
            <v>94</v>
          </cell>
          <cell r="B96" t="str">
            <v>VIBRATOR</v>
          </cell>
          <cell r="C96" t="str">
            <v>1994. 10</v>
          </cell>
          <cell r="D96">
            <v>1</v>
          </cell>
          <cell r="E96">
            <v>398902</v>
          </cell>
          <cell r="F96" t="str">
            <v>품보</v>
          </cell>
          <cell r="I96">
            <v>398902</v>
          </cell>
          <cell r="J96">
            <v>39890</v>
          </cell>
          <cell r="K96">
            <v>359012</v>
          </cell>
          <cell r="L96">
            <v>7</v>
          </cell>
          <cell r="M96">
            <v>1.1904761904761904E-2</v>
          </cell>
          <cell r="N96">
            <v>81187</v>
          </cell>
          <cell r="O96">
            <v>4273</v>
          </cell>
          <cell r="P96">
            <v>85460</v>
          </cell>
          <cell r="Q96">
            <v>313442</v>
          </cell>
        </row>
        <row r="97">
          <cell r="A97">
            <v>95</v>
          </cell>
          <cell r="B97" t="str">
            <v xml:space="preserve">DIA COM. STRENGTH </v>
          </cell>
          <cell r="C97" t="str">
            <v>1994. 12</v>
          </cell>
          <cell r="D97">
            <v>1</v>
          </cell>
          <cell r="E97">
            <v>2118817</v>
          </cell>
          <cell r="F97" t="str">
            <v>전처리</v>
          </cell>
          <cell r="I97">
            <v>2118817</v>
          </cell>
          <cell r="J97">
            <v>211881</v>
          </cell>
          <cell r="K97">
            <v>1906936</v>
          </cell>
          <cell r="L97">
            <v>7</v>
          </cell>
          <cell r="M97">
            <v>1.1904761904761904E-2</v>
          </cell>
          <cell r="N97">
            <v>385917</v>
          </cell>
          <cell r="O97">
            <v>22701</v>
          </cell>
          <cell r="P97">
            <v>408618</v>
          </cell>
          <cell r="Q97">
            <v>1710199</v>
          </cell>
        </row>
        <row r="98">
          <cell r="A98">
            <v>96</v>
          </cell>
          <cell r="B98" t="str">
            <v>DIA CUT MACHING</v>
          </cell>
          <cell r="C98" t="str">
            <v>1994. 12</v>
          </cell>
          <cell r="D98">
            <v>1</v>
          </cell>
          <cell r="E98">
            <v>11511653</v>
          </cell>
          <cell r="F98" t="str">
            <v>전처리</v>
          </cell>
          <cell r="I98">
            <v>11511653</v>
          </cell>
          <cell r="J98">
            <v>1151165</v>
          </cell>
          <cell r="K98">
            <v>10360488</v>
          </cell>
          <cell r="L98">
            <v>7</v>
          </cell>
          <cell r="M98">
            <v>1.1904761904761904E-2</v>
          </cell>
          <cell r="N98">
            <v>2096763</v>
          </cell>
          <cell r="O98">
            <v>123339</v>
          </cell>
          <cell r="P98">
            <v>2220102</v>
          </cell>
          <cell r="Q98">
            <v>9291551</v>
          </cell>
        </row>
        <row r="99">
          <cell r="A99">
            <v>97</v>
          </cell>
          <cell r="B99" t="str">
            <v>SLICING SAW</v>
          </cell>
          <cell r="C99" t="str">
            <v>1994. 12</v>
          </cell>
          <cell r="D99">
            <v>1</v>
          </cell>
          <cell r="E99">
            <v>1338665</v>
          </cell>
          <cell r="F99" t="str">
            <v>전처리</v>
          </cell>
          <cell r="I99">
            <v>1338665</v>
          </cell>
          <cell r="J99">
            <v>133866</v>
          </cell>
          <cell r="K99">
            <v>1204799</v>
          </cell>
          <cell r="L99">
            <v>7</v>
          </cell>
          <cell r="M99">
            <v>1.1904761904761904E-2</v>
          </cell>
          <cell r="N99">
            <v>243814</v>
          </cell>
          <cell r="O99">
            <v>14342</v>
          </cell>
          <cell r="P99">
            <v>258156</v>
          </cell>
          <cell r="Q99">
            <v>1080509</v>
          </cell>
        </row>
        <row r="100">
          <cell r="A100">
            <v>98</v>
          </cell>
          <cell r="B100" t="str">
            <v>DRYING OVEN</v>
          </cell>
          <cell r="C100" t="str">
            <v>1995.  1</v>
          </cell>
          <cell r="D100" t="str">
            <v>1식</v>
          </cell>
          <cell r="E100">
            <v>850000</v>
          </cell>
          <cell r="F100" t="str">
            <v>품보</v>
          </cell>
          <cell r="I100">
            <v>850000</v>
          </cell>
          <cell r="K100">
            <v>850000</v>
          </cell>
          <cell r="L100">
            <v>7</v>
          </cell>
          <cell r="M100">
            <v>1.1904761904761904E-2</v>
          </cell>
          <cell r="N100">
            <v>161904</v>
          </cell>
          <cell r="O100">
            <v>10119</v>
          </cell>
          <cell r="P100">
            <v>172023</v>
          </cell>
          <cell r="Q100">
            <v>677977</v>
          </cell>
        </row>
        <row r="101">
          <cell r="A101">
            <v>99</v>
          </cell>
          <cell r="B101" t="str">
            <v>BALL MILL 분쇄기</v>
          </cell>
          <cell r="C101">
            <v>34700</v>
          </cell>
          <cell r="D101" t="str">
            <v>1EA</v>
          </cell>
          <cell r="E101">
            <v>600000</v>
          </cell>
          <cell r="F101" t="str">
            <v>연구소</v>
          </cell>
          <cell r="I101">
            <v>600000</v>
          </cell>
          <cell r="K101">
            <v>600000</v>
          </cell>
          <cell r="L101">
            <v>7</v>
          </cell>
          <cell r="M101">
            <v>1.1904761904761904E-2</v>
          </cell>
          <cell r="N101">
            <v>114272</v>
          </cell>
          <cell r="O101">
            <v>7142</v>
          </cell>
          <cell r="P101">
            <v>121414</v>
          </cell>
          <cell r="Q101">
            <v>478586</v>
          </cell>
        </row>
        <row r="102">
          <cell r="A102">
            <v>100</v>
          </cell>
          <cell r="B102" t="str">
            <v>PS/PT 관련 압력용기</v>
          </cell>
          <cell r="C102">
            <v>34820</v>
          </cell>
          <cell r="D102" t="str">
            <v>1EA</v>
          </cell>
          <cell r="E102">
            <v>2100000</v>
          </cell>
          <cell r="F102" t="str">
            <v>전처리</v>
          </cell>
          <cell r="I102">
            <v>2100000</v>
          </cell>
          <cell r="K102">
            <v>2100000</v>
          </cell>
          <cell r="L102">
            <v>8</v>
          </cell>
          <cell r="M102">
            <v>1.0416666666666666E-2</v>
          </cell>
          <cell r="N102">
            <v>262500</v>
          </cell>
          <cell r="O102">
            <v>21875</v>
          </cell>
          <cell r="P102">
            <v>284375</v>
          </cell>
          <cell r="Q102">
            <v>1815625</v>
          </cell>
        </row>
        <row r="103">
          <cell r="A103">
            <v>101</v>
          </cell>
          <cell r="B103" t="str">
            <v>IMAGE ANDLYZER</v>
          </cell>
          <cell r="C103">
            <v>34943</v>
          </cell>
          <cell r="D103" t="str">
            <v>1EA</v>
          </cell>
          <cell r="E103">
            <v>1400000</v>
          </cell>
          <cell r="F103" t="str">
            <v>연구소</v>
          </cell>
          <cell r="I103">
            <v>1400000</v>
          </cell>
          <cell r="K103">
            <v>1400000</v>
          </cell>
          <cell r="L103">
            <v>5</v>
          </cell>
          <cell r="M103">
            <v>1.6666666666666666E-2</v>
          </cell>
          <cell r="N103">
            <v>186664</v>
          </cell>
          <cell r="O103">
            <v>23333</v>
          </cell>
          <cell r="P103">
            <v>209997</v>
          </cell>
          <cell r="Q103">
            <v>1190003</v>
          </cell>
        </row>
        <row r="104">
          <cell r="A104">
            <v>102</v>
          </cell>
          <cell r="B104" t="str">
            <v>SIEVE SHAKER</v>
          </cell>
          <cell r="C104">
            <v>34973</v>
          </cell>
          <cell r="D104" t="str">
            <v>1식</v>
          </cell>
          <cell r="E104">
            <v>900000</v>
          </cell>
          <cell r="F104" t="str">
            <v>품보</v>
          </cell>
          <cell r="I104">
            <v>900000</v>
          </cell>
          <cell r="K104">
            <v>900000</v>
          </cell>
          <cell r="L104">
            <v>5</v>
          </cell>
          <cell r="M104">
            <v>1.6666666666666666E-2</v>
          </cell>
          <cell r="N104">
            <v>105000</v>
          </cell>
          <cell r="O104">
            <v>15000</v>
          </cell>
          <cell r="P104">
            <v>120000</v>
          </cell>
          <cell r="Q104">
            <v>780000</v>
          </cell>
        </row>
        <row r="105">
          <cell r="A105">
            <v>103</v>
          </cell>
          <cell r="B105" t="str">
            <v>MONITER(101번용)</v>
          </cell>
          <cell r="C105">
            <v>34973</v>
          </cell>
          <cell r="D105" t="str">
            <v>1EA</v>
          </cell>
          <cell r="E105">
            <v>290000</v>
          </cell>
          <cell r="F105" t="str">
            <v>합성</v>
          </cell>
          <cell r="I105">
            <v>290000</v>
          </cell>
          <cell r="K105">
            <v>290000</v>
          </cell>
          <cell r="L105">
            <v>5</v>
          </cell>
          <cell r="M105">
            <v>1.6666666666666666E-2</v>
          </cell>
          <cell r="N105">
            <v>33831</v>
          </cell>
          <cell r="O105">
            <v>4833</v>
          </cell>
          <cell r="P105">
            <v>38664</v>
          </cell>
          <cell r="Q105">
            <v>251336</v>
          </cell>
        </row>
        <row r="106">
          <cell r="A106">
            <v>104</v>
          </cell>
          <cell r="B106" t="str">
            <v>CAM S/W</v>
          </cell>
          <cell r="C106">
            <v>34973</v>
          </cell>
          <cell r="D106" t="str">
            <v>1EA</v>
          </cell>
          <cell r="E106">
            <v>2800000</v>
          </cell>
          <cell r="F106" t="str">
            <v>연구소</v>
          </cell>
          <cell r="I106">
            <v>2800000</v>
          </cell>
          <cell r="K106">
            <v>2800000</v>
          </cell>
          <cell r="L106">
            <v>4</v>
          </cell>
          <cell r="M106">
            <v>2.0833333333333332E-2</v>
          </cell>
          <cell r="N106">
            <v>408331</v>
          </cell>
          <cell r="O106">
            <v>58333</v>
          </cell>
          <cell r="P106">
            <v>466664</v>
          </cell>
          <cell r="Q106">
            <v>2333336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감사전 재무제표"/>
      <sheetName val="수정사항요약표"/>
      <sheetName val="감사후 재무제표"/>
      <sheetName val="FS_M"/>
      <sheetName val="CE"/>
      <sheetName val="FN"/>
      <sheetName val="주석변경사항"/>
      <sheetName val="CF"/>
      <sheetName val="별도주석 담당"/>
      <sheetName val="명세서 담당"/>
      <sheetName val="DART"/>
      <sheetName val="FS_Q"/>
      <sheetName val="분기집계"/>
      <sheetName val="BS분석"/>
      <sheetName val="PL분석"/>
      <sheetName val="MC분석"/>
      <sheetName val="재고현황"/>
      <sheetName val="작업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old Ocean"/>
      <sheetName val="C.A"/>
      <sheetName val="C.A (2)"/>
      <sheetName val="12-2010"/>
      <sheetName val="1"/>
      <sheetName val="2"/>
      <sheetName val="3"/>
      <sheetName val="4"/>
      <sheetName val="5"/>
      <sheetName val="7"/>
      <sheetName val="8"/>
      <sheetName val="9"/>
      <sheetName val="10"/>
      <sheetName val="11"/>
      <sheetName val="12"/>
      <sheetName val="TB11"/>
      <sheetName val="NERACA"/>
      <sheetName val="IS"/>
      <sheetName val="Aktiva List"/>
      <sheetName val="Rincian April"/>
      <sheetName val="Sewa Kantor-11"/>
      <sheetName val="KAS"/>
      <sheetName val="Bank"/>
      <sheetName val="Pembayaran Dimuka"/>
      <sheetName val="Pinjaman Dinas"/>
      <sheetName val="All"/>
      <sheetName val="Rincian Mei"/>
      <sheetName val="Sheet 1"/>
      <sheetName val="Sheet2"/>
      <sheetName val="Sheet3"/>
      <sheetName val="XREF"/>
      <sheetName val="무형"/>
      <sheetName val="참조"/>
      <sheetName val="회사정보"/>
      <sheetName val="3-31"/>
      <sheetName val="Menu_Link"/>
      <sheetName val="배서어음명세서"/>
      <sheetName val="매출(영업 VS 경리)"/>
      <sheetName val="标本-资产"/>
      <sheetName val="6月毛利"/>
      <sheetName val="마감장"/>
      <sheetName val="대손검토"/>
      <sheetName val="basic_info"/>
      <sheetName val="재공품"/>
      <sheetName val="타과목"/>
      <sheetName val="3-4현"/>
      <sheetName val="반품"/>
      <sheetName val="정상"/>
      <sheetName val="3-3현"/>
      <sheetName val="폐기-090831"/>
      <sheetName val="신제품지원"/>
      <sheetName val="누계실적6"/>
      <sheetName val="업무분장 "/>
      <sheetName val="여신보고용"/>
      <sheetName val="원_VL"/>
      <sheetName val="운용미수"/>
      <sheetName val="2001Org"/>
      <sheetName val="BS"/>
      <sheetName val="비교손익계산서"/>
      <sheetName val="Data"/>
      <sheetName val="maccp04"/>
      <sheetName val="창원외상매출금(원)"/>
      <sheetName val="Revised PEGS98"/>
      <sheetName val="연체리스료"/>
      <sheetName val="뒤차축소"/>
      <sheetName val="RK-#1"/>
      <sheetName val="36기상반기자금실적"/>
      <sheetName val="CAUDIT"/>
      <sheetName val="Perunit"/>
      <sheetName val="银行余额调节表(明细)"/>
      <sheetName val="공통"/>
      <sheetName val="Krw"/>
      <sheetName val="신기술(비상장)0412"/>
      <sheetName val="리드"/>
      <sheetName val="후순위채05.01.20"/>
      <sheetName val="C"/>
      <sheetName val="BS(Don't Prt)"/>
      <sheetName val="FA-LISTING"/>
      <sheetName val="금융소득종합과세"/>
      <sheetName val="근로소득세2001"/>
      <sheetName val="TEMP1"/>
      <sheetName val="TEMP2"/>
      <sheetName val="본사공가현황"/>
      <sheetName val="기초해지2"/>
      <sheetName val="대차합동"/>
      <sheetName val="기초해지"/>
      <sheetName val="기준수익률"/>
      <sheetName val="작업불가"/>
      <sheetName val="은행"/>
      <sheetName val="수정시산표"/>
      <sheetName val="Cover"/>
      <sheetName val="CA"/>
      <sheetName val="노임이"/>
      <sheetName val="차입금"/>
      <sheetName val="서울판관-공통부문"/>
      <sheetName val="WBS98"/>
      <sheetName val="Select"/>
      <sheetName val="Disclosure"/>
      <sheetName val="대차총괄"/>
      <sheetName val="Intro2"/>
      <sheetName val="97년추정손익계산서"/>
      <sheetName val="Assumptions"/>
      <sheetName val="building"/>
      <sheetName val="Assumptions_02"/>
      <sheetName val="CRITERIA2"/>
      <sheetName val="INFG1198"/>
      <sheetName val="INMD1198"/>
      <sheetName val="대차"/>
      <sheetName val="손익"/>
      <sheetName val="RR Allocation"/>
      <sheetName val="주요재무비율"/>
      <sheetName val="0-Basics"/>
      <sheetName val="Int-Invst"/>
      <sheetName val="98실적"/>
      <sheetName val="MAT"/>
      <sheetName val="99Q2A156"/>
    </sheetNames>
    <sheetDataSet>
      <sheetData sheetId="0" refreshError="1"/>
      <sheetData sheetId="1" refreshError="1">
        <row r="3">
          <cell r="A3">
            <v>11111</v>
          </cell>
          <cell r="B3" t="str">
            <v>Kas (Rp)</v>
          </cell>
        </row>
        <row r="4">
          <cell r="A4">
            <v>11112</v>
          </cell>
          <cell r="B4" t="str">
            <v>Kas (USD)</v>
          </cell>
        </row>
        <row r="5">
          <cell r="A5">
            <v>11121</v>
          </cell>
          <cell r="B5" t="str">
            <v>BCA (Rp)</v>
          </cell>
        </row>
        <row r="6">
          <cell r="A6">
            <v>11122</v>
          </cell>
          <cell r="B6" t="str">
            <v>BCA ($)</v>
          </cell>
        </row>
        <row r="7">
          <cell r="A7">
            <v>11131</v>
          </cell>
          <cell r="B7" t="str">
            <v>DEPOSITO BANK</v>
          </cell>
        </row>
        <row r="8">
          <cell r="A8">
            <v>11132</v>
          </cell>
          <cell r="B8" t="str">
            <v>DEPOSITO BANK</v>
          </cell>
        </row>
        <row r="9">
          <cell r="A9">
            <v>11210</v>
          </cell>
          <cell r="B9" t="str">
            <v>Bahan Baku</v>
          </cell>
        </row>
        <row r="10">
          <cell r="A10">
            <v>11220</v>
          </cell>
          <cell r="B10" t="str">
            <v>Bahan Pembantu</v>
          </cell>
        </row>
        <row r="11">
          <cell r="A11">
            <v>11240</v>
          </cell>
          <cell r="B11" t="str">
            <v>Barang Dalam Proses (WIP)</v>
          </cell>
        </row>
        <row r="12">
          <cell r="A12">
            <v>11250</v>
          </cell>
          <cell r="B12" t="str">
            <v>Barang jadi</v>
          </cell>
        </row>
        <row r="13">
          <cell r="A13">
            <v>11260</v>
          </cell>
          <cell r="B13" t="str">
            <v>Barang dagangan</v>
          </cell>
        </row>
        <row r="14">
          <cell r="A14">
            <v>11280</v>
          </cell>
          <cell r="B14" t="str">
            <v>Persediaan</v>
          </cell>
        </row>
        <row r="15">
          <cell r="A15">
            <v>11290</v>
          </cell>
          <cell r="B15" t="str">
            <v>Bahan dalam perjalanan</v>
          </cell>
        </row>
        <row r="16">
          <cell r="A16">
            <v>11310</v>
          </cell>
          <cell r="B16" t="str">
            <v>Pembayaran Dibayar dimuka</v>
          </cell>
        </row>
        <row r="17">
          <cell r="A17">
            <v>11320</v>
          </cell>
          <cell r="B17" t="str">
            <v>Sewa Dibayar dimuka</v>
          </cell>
        </row>
        <row r="18">
          <cell r="A18">
            <v>11325</v>
          </cell>
          <cell r="B18" t="str">
            <v>Biaya Dibayar dimuka</v>
          </cell>
        </row>
        <row r="19">
          <cell r="A19">
            <v>11330</v>
          </cell>
          <cell r="B19" t="str">
            <v>Pinjaman Dinas</v>
          </cell>
        </row>
        <row r="20">
          <cell r="A20">
            <v>11340</v>
          </cell>
          <cell r="B20" t="str">
            <v>PPH 22 (Barang Import)</v>
          </cell>
        </row>
        <row r="21">
          <cell r="A21">
            <v>11342</v>
          </cell>
          <cell r="B21" t="str">
            <v>PPH 23</v>
          </cell>
        </row>
        <row r="22">
          <cell r="A22">
            <v>11344</v>
          </cell>
          <cell r="B22" t="str">
            <v>PPH 25</v>
          </cell>
        </row>
        <row r="23">
          <cell r="A23">
            <v>11350</v>
          </cell>
          <cell r="B23" t="str">
            <v>PPN Masukan</v>
          </cell>
        </row>
        <row r="24">
          <cell r="A24">
            <v>11360</v>
          </cell>
          <cell r="B24" t="str">
            <v>Jaminan Simpanan</v>
          </cell>
        </row>
        <row r="25">
          <cell r="A25">
            <v>11370</v>
          </cell>
          <cell r="B25" t="str">
            <v>Asuransi Dibayar Dimuka</v>
          </cell>
        </row>
        <row r="26">
          <cell r="A26">
            <v>11410</v>
          </cell>
          <cell r="B26" t="str">
            <v>Piutang Usaha</v>
          </cell>
        </row>
        <row r="27">
          <cell r="A27">
            <v>11420</v>
          </cell>
          <cell r="B27" t="str">
            <v>Piutang Usaha Direksi</v>
          </cell>
        </row>
        <row r="28">
          <cell r="A28">
            <v>11430</v>
          </cell>
          <cell r="B28" t="str">
            <v>Piutang Usaha Lainnya</v>
          </cell>
        </row>
        <row r="29">
          <cell r="A29">
            <v>13120</v>
          </cell>
          <cell r="B29" t="str">
            <v xml:space="preserve">Bangunan  </v>
          </cell>
        </row>
        <row r="30">
          <cell r="A30">
            <v>13129</v>
          </cell>
          <cell r="B30" t="str">
            <v>Akum. Peny - Bangunan</v>
          </cell>
        </row>
        <row r="31">
          <cell r="A31">
            <v>13130</v>
          </cell>
          <cell r="B31" t="str">
            <v>Bangunan Lainnya</v>
          </cell>
        </row>
        <row r="32">
          <cell r="A32">
            <v>13139</v>
          </cell>
          <cell r="B32" t="str">
            <v>Akum. Peny - Bangunan lain-lain</v>
          </cell>
        </row>
        <row r="33">
          <cell r="A33">
            <v>13140</v>
          </cell>
          <cell r="B33" t="str">
            <v>Mesin</v>
          </cell>
        </row>
        <row r="34">
          <cell r="A34">
            <v>13149</v>
          </cell>
          <cell r="B34" t="str">
            <v>Akum. Peny - Mesin</v>
          </cell>
        </row>
        <row r="35">
          <cell r="A35">
            <v>13150</v>
          </cell>
          <cell r="B35" t="str">
            <v>Inventaris Kantor</v>
          </cell>
        </row>
        <row r="36">
          <cell r="A36">
            <v>13159</v>
          </cell>
          <cell r="B36" t="str">
            <v>Akum. Peny - Inventaris Kantor</v>
          </cell>
        </row>
        <row r="37">
          <cell r="A37">
            <v>13160</v>
          </cell>
          <cell r="B37" t="str">
            <v>Kendaraan</v>
          </cell>
        </row>
        <row r="38">
          <cell r="A38">
            <v>13169</v>
          </cell>
          <cell r="B38" t="str">
            <v>Akum. Peny - Kendaraan</v>
          </cell>
        </row>
        <row r="39">
          <cell r="A39">
            <v>13170</v>
          </cell>
          <cell r="B39" t="str">
            <v>Peralatan</v>
          </cell>
        </row>
        <row r="40">
          <cell r="A40">
            <v>13179</v>
          </cell>
          <cell r="B40" t="str">
            <v>Akum. Peny - Peralatan</v>
          </cell>
        </row>
        <row r="41">
          <cell r="A41">
            <v>13180</v>
          </cell>
          <cell r="B41" t="str">
            <v>Utility</v>
          </cell>
        </row>
        <row r="42">
          <cell r="A42">
            <v>13189</v>
          </cell>
          <cell r="B42" t="str">
            <v>Akum. Peny - Utility</v>
          </cell>
        </row>
        <row r="43">
          <cell r="A43">
            <v>13190</v>
          </cell>
          <cell r="B43" t="str">
            <v>Perlengkapan Kantor</v>
          </cell>
        </row>
        <row r="44">
          <cell r="A44">
            <v>13200</v>
          </cell>
          <cell r="B44" t="str">
            <v>Ditangguhkan PPH Badan Debit</v>
          </cell>
        </row>
        <row r="45">
          <cell r="A45">
            <v>13210</v>
          </cell>
          <cell r="B45" t="str">
            <v>Aktiva lain-lain</v>
          </cell>
        </row>
        <row r="46">
          <cell r="A46">
            <v>14100</v>
          </cell>
          <cell r="B46" t="str">
            <v>Biaya Pendirian</v>
          </cell>
        </row>
        <row r="47">
          <cell r="A47">
            <v>14200</v>
          </cell>
          <cell r="B47" t="str">
            <v>Biaya Pembukaan</v>
          </cell>
        </row>
        <row r="48">
          <cell r="A48">
            <v>14300</v>
          </cell>
          <cell r="B48" t="str">
            <v>Biaya Pembahasan &amp; Development</v>
          </cell>
        </row>
        <row r="49">
          <cell r="A49">
            <v>21110</v>
          </cell>
          <cell r="B49" t="str">
            <v>Hutang Usaha</v>
          </cell>
        </row>
        <row r="50">
          <cell r="A50">
            <v>21300</v>
          </cell>
          <cell r="B50" t="str">
            <v>Hutang yang belum dibayar</v>
          </cell>
        </row>
        <row r="51">
          <cell r="A51">
            <v>21510</v>
          </cell>
          <cell r="B51" t="str">
            <v>Hutang Pajak</v>
          </cell>
        </row>
        <row r="52">
          <cell r="A52">
            <v>21514</v>
          </cell>
          <cell r="B52" t="str">
            <v>Hutang PPH 21</v>
          </cell>
        </row>
        <row r="53">
          <cell r="A53">
            <v>21518</v>
          </cell>
          <cell r="B53" t="str">
            <v>Hutang PPH 25</v>
          </cell>
        </row>
        <row r="54">
          <cell r="A54">
            <v>21519</v>
          </cell>
          <cell r="B54" t="str">
            <v>Hutang Gaji TKI</v>
          </cell>
        </row>
        <row r="55">
          <cell r="A55">
            <v>21520</v>
          </cell>
          <cell r="B55" t="str">
            <v>Hutang Lain-lain</v>
          </cell>
        </row>
        <row r="56">
          <cell r="A56">
            <v>21521</v>
          </cell>
          <cell r="B56" t="str">
            <v>Hutang Gaji TKA</v>
          </cell>
        </row>
        <row r="57">
          <cell r="A57">
            <v>21522</v>
          </cell>
          <cell r="B57" t="str">
            <v>Hutang Upah</v>
          </cell>
        </row>
        <row r="58">
          <cell r="A58">
            <v>21610</v>
          </cell>
          <cell r="B58" t="str">
            <v>Hutang Bank</v>
          </cell>
        </row>
        <row r="59">
          <cell r="A59">
            <v>21620</v>
          </cell>
          <cell r="B59" t="str">
            <v>Hutang jangka pendek</v>
          </cell>
        </row>
        <row r="60">
          <cell r="A60">
            <v>21630</v>
          </cell>
          <cell r="B60" t="str">
            <v>PPN Keluaran</v>
          </cell>
        </row>
        <row r="61">
          <cell r="A61">
            <v>21640</v>
          </cell>
          <cell r="B61" t="str">
            <v>Penyisihan Pesangon /pensiun</v>
          </cell>
        </row>
        <row r="62">
          <cell r="A62">
            <v>21650</v>
          </cell>
          <cell r="B62" t="str">
            <v>Hutang Kendaraan</v>
          </cell>
        </row>
        <row r="63">
          <cell r="A63">
            <v>22100</v>
          </cell>
          <cell r="B63" t="str">
            <v>Hutang jangka panjang</v>
          </cell>
        </row>
        <row r="64">
          <cell r="A64">
            <v>22110</v>
          </cell>
          <cell r="B64" t="str">
            <v>Hutang pada Direksi</v>
          </cell>
        </row>
        <row r="65">
          <cell r="A65">
            <v>23200</v>
          </cell>
          <cell r="B65" t="str">
            <v>Ditangguhkan PPH Badan Kredit</v>
          </cell>
        </row>
        <row r="66">
          <cell r="A66">
            <v>31100</v>
          </cell>
          <cell r="B66" t="str">
            <v>Modal GoldOcean Communications Co., Ltd</v>
          </cell>
        </row>
        <row r="67">
          <cell r="A67">
            <v>31300</v>
          </cell>
          <cell r="B67" t="str">
            <v>Modal Ryu Hanyoung</v>
          </cell>
        </row>
        <row r="68">
          <cell r="A68">
            <v>33200</v>
          </cell>
          <cell r="B68" t="str">
            <v xml:space="preserve">Laba / Rugi Tahun </v>
          </cell>
        </row>
        <row r="69">
          <cell r="A69">
            <v>33300</v>
          </cell>
          <cell r="B69" t="str">
            <v>Laba yang belum dibagi deviden</v>
          </cell>
        </row>
        <row r="70">
          <cell r="A70">
            <v>33400</v>
          </cell>
          <cell r="B70" t="str">
            <v>Ditangguhkan PPH Badan Kredit</v>
          </cell>
        </row>
        <row r="71">
          <cell r="A71">
            <v>45010</v>
          </cell>
          <cell r="B71" t="str">
            <v>WIP</v>
          </cell>
        </row>
        <row r="72">
          <cell r="A72">
            <v>45020</v>
          </cell>
          <cell r="B72" t="str">
            <v>Harga Pokok Penjualan</v>
          </cell>
        </row>
        <row r="73">
          <cell r="A73">
            <v>45030</v>
          </cell>
          <cell r="B73" t="str">
            <v>Biaya Bahan Baku</v>
          </cell>
        </row>
        <row r="74">
          <cell r="A74">
            <v>45101</v>
          </cell>
          <cell r="B74" t="str">
            <v>Gaji TKI</v>
          </cell>
        </row>
        <row r="75">
          <cell r="A75">
            <v>45102</v>
          </cell>
          <cell r="B75" t="str">
            <v>Gaji TKA</v>
          </cell>
        </row>
        <row r="76">
          <cell r="A76">
            <v>45103</v>
          </cell>
          <cell r="B76" t="str">
            <v>Biaya Kesejahteraan TKI</v>
          </cell>
        </row>
        <row r="77">
          <cell r="A77">
            <v>45105</v>
          </cell>
          <cell r="B77" t="str">
            <v>Biaya Uang makan</v>
          </cell>
        </row>
        <row r="78">
          <cell r="A78">
            <v>45107</v>
          </cell>
          <cell r="B78" t="str">
            <v>Tunjangan Lain - Lain</v>
          </cell>
        </row>
        <row r="79">
          <cell r="A79">
            <v>45109</v>
          </cell>
          <cell r="B79" t="str">
            <v>Listrik &amp; Air</v>
          </cell>
        </row>
        <row r="80">
          <cell r="A80">
            <v>45111</v>
          </cell>
          <cell r="B80" t="str">
            <v>Bahan Bakar</v>
          </cell>
        </row>
        <row r="81">
          <cell r="A81">
            <v>45113</v>
          </cell>
          <cell r="B81" t="str">
            <v>Biaya kebutuhan Umum</v>
          </cell>
        </row>
        <row r="82">
          <cell r="A82">
            <v>45115</v>
          </cell>
          <cell r="B82" t="str">
            <v>Pemakaian Produksi</v>
          </cell>
        </row>
        <row r="83">
          <cell r="A83">
            <v>45117</v>
          </cell>
          <cell r="B83" t="str">
            <v>Pemakaian Lain-lain Pabrik</v>
          </cell>
        </row>
        <row r="84">
          <cell r="A84">
            <v>45119</v>
          </cell>
          <cell r="B84" t="str">
            <v>Perbaikan Produksi</v>
          </cell>
        </row>
        <row r="85">
          <cell r="A85">
            <v>45121</v>
          </cell>
          <cell r="B85" t="str">
            <v>Perbaikan bangunan</v>
          </cell>
        </row>
        <row r="86">
          <cell r="A86">
            <v>45123</v>
          </cell>
          <cell r="B86" t="str">
            <v>Bea &amp; Materai</v>
          </cell>
        </row>
        <row r="87">
          <cell r="A87">
            <v>45125</v>
          </cell>
          <cell r="B87" t="str">
            <v>Sewa</v>
          </cell>
        </row>
        <row r="88">
          <cell r="A88">
            <v>45127</v>
          </cell>
          <cell r="B88" t="str">
            <v>Pemeliharaan kendaraan</v>
          </cell>
        </row>
        <row r="89">
          <cell r="A89">
            <v>45129</v>
          </cell>
          <cell r="B89" t="str">
            <v>Perjalanan Dalam Negeri</v>
          </cell>
        </row>
        <row r="90">
          <cell r="A90">
            <v>45131</v>
          </cell>
          <cell r="B90" t="str">
            <v>Perjalanan Luar Negeri</v>
          </cell>
        </row>
        <row r="91">
          <cell r="A91">
            <v>45133</v>
          </cell>
          <cell r="B91" t="str">
            <v>Asuransi</v>
          </cell>
        </row>
        <row r="92">
          <cell r="A92">
            <v>45135</v>
          </cell>
          <cell r="B92" t="str">
            <v>Biaya Komunikasi</v>
          </cell>
        </row>
        <row r="93">
          <cell r="A93">
            <v>45137</v>
          </cell>
          <cell r="B93" t="str">
            <v>Biaya Bongkar Muat</v>
          </cell>
        </row>
        <row r="94">
          <cell r="A94">
            <v>45139</v>
          </cell>
          <cell r="B94" t="str">
            <v>Biaya pengepakan</v>
          </cell>
        </row>
        <row r="95">
          <cell r="A95">
            <v>45141</v>
          </cell>
          <cell r="B95" t="str">
            <v>Bea Import/Eksport</v>
          </cell>
        </row>
        <row r="96">
          <cell r="A96">
            <v>45143</v>
          </cell>
          <cell r="B96" t="str">
            <v>Pendidikan</v>
          </cell>
        </row>
        <row r="97">
          <cell r="A97">
            <v>45145</v>
          </cell>
          <cell r="B97" t="str">
            <v>Biaya Administrasi</v>
          </cell>
        </row>
        <row r="98">
          <cell r="A98">
            <v>45148</v>
          </cell>
          <cell r="B98" t="str">
            <v>Penyusutan</v>
          </cell>
        </row>
        <row r="99">
          <cell r="A99">
            <v>51100</v>
          </cell>
          <cell r="B99" t="str">
            <v>Pemakaian Bahan Baku</v>
          </cell>
        </row>
        <row r="100">
          <cell r="A100">
            <v>54110</v>
          </cell>
          <cell r="B100" t="str">
            <v>Gaji TKA</v>
          </cell>
        </row>
        <row r="101">
          <cell r="A101">
            <v>54120</v>
          </cell>
          <cell r="B101" t="str">
            <v>Gaji TKI</v>
          </cell>
        </row>
        <row r="102">
          <cell r="A102">
            <v>54130</v>
          </cell>
          <cell r="B102" t="str">
            <v>THR &amp; Bonus TKI</v>
          </cell>
        </row>
        <row r="103">
          <cell r="A103">
            <v>54140</v>
          </cell>
          <cell r="B103" t="str">
            <v>Biaya Upah</v>
          </cell>
        </row>
        <row r="104">
          <cell r="A104">
            <v>55101</v>
          </cell>
          <cell r="B104" t="str">
            <v>Biaya Kesejahteraan TKI</v>
          </cell>
        </row>
        <row r="105">
          <cell r="A105">
            <v>55103</v>
          </cell>
          <cell r="B105" t="str">
            <v>Biaya makan</v>
          </cell>
        </row>
        <row r="106">
          <cell r="A106">
            <v>55104</v>
          </cell>
          <cell r="B106" t="str">
            <v>Tunjangan Jamsostek</v>
          </cell>
        </row>
        <row r="107">
          <cell r="A107">
            <v>55105</v>
          </cell>
          <cell r="B107" t="str">
            <v>Biaya Kesehatan</v>
          </cell>
        </row>
        <row r="108">
          <cell r="A108">
            <v>55106</v>
          </cell>
          <cell r="B108" t="str">
            <v>THR &amp; Bonus TKA</v>
          </cell>
        </row>
        <row r="109">
          <cell r="A109">
            <v>55107</v>
          </cell>
          <cell r="B109" t="str">
            <v>Biaya Kesejahteraan TKA</v>
          </cell>
        </row>
        <row r="110">
          <cell r="A110">
            <v>55108</v>
          </cell>
          <cell r="B110" t="str">
            <v>Tunjangan PPH 21</v>
          </cell>
        </row>
        <row r="111">
          <cell r="A111">
            <v>55109</v>
          </cell>
          <cell r="B111" t="str">
            <v>Listrik &amp; Air</v>
          </cell>
        </row>
        <row r="112">
          <cell r="A112">
            <v>55111</v>
          </cell>
          <cell r="B112" t="str">
            <v>Bahan Bakar</v>
          </cell>
        </row>
        <row r="113">
          <cell r="A113">
            <v>55113</v>
          </cell>
          <cell r="B113" t="str">
            <v>Biaya kebutuhan Umum</v>
          </cell>
        </row>
        <row r="114">
          <cell r="A114">
            <v>55115</v>
          </cell>
          <cell r="B114" t="str">
            <v>Pemakaian Produksi</v>
          </cell>
        </row>
        <row r="115">
          <cell r="A115">
            <v>55117</v>
          </cell>
          <cell r="B115" t="str">
            <v>Biaya Kebutuhan Kantor</v>
          </cell>
        </row>
        <row r="116">
          <cell r="A116">
            <v>55119</v>
          </cell>
          <cell r="B116" t="str">
            <v>Biaya Pemeliharaan</v>
          </cell>
        </row>
        <row r="117">
          <cell r="A117">
            <v>55121</v>
          </cell>
          <cell r="B117" t="str">
            <v>Perbaikan bangunan</v>
          </cell>
        </row>
        <row r="118">
          <cell r="A118">
            <v>55122</v>
          </cell>
          <cell r="B118" t="str">
            <v>Biaya Pengiriman</v>
          </cell>
        </row>
        <row r="119">
          <cell r="A119">
            <v>55123</v>
          </cell>
          <cell r="B119" t="str">
            <v>Biaya Materai</v>
          </cell>
        </row>
        <row r="120">
          <cell r="A120">
            <v>55124</v>
          </cell>
          <cell r="B120" t="str">
            <v>Biaya Foto copy &amp; Percetakan</v>
          </cell>
        </row>
        <row r="121">
          <cell r="A121">
            <v>55125</v>
          </cell>
          <cell r="B121" t="str">
            <v>Sewa</v>
          </cell>
        </row>
        <row r="122">
          <cell r="A122">
            <v>55126</v>
          </cell>
          <cell r="B122" t="str">
            <v>Biaya promosi &amp; pemasaran</v>
          </cell>
        </row>
        <row r="123">
          <cell r="A123">
            <v>55127</v>
          </cell>
          <cell r="B123" t="str">
            <v>Pemeliharaan kendaraan</v>
          </cell>
        </row>
        <row r="124">
          <cell r="A124">
            <v>55129</v>
          </cell>
          <cell r="B124" t="str">
            <v>Biaya Transportasi</v>
          </cell>
        </row>
        <row r="125">
          <cell r="A125">
            <v>55130</v>
          </cell>
          <cell r="B125" t="str">
            <v>Biaya Entertaint &amp; Presentasi</v>
          </cell>
        </row>
        <row r="126">
          <cell r="A126">
            <v>55131</v>
          </cell>
          <cell r="B126" t="str">
            <v>Biaya Travel &amp; Akomodasi</v>
          </cell>
        </row>
        <row r="127">
          <cell r="A127">
            <v>55133</v>
          </cell>
          <cell r="B127" t="str">
            <v>Asuransi</v>
          </cell>
        </row>
        <row r="128">
          <cell r="A128">
            <v>55135</v>
          </cell>
          <cell r="B128" t="str">
            <v>Biaya Komunikasi</v>
          </cell>
        </row>
        <row r="129">
          <cell r="A129">
            <v>55136</v>
          </cell>
          <cell r="B129" t="str">
            <v>Biaya Internet</v>
          </cell>
        </row>
        <row r="130">
          <cell r="A130">
            <v>55137</v>
          </cell>
          <cell r="B130" t="str">
            <v>Biaya Perijinan &amp; Jasa Profesional</v>
          </cell>
        </row>
        <row r="131">
          <cell r="A131">
            <v>55138</v>
          </cell>
          <cell r="B131" t="str">
            <v>Biaya Instalasi</v>
          </cell>
        </row>
        <row r="132">
          <cell r="A132">
            <v>55139</v>
          </cell>
          <cell r="B132" t="str">
            <v>Biaya Perjalanan dinas</v>
          </cell>
        </row>
        <row r="133">
          <cell r="A133">
            <v>55141</v>
          </cell>
          <cell r="B133" t="str">
            <v>Bea Import/Eksport</v>
          </cell>
        </row>
        <row r="134">
          <cell r="A134">
            <v>55143</v>
          </cell>
          <cell r="B134" t="str">
            <v>Penyusutan</v>
          </cell>
        </row>
        <row r="135">
          <cell r="A135">
            <v>55144</v>
          </cell>
          <cell r="B135" t="str">
            <v>Biaya Jasa</v>
          </cell>
        </row>
        <row r="136">
          <cell r="A136">
            <v>55145</v>
          </cell>
          <cell r="B136" t="str">
            <v>Biaya Administrasi</v>
          </cell>
        </row>
        <row r="137">
          <cell r="A137">
            <v>56200</v>
          </cell>
          <cell r="B137" t="str">
            <v>Biaya Lain-lain</v>
          </cell>
        </row>
        <row r="138">
          <cell r="A138">
            <v>61100</v>
          </cell>
          <cell r="B138" t="str">
            <v xml:space="preserve">Penjualan </v>
          </cell>
        </row>
        <row r="139">
          <cell r="A139">
            <v>64100</v>
          </cell>
          <cell r="B139" t="str">
            <v>Penjualan Barang</v>
          </cell>
        </row>
        <row r="140">
          <cell r="A140">
            <v>81100</v>
          </cell>
          <cell r="B140" t="str">
            <v>Pendapatan Bunga</v>
          </cell>
        </row>
        <row r="141">
          <cell r="A141">
            <v>81200</v>
          </cell>
          <cell r="B141" t="str">
            <v>Keuntungan Kurs tukar Valas</v>
          </cell>
        </row>
        <row r="142">
          <cell r="A142">
            <v>81900</v>
          </cell>
          <cell r="B142" t="str">
            <v>Keuntungan lain-lain</v>
          </cell>
        </row>
        <row r="143">
          <cell r="A143">
            <v>81910</v>
          </cell>
          <cell r="B143" t="str">
            <v>Keuntungan Penjualan Aktiva</v>
          </cell>
        </row>
        <row r="144">
          <cell r="A144">
            <v>82100</v>
          </cell>
          <cell r="B144" t="str">
            <v>Beban bunga</v>
          </cell>
        </row>
        <row r="145">
          <cell r="A145">
            <v>82200</v>
          </cell>
          <cell r="B145" t="str">
            <v>Kerugian Kurs tukar Valas</v>
          </cell>
        </row>
        <row r="146">
          <cell r="A146">
            <v>82500</v>
          </cell>
          <cell r="B146" t="str">
            <v>Penyusutan Biaya Pendirian</v>
          </cell>
        </row>
        <row r="147">
          <cell r="A147">
            <v>82600</v>
          </cell>
          <cell r="B147" t="str">
            <v>Penyusutan Biaya Pembukaan</v>
          </cell>
        </row>
        <row r="148">
          <cell r="A148">
            <v>82700</v>
          </cell>
          <cell r="B148" t="str">
            <v>Penyusutan Biaya R&amp;D</v>
          </cell>
        </row>
        <row r="149">
          <cell r="A149">
            <v>82800</v>
          </cell>
          <cell r="B149" t="str">
            <v>Biaya Administrasi Bank</v>
          </cell>
        </row>
        <row r="150">
          <cell r="A150">
            <v>82900</v>
          </cell>
          <cell r="B150" t="str">
            <v>Kerugian lain-lain Lain-lain</v>
          </cell>
        </row>
        <row r="151">
          <cell r="A151">
            <v>83100</v>
          </cell>
          <cell r="B151" t="str">
            <v>Selisih Bank</v>
          </cell>
        </row>
        <row r="152">
          <cell r="A152">
            <v>83200</v>
          </cell>
          <cell r="B152" t="str">
            <v>Pajak Pendapatan Bunga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"/>
      <sheetName val="1"/>
      <sheetName val="2"/>
      <sheetName val="3"/>
      <sheetName val="4"/>
      <sheetName val="5"/>
      <sheetName val="6"/>
      <sheetName val="Sheet1"/>
      <sheetName val="7"/>
      <sheetName val="8"/>
      <sheetName val="9"/>
      <sheetName val="10"/>
      <sheetName val="11"/>
      <sheetName val="12"/>
      <sheetName val="TB11 $"/>
      <sheetName val="TB11"/>
      <sheetName val="Cover"/>
      <sheetName val="COGS"/>
      <sheetName val="PL"/>
      <sheetName val="BS"/>
      <sheetName val="Rinci Acc"/>
      <sheetName val="Aktiva List (2)"/>
      <sheetName val="재공품"/>
      <sheetName val="MASTER"/>
      <sheetName val="반품"/>
      <sheetName val="정상"/>
      <sheetName val="폐기-090831"/>
      <sheetName val="마감장"/>
      <sheetName val="A1"/>
      <sheetName val="Stock Chart"/>
      <sheetName val="2006.12.31"/>
      <sheetName val="2002"/>
      <sheetName val="#REF!"/>
      <sheetName val="대차대조표"/>
      <sheetName val="금융리스"/>
      <sheetName val="자재,노무CODE"/>
      <sheetName val="3-31"/>
      <sheetName val="연체리스료"/>
      <sheetName val="XREF"/>
      <sheetName val="Dart_BS"/>
      <sheetName val="Dart_PL"/>
      <sheetName val="별표 "/>
      <sheetName val="PT. SEO HEE 2011년12월"/>
      <sheetName val="업무분장 "/>
      <sheetName val="실적"/>
      <sheetName val="비교손익계산서"/>
      <sheetName val="검산금액"/>
      <sheetName val="선수보증금"/>
      <sheetName val="Sheet5"/>
      <sheetName val="연체일수"/>
      <sheetName val="잔가합계"/>
      <sheetName val="기초해지2"/>
      <sheetName val="Sheet6"/>
      <sheetName val="중도해지진행업체"/>
      <sheetName val="대손검토"/>
      <sheetName val="배서어음명세서"/>
      <sheetName val="5월경비_영업외비용"/>
      <sheetName val="maccp04"/>
      <sheetName val="1.외주공사"/>
      <sheetName val="2.직영공사"/>
      <sheetName val="창원외상매출금(원)"/>
      <sheetName val="ARP-U501"/>
      <sheetName val="Working"/>
      <sheetName val="완성차 미수금"/>
      <sheetName val="기획1"/>
      <sheetName val="INFO"/>
      <sheetName val="RK-#1"/>
      <sheetName val="5131"/>
      <sheetName val="영업보증금"/>
      <sheetName val="노임이"/>
      <sheetName val="building"/>
      <sheetName val="科目余额表"/>
      <sheetName val="Revised PEGS98"/>
      <sheetName val="2001Org"/>
      <sheetName val="basic_info"/>
      <sheetName val="회사정보"/>
      <sheetName val="#REF"/>
      <sheetName val="붙임2-1  지급조서명세서(2001년분)"/>
      <sheetName val="Macro1"/>
      <sheetName val="99퇴직"/>
      <sheetName val="무형"/>
      <sheetName val="Links"/>
      <sheetName val="SALE&amp;COST"/>
      <sheetName val="SLa"/>
      <sheetName val="RR Allocation"/>
      <sheetName val="현금흐름표"/>
      <sheetName val="Depreciation"/>
      <sheetName val="간주기안"/>
      <sheetName val="의제기안"/>
      <sheetName val="C"/>
      <sheetName val="BS(Don't Prt)"/>
      <sheetName val="Results"/>
      <sheetName val="Index"/>
      <sheetName val="ENI"/>
      <sheetName val="JT3.0견적-구1"/>
      <sheetName val="감가상각"/>
      <sheetName val="부서별"/>
      <sheetName val="원_VL"/>
      <sheetName val="채권"/>
      <sheetName val="계획"/>
      <sheetName val="리드"/>
      <sheetName val="매출(영업 VS 경리)"/>
      <sheetName val="대차"/>
      <sheetName val="손익"/>
      <sheetName val="MatchCode"/>
      <sheetName val="TBclosing"/>
      <sheetName val="서울판관-공통부문"/>
      <sheetName val="C.A"/>
    </sheetNames>
    <sheetDataSet>
      <sheetData sheetId="0">
        <row r="6">
          <cell r="B6" t="str">
            <v>AKTIVA</v>
          </cell>
        </row>
        <row r="7">
          <cell r="A7">
            <v>111.001</v>
          </cell>
          <cell r="B7" t="str">
            <v>KAS RUPIAH</v>
          </cell>
        </row>
        <row r="8">
          <cell r="A8">
            <v>111.002</v>
          </cell>
          <cell r="B8" t="str">
            <v>KAS DOLLAR</v>
          </cell>
        </row>
        <row r="9">
          <cell r="A9">
            <v>111.101</v>
          </cell>
          <cell r="B9" t="str">
            <v>BANK WOOR ( IDR )</v>
          </cell>
        </row>
        <row r="10">
          <cell r="A10">
            <v>111.102</v>
          </cell>
          <cell r="B10" t="str">
            <v>BANK HANA ( IDR )</v>
          </cell>
        </row>
        <row r="11">
          <cell r="A11">
            <v>111.10299999999999</v>
          </cell>
          <cell r="B11" t="str">
            <v>BANK HANA GIRO ( IDR )</v>
          </cell>
        </row>
        <row r="12">
          <cell r="A12">
            <v>111.104</v>
          </cell>
          <cell r="B12" t="str">
            <v>BANK HANA GIRO ( USD )</v>
          </cell>
        </row>
        <row r="13">
          <cell r="A13">
            <v>111.105</v>
          </cell>
          <cell r="B13" t="str">
            <v>BANK HANA ( USD )</v>
          </cell>
        </row>
        <row r="14">
          <cell r="A14">
            <v>111.10599999999999</v>
          </cell>
          <cell r="B14" t="str">
            <v>BANK MANDIRI BISNIS ( IDR )</v>
          </cell>
        </row>
        <row r="15">
          <cell r="A15">
            <v>111.107</v>
          </cell>
        </row>
        <row r="16">
          <cell r="A16">
            <v>111.108</v>
          </cell>
        </row>
        <row r="17">
          <cell r="A17">
            <v>111.10899999999999</v>
          </cell>
        </row>
        <row r="18">
          <cell r="A18">
            <v>112.101</v>
          </cell>
          <cell r="B18" t="str">
            <v>PIUTANG USAHA</v>
          </cell>
        </row>
        <row r="19">
          <cell r="A19">
            <v>112.102</v>
          </cell>
        </row>
        <row r="20">
          <cell r="A20">
            <v>112.10299999999999</v>
          </cell>
        </row>
        <row r="21">
          <cell r="A21">
            <v>112.104</v>
          </cell>
        </row>
        <row r="22">
          <cell r="A22">
            <v>112.105</v>
          </cell>
        </row>
        <row r="23">
          <cell r="A23">
            <v>112.10599999999999</v>
          </cell>
        </row>
        <row r="24">
          <cell r="A24">
            <v>113.101</v>
          </cell>
          <cell r="B24" t="str">
            <v>PIHUTANG DIREKSI</v>
          </cell>
        </row>
        <row r="25">
          <cell r="A25">
            <v>113.102</v>
          </cell>
          <cell r="B25" t="str">
            <v>PINJAMAN SIMPANAN</v>
          </cell>
        </row>
        <row r="26">
          <cell r="A26">
            <v>114.101</v>
          </cell>
          <cell r="B26" t="str">
            <v>BAHAN BAKU</v>
          </cell>
        </row>
        <row r="27">
          <cell r="A27">
            <v>114.102</v>
          </cell>
          <cell r="B27" t="str">
            <v>BARANG DALAM PROSES</v>
          </cell>
        </row>
        <row r="28">
          <cell r="A28">
            <v>114.10299999999999</v>
          </cell>
          <cell r="B28" t="str">
            <v>BARANG JADI</v>
          </cell>
        </row>
        <row r="29">
          <cell r="A29">
            <v>114.104</v>
          </cell>
          <cell r="B29" t="str">
            <v>BAHAN PEMBANTU</v>
          </cell>
        </row>
        <row r="30">
          <cell r="A30">
            <v>114.105</v>
          </cell>
          <cell r="B30" t="str">
            <v>BARANG SPARE PART</v>
          </cell>
        </row>
        <row r="31">
          <cell r="A31">
            <v>115.101</v>
          </cell>
          <cell r="B31" t="str">
            <v>PEMBAYARAN DIMUKA</v>
          </cell>
        </row>
        <row r="32">
          <cell r="A32">
            <v>115.102</v>
          </cell>
          <cell r="B32" t="str">
            <v>SEWA DIBAYAR DIMUKA</v>
          </cell>
        </row>
        <row r="33">
          <cell r="A33">
            <v>115.10299999999999</v>
          </cell>
          <cell r="B33" t="str">
            <v>PINJAMAN PRIBADI</v>
          </cell>
        </row>
        <row r="34">
          <cell r="A34">
            <v>115.104</v>
          </cell>
          <cell r="B34" t="str">
            <v>ASURANSI DIBAYAR DIMUKA</v>
          </cell>
        </row>
        <row r="35">
          <cell r="A35">
            <v>115.105</v>
          </cell>
          <cell r="B35" t="str">
            <v>PPN PEMBELIAN</v>
          </cell>
        </row>
        <row r="36">
          <cell r="A36">
            <v>115.10599999999999</v>
          </cell>
          <cell r="B36" t="str">
            <v>PPH PASAL 22</v>
          </cell>
        </row>
        <row r="37">
          <cell r="A37">
            <v>115.107</v>
          </cell>
          <cell r="B37" t="str">
            <v>PPH PASAL 23</v>
          </cell>
        </row>
        <row r="38">
          <cell r="A38">
            <v>115.108</v>
          </cell>
          <cell r="B38" t="str">
            <v>PPH PASAL 25</v>
          </cell>
        </row>
        <row r="39">
          <cell r="A39">
            <v>115.10899999999999</v>
          </cell>
          <cell r="B39" t="str">
            <v>JAMINAN SIMPANAN</v>
          </cell>
        </row>
        <row r="40">
          <cell r="A40">
            <v>116.101</v>
          </cell>
          <cell r="B40" t="str">
            <v>BANGUNAN</v>
          </cell>
        </row>
        <row r="41">
          <cell r="A41">
            <v>116.102</v>
          </cell>
          <cell r="B41" t="str">
            <v>BANGUNAN DALAM PELAKSANAAN</v>
          </cell>
        </row>
        <row r="42">
          <cell r="A42">
            <v>116.10299999999999</v>
          </cell>
          <cell r="B42" t="str">
            <v>MESIN</v>
          </cell>
        </row>
        <row r="43">
          <cell r="A43">
            <v>116.104</v>
          </cell>
          <cell r="B43" t="str">
            <v>KENDARAAN</v>
          </cell>
        </row>
        <row r="44">
          <cell r="A44">
            <v>116.105</v>
          </cell>
          <cell r="B44" t="str">
            <v>PERALATAN PABRIK</v>
          </cell>
        </row>
        <row r="45">
          <cell r="A45">
            <v>116.10599999999999</v>
          </cell>
          <cell r="B45" t="str">
            <v>PERALATAN &amp; PERABOTAN KANTOR</v>
          </cell>
        </row>
        <row r="46">
          <cell r="A46">
            <v>116.107</v>
          </cell>
          <cell r="B46" t="str">
            <v>AKUMULASI PENYUSUTAN</v>
          </cell>
        </row>
        <row r="47">
          <cell r="A47">
            <v>117.001</v>
          </cell>
          <cell r="B47" t="str">
            <v>BIAYA DITANGGUHKAN</v>
          </cell>
        </row>
        <row r="48">
          <cell r="A48">
            <v>117.002</v>
          </cell>
          <cell r="B48" t="str">
            <v>AKUMULASI AMORTISASI</v>
          </cell>
        </row>
        <row r="49">
          <cell r="A49">
            <v>211.101</v>
          </cell>
          <cell r="B49" t="str">
            <v>HUTANG USAHA</v>
          </cell>
        </row>
        <row r="50">
          <cell r="A50">
            <v>211.11099999999999</v>
          </cell>
          <cell r="B50" t="str">
            <v>PT. THREE WIN</v>
          </cell>
        </row>
        <row r="51">
          <cell r="A51">
            <v>211.11199999999999</v>
          </cell>
          <cell r="B51" t="str">
            <v>OENTOENG SURIA &amp; PARTNERS</v>
          </cell>
        </row>
        <row r="52">
          <cell r="A52">
            <v>211.113</v>
          </cell>
          <cell r="B52" t="str">
            <v>IROSAM</v>
          </cell>
        </row>
        <row r="53">
          <cell r="A53">
            <v>211.114</v>
          </cell>
          <cell r="B53" t="str">
            <v>PCI Home Stay</v>
          </cell>
        </row>
        <row r="54">
          <cell r="A54">
            <v>211.11500000000001</v>
          </cell>
          <cell r="B54" t="str">
            <v>CV. KOTA BARU MANDIRI</v>
          </cell>
        </row>
        <row r="55">
          <cell r="A55">
            <v>211.11600000000001</v>
          </cell>
        </row>
        <row r="56">
          <cell r="A56">
            <v>211.11699999999999</v>
          </cell>
        </row>
        <row r="57">
          <cell r="A57">
            <v>211.11799999999999</v>
          </cell>
        </row>
        <row r="58">
          <cell r="A58">
            <v>211.119</v>
          </cell>
        </row>
        <row r="59">
          <cell r="A59">
            <v>211.12</v>
          </cell>
        </row>
        <row r="60">
          <cell r="A60">
            <v>211.12100000000001</v>
          </cell>
        </row>
        <row r="61">
          <cell r="A61">
            <v>211.12200000000001</v>
          </cell>
        </row>
        <row r="62">
          <cell r="A62">
            <v>211.12299999999999</v>
          </cell>
        </row>
        <row r="63">
          <cell r="A63">
            <v>211.124</v>
          </cell>
        </row>
        <row r="64">
          <cell r="A64">
            <v>211.125</v>
          </cell>
        </row>
        <row r="65">
          <cell r="A65">
            <v>211.126</v>
          </cell>
        </row>
        <row r="66">
          <cell r="A66">
            <v>211.12700000000001</v>
          </cell>
        </row>
        <row r="67">
          <cell r="A67">
            <v>211.12799999999999</v>
          </cell>
        </row>
        <row r="68">
          <cell r="A68">
            <v>211.12899999999999</v>
          </cell>
        </row>
        <row r="69">
          <cell r="A69">
            <v>211.13</v>
          </cell>
        </row>
        <row r="70">
          <cell r="A70">
            <v>211.131</v>
          </cell>
        </row>
        <row r="71">
          <cell r="A71">
            <v>211.13200000000001</v>
          </cell>
        </row>
        <row r="72">
          <cell r="A72">
            <v>211.13300000000001</v>
          </cell>
        </row>
        <row r="73">
          <cell r="A73">
            <v>211.13399999999999</v>
          </cell>
        </row>
        <row r="74">
          <cell r="A74">
            <v>211.13499999999999</v>
          </cell>
        </row>
        <row r="75">
          <cell r="A75">
            <v>211.136</v>
          </cell>
        </row>
        <row r="76">
          <cell r="A76">
            <v>211.137</v>
          </cell>
        </row>
        <row r="77">
          <cell r="A77">
            <v>211.13800000000001</v>
          </cell>
        </row>
        <row r="78">
          <cell r="A78">
            <v>211.13900000000001</v>
          </cell>
        </row>
        <row r="79">
          <cell r="A79">
            <v>211.14</v>
          </cell>
        </row>
        <row r="80">
          <cell r="A80">
            <v>211.14099999999999</v>
          </cell>
        </row>
        <row r="81">
          <cell r="A81">
            <v>211.142</v>
          </cell>
        </row>
        <row r="82">
          <cell r="A82">
            <v>211.143</v>
          </cell>
        </row>
        <row r="83">
          <cell r="A83">
            <v>211.14400000000001</v>
          </cell>
        </row>
        <row r="84">
          <cell r="A84">
            <v>211.14500000000001</v>
          </cell>
        </row>
        <row r="85">
          <cell r="A85">
            <v>211.14599999999999</v>
          </cell>
        </row>
        <row r="86">
          <cell r="A86">
            <v>211.14699999999999</v>
          </cell>
        </row>
        <row r="87">
          <cell r="A87">
            <v>211.148</v>
          </cell>
        </row>
        <row r="88">
          <cell r="A88">
            <v>211.149</v>
          </cell>
        </row>
        <row r="89">
          <cell r="A89">
            <v>211.15</v>
          </cell>
        </row>
        <row r="90">
          <cell r="A90">
            <v>211.15100000000001</v>
          </cell>
        </row>
        <row r="91">
          <cell r="A91">
            <v>211.15199999999999</v>
          </cell>
        </row>
        <row r="92">
          <cell r="A92">
            <v>211.15299999999999</v>
          </cell>
        </row>
        <row r="93">
          <cell r="A93">
            <v>211.154</v>
          </cell>
        </row>
        <row r="94">
          <cell r="A94">
            <v>211.155</v>
          </cell>
        </row>
        <row r="95">
          <cell r="A95">
            <v>211.15600000000001</v>
          </cell>
        </row>
        <row r="96">
          <cell r="A96">
            <v>211.15700000000001</v>
          </cell>
        </row>
        <row r="97">
          <cell r="A97">
            <v>211.15799999999999</v>
          </cell>
        </row>
        <row r="98">
          <cell r="A98">
            <v>211.15899999999999</v>
          </cell>
        </row>
        <row r="99">
          <cell r="A99">
            <v>211.16</v>
          </cell>
        </row>
        <row r="102">
          <cell r="A102">
            <v>211.20099999999999</v>
          </cell>
          <cell r="B102" t="str">
            <v>HUTANG IMPORT</v>
          </cell>
        </row>
        <row r="103">
          <cell r="A103">
            <v>211.21100000000001</v>
          </cell>
        </row>
        <row r="104">
          <cell r="A104">
            <v>211.21199999999999</v>
          </cell>
        </row>
        <row r="105">
          <cell r="A105">
            <v>211.21299999999999</v>
          </cell>
        </row>
        <row r="106">
          <cell r="A106">
            <v>211.214</v>
          </cell>
        </row>
        <row r="107">
          <cell r="A107">
            <v>211.215</v>
          </cell>
        </row>
        <row r="108">
          <cell r="A108">
            <v>211.30099999999999</v>
          </cell>
          <cell r="B108" t="str">
            <v>PINJAMAN DARI DIREKSI</v>
          </cell>
        </row>
        <row r="109">
          <cell r="A109">
            <v>211.30199999999999</v>
          </cell>
          <cell r="B109" t="str">
            <v>PINJAMAN DARI KOREA</v>
          </cell>
        </row>
        <row r="110">
          <cell r="A110">
            <v>211.303</v>
          </cell>
          <cell r="B110" t="str">
            <v>PINJAMAN DARI MR. CHA</v>
          </cell>
        </row>
        <row r="111">
          <cell r="A111">
            <v>211.40100000000001</v>
          </cell>
          <cell r="B111" t="str">
            <v>HUTANG YMH DIBAYAR</v>
          </cell>
        </row>
        <row r="112">
          <cell r="A112">
            <v>211.411</v>
          </cell>
          <cell r="B112" t="str">
            <v>GAJI KARYAWAN</v>
          </cell>
        </row>
        <row r="113">
          <cell r="A113">
            <v>211.41200000000001</v>
          </cell>
          <cell r="B113" t="str">
            <v>JAMSOSTEK</v>
          </cell>
        </row>
        <row r="114">
          <cell r="A114">
            <v>211.41300000000001</v>
          </cell>
          <cell r="B114" t="str">
            <v>LISTRIK &amp; AIR</v>
          </cell>
        </row>
        <row r="115">
          <cell r="A115">
            <v>211.41399999999999</v>
          </cell>
          <cell r="B115" t="str">
            <v>CATERING</v>
          </cell>
        </row>
        <row r="116">
          <cell r="A116">
            <v>211.41499999999999</v>
          </cell>
          <cell r="B116" t="str">
            <v>LAIN - LAIN</v>
          </cell>
        </row>
        <row r="117">
          <cell r="A117">
            <v>212.101</v>
          </cell>
          <cell r="B117" t="str">
            <v>HUTANG PAJAK</v>
          </cell>
        </row>
        <row r="118">
          <cell r="A118">
            <v>213.101</v>
          </cell>
          <cell r="B118" t="str">
            <v>HUTANG PAJAK PASAL PPH 21</v>
          </cell>
        </row>
        <row r="119">
          <cell r="A119">
            <v>214.101</v>
          </cell>
          <cell r="B119" t="str">
            <v>PPN PENJUALAN</v>
          </cell>
        </row>
        <row r="120">
          <cell r="A120">
            <v>215.101</v>
          </cell>
          <cell r="B120" t="str">
            <v xml:space="preserve">HUTANG PAJAK FINAL PASAL 4  </v>
          </cell>
        </row>
        <row r="121">
          <cell r="A121">
            <v>216.101</v>
          </cell>
          <cell r="B121" t="str">
            <v>SIMPANAN SEMENTARA</v>
          </cell>
        </row>
        <row r="122">
          <cell r="A122">
            <v>221.101</v>
          </cell>
          <cell r="B122" t="str">
            <v>HUTANG LEASING MOBIL</v>
          </cell>
        </row>
        <row r="123">
          <cell r="A123">
            <v>231.101</v>
          </cell>
          <cell r="B123" t="str">
            <v>HUTANG SEWA GUNA USAHA</v>
          </cell>
        </row>
        <row r="124">
          <cell r="A124">
            <v>311.101</v>
          </cell>
          <cell r="B124" t="str">
            <v>MODAL SAHAM SEOHEE CONSTRUCTION CO., LTD</v>
          </cell>
        </row>
        <row r="125">
          <cell r="A125">
            <v>311.10199999999998</v>
          </cell>
          <cell r="B125" t="str">
            <v>MODAL SAHAM PT. POWERTECH INDONESIA</v>
          </cell>
        </row>
        <row r="126">
          <cell r="A126">
            <v>321.101</v>
          </cell>
          <cell r="B126" t="str">
            <v>LABA DITAHAN</v>
          </cell>
        </row>
        <row r="127">
          <cell r="A127">
            <v>321.10199999999998</v>
          </cell>
          <cell r="B127" t="str">
            <v>LABA RUGI TAHUN BERJALAN</v>
          </cell>
        </row>
        <row r="128">
          <cell r="A128">
            <v>411.101</v>
          </cell>
          <cell r="B128" t="str">
            <v>EXSPORT</v>
          </cell>
        </row>
        <row r="129">
          <cell r="A129">
            <v>411.11099999999999</v>
          </cell>
          <cell r="B129" t="str">
            <v>LOKAL</v>
          </cell>
        </row>
        <row r="130">
          <cell r="A130">
            <v>411.12099999999998</v>
          </cell>
          <cell r="B130" t="str">
            <v>LOKAL ( MAKLON )</v>
          </cell>
        </row>
        <row r="131">
          <cell r="A131">
            <v>411.13099999999997</v>
          </cell>
          <cell r="B131" t="str">
            <v>RETURN PENJUALAN</v>
          </cell>
        </row>
        <row r="132">
          <cell r="A132">
            <v>411.14100000000002</v>
          </cell>
          <cell r="B132" t="str">
            <v>POTONGAN PENJUALAN</v>
          </cell>
        </row>
        <row r="133">
          <cell r="A133">
            <v>500.101</v>
          </cell>
          <cell r="B133" t="str">
            <v>HARGA POKOK PENJUALAN</v>
          </cell>
        </row>
        <row r="134">
          <cell r="A134">
            <v>500.10199999999998</v>
          </cell>
          <cell r="B134" t="str">
            <v>BARANG DALAM PROSES TO FG</v>
          </cell>
        </row>
        <row r="135">
          <cell r="A135">
            <v>511.101</v>
          </cell>
          <cell r="B135" t="str">
            <v>RM - RAW MATERIAL</v>
          </cell>
        </row>
        <row r="136">
          <cell r="A136">
            <v>511.10199999999998</v>
          </cell>
          <cell r="B136" t="str">
            <v>RM - SUB MATERIAL</v>
          </cell>
        </row>
        <row r="137">
          <cell r="A137">
            <v>521.101</v>
          </cell>
          <cell r="B137" t="str">
            <v>BTKL - GAJI KARYAWAN</v>
          </cell>
        </row>
        <row r="138">
          <cell r="A138">
            <v>521.11099999999999</v>
          </cell>
          <cell r="B138" t="str">
            <v>BTKL - BONUS</v>
          </cell>
        </row>
        <row r="139">
          <cell r="A139">
            <v>521.12099999999998</v>
          </cell>
          <cell r="B139" t="str">
            <v>BTKL - PESANGON</v>
          </cell>
        </row>
        <row r="140">
          <cell r="A140">
            <v>521.13099999999997</v>
          </cell>
          <cell r="B140" t="str">
            <v>BTKL - TUNJANGAN MAKAN</v>
          </cell>
        </row>
        <row r="141">
          <cell r="A141">
            <v>521.14099999999996</v>
          </cell>
          <cell r="B141" t="str">
            <v>BTKL - TUNJANGAN KESEHATAN</v>
          </cell>
        </row>
        <row r="142">
          <cell r="A142">
            <v>521.15099999999995</v>
          </cell>
          <cell r="B142" t="str">
            <v>BTKL - TUNJANGAN JAMSOSTEK</v>
          </cell>
        </row>
        <row r="143">
          <cell r="A143">
            <v>521.16099999999994</v>
          </cell>
          <cell r="B143" t="str">
            <v>BTKL - TUNJANGAN LAIN-LAIN</v>
          </cell>
        </row>
        <row r="144">
          <cell r="A144">
            <v>531.101</v>
          </cell>
          <cell r="B144" t="str">
            <v>BOP - LISTRIK &amp; AIR</v>
          </cell>
        </row>
        <row r="145">
          <cell r="A145">
            <v>531.11099999999999</v>
          </cell>
          <cell r="B145" t="str">
            <v>BOP - BAHAN BAKAR</v>
          </cell>
        </row>
        <row r="146">
          <cell r="A146">
            <v>531.12099999999998</v>
          </cell>
          <cell r="B146" t="str">
            <v>BOP - PENGANGKUTAN</v>
          </cell>
        </row>
        <row r="147">
          <cell r="A147">
            <v>531.13099999999997</v>
          </cell>
          <cell r="B147" t="str">
            <v>BOP - SEWA</v>
          </cell>
        </row>
        <row r="148">
          <cell r="A148">
            <v>531.14099999999996</v>
          </cell>
          <cell r="B148" t="str">
            <v>BOP - PEMELIHARAAN &amp; PERBAIKAN</v>
          </cell>
        </row>
        <row r="149">
          <cell r="A149">
            <v>531.15099999999995</v>
          </cell>
          <cell r="B149" t="str">
            <v>BOP - PEMAKAIAN</v>
          </cell>
        </row>
        <row r="150">
          <cell r="A150">
            <v>531.16099999999994</v>
          </cell>
          <cell r="B150" t="str">
            <v>BOP - PENNYUSUTAN</v>
          </cell>
        </row>
        <row r="151">
          <cell r="A151">
            <v>531.17100000000005</v>
          </cell>
          <cell r="B151" t="str">
            <v>BOP - ASURANSI</v>
          </cell>
        </row>
        <row r="152">
          <cell r="A152">
            <v>531.18100000000004</v>
          </cell>
          <cell r="B152" t="str">
            <v>BOP - BONGKAR MUAT</v>
          </cell>
        </row>
        <row r="153">
          <cell r="A153">
            <v>531.19100000000003</v>
          </cell>
          <cell r="B153" t="str">
            <v>BOP - KENDARAAN</v>
          </cell>
        </row>
        <row r="154">
          <cell r="A154">
            <v>531.20100000000002</v>
          </cell>
          <cell r="B154" t="str">
            <v>BOP - PEMELIHARAAN MOBIL</v>
          </cell>
        </row>
        <row r="155">
          <cell r="A155">
            <v>531.21100000000001</v>
          </cell>
          <cell r="B155" t="str">
            <v>BOP - PEMBUNGKUS</v>
          </cell>
        </row>
        <row r="156">
          <cell r="A156">
            <v>531.221</v>
          </cell>
          <cell r="B156" t="str">
            <v>BOP - BIAYA IMPORT</v>
          </cell>
        </row>
        <row r="157">
          <cell r="A157">
            <v>531.23099999999999</v>
          </cell>
          <cell r="B157" t="str">
            <v>BOP - Biaya Administrasi</v>
          </cell>
        </row>
        <row r="158">
          <cell r="A158">
            <v>531.24099999999999</v>
          </cell>
          <cell r="B158" t="str">
            <v>BOP - PEMBUATAN</v>
          </cell>
        </row>
        <row r="159">
          <cell r="A159">
            <v>531.25099999999998</v>
          </cell>
          <cell r="B159" t="str">
            <v>BOP - LAIN - LAIN</v>
          </cell>
        </row>
        <row r="160">
          <cell r="A160">
            <v>611.01099999999997</v>
          </cell>
          <cell r="B160" t="str">
            <v>GAJI KARYAWAN</v>
          </cell>
        </row>
        <row r="161">
          <cell r="A161">
            <v>611.02099999999996</v>
          </cell>
          <cell r="B161" t="str">
            <v>BONUS</v>
          </cell>
        </row>
        <row r="162">
          <cell r="A162">
            <v>611.03099999999995</v>
          </cell>
          <cell r="B162" t="str">
            <v>TUNJANGAN MAKAN &amp; MINUM</v>
          </cell>
        </row>
        <row r="163">
          <cell r="A163">
            <v>611.04100000000005</v>
          </cell>
          <cell r="B163" t="str">
            <v>TUNJANGAN KESEHATAN DAN KESEJAHTERAAN</v>
          </cell>
        </row>
        <row r="164">
          <cell r="A164">
            <v>611.05100000000004</v>
          </cell>
          <cell r="B164" t="str">
            <v>TUNJANGAN JAMSOSTEK</v>
          </cell>
        </row>
        <row r="165">
          <cell r="A165">
            <v>611.06100000000004</v>
          </cell>
          <cell r="B165" t="str">
            <v>TUNJANGAN PPH 21</v>
          </cell>
        </row>
        <row r="166">
          <cell r="A166">
            <v>611.101</v>
          </cell>
          <cell r="B166" t="str">
            <v>PERJALANAN</v>
          </cell>
        </row>
        <row r="167">
          <cell r="A167">
            <v>611.10199999999998</v>
          </cell>
          <cell r="B167" t="str">
            <v>AKOMODASI</v>
          </cell>
        </row>
        <row r="168">
          <cell r="A168">
            <v>611.11099999999999</v>
          </cell>
          <cell r="B168" t="str">
            <v>KOMUNIKASI</v>
          </cell>
        </row>
        <row r="169">
          <cell r="A169">
            <v>611.12099999999998</v>
          </cell>
          <cell r="B169" t="str">
            <v>LISTRIK &amp; AIR</v>
          </cell>
        </row>
        <row r="170">
          <cell r="A170">
            <v>611.13099999999997</v>
          </cell>
          <cell r="B170" t="str">
            <v>BEA MATERAI &amp; PAJAK LAINNYA</v>
          </cell>
        </row>
        <row r="171">
          <cell r="A171">
            <v>611.14099999999996</v>
          </cell>
          <cell r="B171" t="str">
            <v>PELAYANAN / ENTERTAINMENT</v>
          </cell>
        </row>
        <row r="172">
          <cell r="A172">
            <v>611.15099999999995</v>
          </cell>
          <cell r="B172" t="str">
            <v>SEWA GEDUNG</v>
          </cell>
        </row>
        <row r="173">
          <cell r="A173">
            <v>611.15200000000004</v>
          </cell>
          <cell r="B173" t="str">
            <v>SEWA MOBIL</v>
          </cell>
        </row>
        <row r="174">
          <cell r="A174">
            <v>611.15300000000002</v>
          </cell>
          <cell r="B174" t="str">
            <v>SEWA PERLENGKAPAN</v>
          </cell>
        </row>
        <row r="175">
          <cell r="A175">
            <v>611.16099999999994</v>
          </cell>
          <cell r="B175" t="str">
            <v>PEMELIHARAAN &amp; PERBAIKAN</v>
          </cell>
        </row>
        <row r="176">
          <cell r="A176">
            <v>611.17100000000005</v>
          </cell>
          <cell r="B176" t="str">
            <v>PEMAKAIAN KANTOR</v>
          </cell>
        </row>
        <row r="177">
          <cell r="A177">
            <v>611.17200000000003</v>
          </cell>
          <cell r="B177" t="str">
            <v>PEMAKAIAN UMUM</v>
          </cell>
        </row>
        <row r="178">
          <cell r="A178">
            <v>611.18100000000004</v>
          </cell>
          <cell r="B178" t="str">
            <v>PENYUSUTAN</v>
          </cell>
        </row>
        <row r="179">
          <cell r="A179">
            <v>611.19100000000003</v>
          </cell>
          <cell r="B179" t="str">
            <v>ASURANSI</v>
          </cell>
        </row>
        <row r="180">
          <cell r="A180">
            <v>611.20100000000002</v>
          </cell>
          <cell r="B180" t="str">
            <v>AMORTISASI</v>
          </cell>
        </row>
        <row r="181">
          <cell r="A181">
            <v>611.21100000000001</v>
          </cell>
          <cell r="B181" t="str">
            <v>PENGIRIMAN</v>
          </cell>
        </row>
        <row r="182">
          <cell r="A182">
            <v>611.221</v>
          </cell>
          <cell r="B182" t="str">
            <v>TRANSPORTASI - Bahan Bakar</v>
          </cell>
        </row>
        <row r="183">
          <cell r="A183">
            <v>611.22199999999998</v>
          </cell>
          <cell r="B183" t="str">
            <v>TRANSPORTASI - Parkir</v>
          </cell>
        </row>
        <row r="184">
          <cell r="A184">
            <v>611.22299999999996</v>
          </cell>
          <cell r="B184" t="str">
            <v>TRANSPORTASI - Toll</v>
          </cell>
        </row>
        <row r="185">
          <cell r="A185">
            <v>611.23099999999999</v>
          </cell>
          <cell r="B185" t="str">
            <v>TRAINING</v>
          </cell>
        </row>
        <row r="186">
          <cell r="A186">
            <v>611.24099999999999</v>
          </cell>
          <cell r="B186" t="str">
            <v>EXPENDITION SHIPING ( EXPORT IMPORT )</v>
          </cell>
        </row>
        <row r="187">
          <cell r="A187">
            <v>611.25099999999998</v>
          </cell>
          <cell r="B187" t="str">
            <v>PROFESIONAL EXPENSE</v>
          </cell>
        </row>
        <row r="188">
          <cell r="A188">
            <v>611.26099999999997</v>
          </cell>
          <cell r="B188" t="str">
            <v>BIAYA ADMINISTRASI</v>
          </cell>
        </row>
        <row r="189">
          <cell r="A189">
            <v>611.27099999999996</v>
          </cell>
          <cell r="B189" t="str">
            <v>KOMISI &amp; ADMIN BANK</v>
          </cell>
        </row>
        <row r="190">
          <cell r="A190">
            <v>611.28099999999995</v>
          </cell>
          <cell r="B190" t="str">
            <v>KOMISI DAN PERIJINAN</v>
          </cell>
        </row>
        <row r="191">
          <cell r="A191">
            <v>611.29100000000005</v>
          </cell>
          <cell r="B191" t="str">
            <v>BIAYA LAIN - LAIN</v>
          </cell>
        </row>
        <row r="192">
          <cell r="A192">
            <v>711.101</v>
          </cell>
          <cell r="B192" t="str">
            <v>PENGHASILAN BUNGA</v>
          </cell>
        </row>
        <row r="193">
          <cell r="A193">
            <v>711.11099999999999</v>
          </cell>
          <cell r="B193" t="str">
            <v>KEUNTUNGAN TUKAR VALAS - TRANSAKSI</v>
          </cell>
        </row>
        <row r="194">
          <cell r="A194">
            <v>711.12099999999998</v>
          </cell>
          <cell r="B194" t="str">
            <v>Keuntungan Tukar Valas - Translation</v>
          </cell>
        </row>
        <row r="195">
          <cell r="A195">
            <v>711.13099999999997</v>
          </cell>
          <cell r="B195" t="str">
            <v>KLAIM</v>
          </cell>
        </row>
        <row r="196">
          <cell r="A196">
            <v>711.14099999999996</v>
          </cell>
          <cell r="B196" t="str">
            <v>KEUNTUNGAN PENJUALAN AKTIVA</v>
          </cell>
        </row>
        <row r="197">
          <cell r="A197">
            <v>711.15099999999995</v>
          </cell>
          <cell r="B197" t="str">
            <v>PENGHASILAN LAIN - LAIN</v>
          </cell>
        </row>
        <row r="198">
          <cell r="A198">
            <v>811.101</v>
          </cell>
          <cell r="B198" t="str">
            <v>BEBAN BUNGA</v>
          </cell>
        </row>
        <row r="199">
          <cell r="A199">
            <v>811.11099999999999</v>
          </cell>
          <cell r="B199" t="str">
            <v>KERUGIAN TUKAR VALAS - TRANSAKSI</v>
          </cell>
        </row>
        <row r="200">
          <cell r="A200">
            <v>811.12099999999998</v>
          </cell>
          <cell r="B200" t="str">
            <v>Kerugian Tukar Valas - Translation</v>
          </cell>
        </row>
        <row r="201">
          <cell r="A201">
            <v>811.13099999999997</v>
          </cell>
          <cell r="B201" t="str">
            <v>SUMBANGAN</v>
          </cell>
        </row>
        <row r="202">
          <cell r="A202">
            <v>811.14099999999996</v>
          </cell>
          <cell r="B202" t="str">
            <v>KERUGIAN PENJUALAN AKTIVA</v>
          </cell>
        </row>
        <row r="203">
          <cell r="A203">
            <v>811.15099999999995</v>
          </cell>
          <cell r="B203" t="str">
            <v>KERUGIAN LAIN - LAIN</v>
          </cell>
        </row>
        <row r="204">
          <cell r="B204" t="str">
            <v>AKTIVA LANCAR</v>
          </cell>
        </row>
        <row r="208">
          <cell r="B208" t="str">
            <v>PERSEDIAAN</v>
          </cell>
        </row>
        <row r="210">
          <cell r="B210" t="str">
            <v>AKTIVA LANCAR LAINNYA</v>
          </cell>
        </row>
        <row r="212">
          <cell r="B212" t="str">
            <v>AKTIVA TETAP</v>
          </cell>
        </row>
        <row r="214">
          <cell r="B214" t="str">
            <v>AKTIVA YANG DITANGGUHKAN</v>
          </cell>
        </row>
        <row r="217">
          <cell r="B217" t="str">
            <v>PASSIVA</v>
          </cell>
        </row>
        <row r="218">
          <cell r="B218" t="str">
            <v>HUTANG LANCAR</v>
          </cell>
        </row>
        <row r="222">
          <cell r="B222" t="str">
            <v>HUTANG JANGKA PANJANG</v>
          </cell>
        </row>
        <row r="224">
          <cell r="B224" t="str">
            <v>KEKAYAAN PEMEGANG SAHAM</v>
          </cell>
        </row>
        <row r="227">
          <cell r="B227" t="str">
            <v>PENJUALAN</v>
          </cell>
        </row>
        <row r="231">
          <cell r="B231" t="str">
            <v>BIAYA MATERIAL</v>
          </cell>
        </row>
        <row r="233">
          <cell r="B233" t="str">
            <v>BIAYA TENAGA KERJA</v>
          </cell>
        </row>
        <row r="235">
          <cell r="B235" t="str">
            <v>BIAYA OVERHEAD PABRIK</v>
          </cell>
        </row>
        <row r="237">
          <cell r="B237" t="str">
            <v>BIAYA TENAGA KERJA</v>
          </cell>
        </row>
        <row r="239">
          <cell r="B239" t="str">
            <v>BIAYA PENJUALAN DAN UMUM</v>
          </cell>
        </row>
        <row r="241">
          <cell r="B241" t="str">
            <v>PENGHASILAN DILUAR USAHA</v>
          </cell>
        </row>
        <row r="243">
          <cell r="B243" t="str">
            <v>BIAYA DILUAR USAHA</v>
          </cell>
        </row>
        <row r="246">
          <cell r="B246" t="str">
            <v>TOTAL</v>
          </cell>
        </row>
        <row r="388">
          <cell r="B388">
            <v>213.17099999999999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ual"/>
      <sheetName val="원재료장부"/>
      <sheetName val="1월"/>
      <sheetName val="2"/>
      <sheetName val="3"/>
      <sheetName val="4월"/>
      <sheetName val="5월"/>
      <sheetName val="6월"/>
      <sheetName val="7월"/>
      <sheetName val="8월"/>
      <sheetName val="9월"/>
      <sheetName val="10"/>
      <sheetName val="11월"/>
      <sheetName val="12월"/>
      <sheetName val="원재료외자"/>
      <sheetName val="원재료내자"/>
      <sheetName val="잡자재외자"/>
      <sheetName val="잡자재내자"/>
      <sheetName val="연구용원재료대체"/>
      <sheetName val="2001원재료수불부_최종"/>
      <sheetName val="2001Spectrometer _최종"/>
      <sheetName val="2001원재료수불부"/>
      <sheetName val="2001Spectrometer"/>
      <sheetName val="2001원재료수불부 _중간"/>
      <sheetName val="2001Spectrometer _중간"/>
      <sheetName val="원_VL"/>
      <sheetName val="스펙_VL"/>
      <sheetName val="차입금"/>
      <sheetName val="완성차 미수금"/>
      <sheetName val="3110-2"/>
      <sheetName val="기준정보"/>
      <sheetName val="Working"/>
      <sheetName val="0608 _Fnl_"/>
      <sheetName val="slip gaji APRIL 09"/>
      <sheetName val="붙임2-1  지급조서명세서(2001년분)"/>
      <sheetName val="Sheet2"/>
      <sheetName val="XREF"/>
      <sheetName val="Macro1"/>
      <sheetName val="외화평가"/>
      <sheetName val="반품"/>
      <sheetName val="기획1"/>
      <sheetName val="정상"/>
      <sheetName val="폐기-090831"/>
      <sheetName val="운용미수"/>
      <sheetName val="35~37기추정손익계산서"/>
      <sheetName val="99퇴직"/>
      <sheetName val="시뮬레이션정보"/>
      <sheetName val="대손검토"/>
      <sheetName val="Menu_Link"/>
      <sheetName val="대차대조표"/>
      <sheetName val="마감장"/>
      <sheetName val="재공품"/>
      <sheetName val="타과목"/>
      <sheetName val="Purchase by supplier"/>
      <sheetName val="Purchase by category"/>
      <sheetName val="ageing testing"/>
      <sheetName val="Lead"/>
      <sheetName val="Sales"/>
      <sheetName val="Inventory"/>
      <sheetName val="Other Income"/>
      <sheetName val="FA Movement"/>
      <sheetName val="Selling Expense"/>
      <sheetName val="Manufacture Expense"/>
      <sheetName val="G&amp;A Expense"/>
      <sheetName val="Sheet1"/>
      <sheetName val="무형"/>
      <sheetName val="발생집계"/>
      <sheetName val="Intro2"/>
      <sheetName val="선비명세2"/>
      <sheetName val="누계실적6"/>
      <sheetName val="자재,노무CODE"/>
      <sheetName val="금융리스"/>
      <sheetName val="Assumptions_02"/>
      <sheetName val="Links"/>
      <sheetName val="MatchCode"/>
      <sheetName val="부서별"/>
      <sheetName val="basic_info"/>
      <sheetName val="회사정보"/>
      <sheetName val="신제품지원"/>
      <sheetName val="보험료"/>
      <sheetName val="외주현황.wq1"/>
      <sheetName val="기초해지2"/>
      <sheetName val="참조"/>
      <sheetName val="유형자산증감"/>
      <sheetName val="Assumptions"/>
      <sheetName val="SCF"/>
      <sheetName val="TOWER 10TON"/>
      <sheetName val="替代程序 CDE"/>
      <sheetName val="Assets"/>
      <sheetName val="DataEntry"/>
      <sheetName val="CAUDIT"/>
      <sheetName val="FA-LISTING"/>
      <sheetName val="Cash&amp;Bank Group Reporting"/>
      <sheetName val="INFG1198"/>
      <sheetName val="INMD1198"/>
      <sheetName val="预收预付OROP"/>
      <sheetName val="EurotoolsXRates"/>
      <sheetName val="FA"/>
      <sheetName val="OP-YZ"/>
      <sheetName val="Sheet5(실지급)"/>
      <sheetName val="비교손익계산서"/>
      <sheetName val="TEMP1"/>
      <sheetName val="TEMP2"/>
      <sheetName val="14.리스"/>
      <sheetName val="DS-최종"/>
      <sheetName val="신기술(비상장)0412"/>
      <sheetName val="리드"/>
      <sheetName val="후순위채05.01.20"/>
      <sheetName val="여신보고용"/>
      <sheetName val="업무분장 "/>
      <sheetName val="3-31"/>
      <sheetName val="SUP-03"/>
      <sheetName val="Inventory_0331"/>
      <sheetName val="Cover"/>
      <sheetName val="재고현황(Unit)"/>
      <sheetName val="MAT"/>
      <sheetName val="업무분장(현행)"/>
      <sheetName val="Asset9809CAK"/>
      <sheetName val="Factor"/>
      <sheetName val="Attachement"/>
      <sheetName val="Master"/>
      <sheetName val="Draft"/>
      <sheetName val="标本-资产"/>
      <sheetName val="서울판관-공통부문"/>
      <sheetName val="재료비"/>
      <sheetName val="득점현황"/>
      <sheetName val="손익정산(최종판)"/>
      <sheetName val="sales "/>
      <sheetName val="Walkthrough "/>
      <sheetName val="정산표"/>
      <sheetName val="97년추정손익계산서"/>
      <sheetName val="Validation"/>
      <sheetName val="실행철강하도"/>
      <sheetName val="인건비 내역서"/>
      <sheetName val="Lguide"/>
      <sheetName val="추정99"/>
      <sheetName val="#REF!"/>
      <sheetName val="D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2">
          <cell r="E2" t="str">
            <v>100E512MMS500X</v>
          </cell>
          <cell r="F2" t="str">
            <v>Cab</v>
          </cell>
          <cell r="G2">
            <v>1</v>
          </cell>
        </row>
        <row r="3">
          <cell r="E3" t="str">
            <v>CAB BOARD</v>
          </cell>
          <cell r="F3" t="str">
            <v>Cab</v>
          </cell>
          <cell r="G3">
            <v>2</v>
          </cell>
          <cell r="J3" t="str">
            <v>100E512MMS500X</v>
          </cell>
          <cell r="K3">
            <v>17477.599999999999</v>
          </cell>
        </row>
        <row r="4">
          <cell r="E4" t="str">
            <v>CAB BOX</v>
          </cell>
          <cell r="F4" t="str">
            <v>Cab</v>
          </cell>
          <cell r="G4">
            <v>3</v>
          </cell>
          <cell r="J4" t="str">
            <v>CAB BOARD</v>
          </cell>
          <cell r="K4">
            <v>10000</v>
          </cell>
          <cell r="O4" t="str">
            <v>당기입고</v>
          </cell>
          <cell r="Q4" t="str">
            <v>00년 1-12월 입고</v>
          </cell>
          <cell r="S4" t="str">
            <v>단가</v>
          </cell>
          <cell r="T4" t="str">
            <v>제품매출원가</v>
          </cell>
          <cell r="V4" t="str">
            <v>타계정대체</v>
          </cell>
          <cell r="X4" t="str">
            <v>기말재고</v>
          </cell>
          <cell r="Z4" t="str">
            <v>미착품</v>
          </cell>
          <cell r="AA4" t="str">
            <v>1월입고</v>
          </cell>
          <cell r="AB4" t="str">
            <v>1월출고</v>
          </cell>
          <cell r="AC4" t="str">
            <v>재고계</v>
          </cell>
          <cell r="AD4" t="str">
            <v>실물수량(1/20)</v>
          </cell>
          <cell r="AH4" t="str">
            <v>이관</v>
          </cell>
          <cell r="AK4" t="str">
            <v>이관</v>
          </cell>
        </row>
        <row r="5">
          <cell r="E5" t="str">
            <v>CAB2 COVER</v>
          </cell>
          <cell r="F5" t="str">
            <v>Cab</v>
          </cell>
          <cell r="G5">
            <v>4</v>
          </cell>
          <cell r="J5" t="str">
            <v>CAB BOX</v>
          </cell>
          <cell r="K5">
            <v>182000</v>
          </cell>
          <cell r="N5" t="str">
            <v>부    품    명</v>
          </cell>
          <cell r="O5" t="str">
            <v>수량</v>
          </cell>
          <cell r="P5" t="str">
            <v>금액</v>
          </cell>
          <cell r="Q5" t="str">
            <v>수량</v>
          </cell>
          <cell r="R5" t="str">
            <v>금액</v>
          </cell>
          <cell r="T5" t="str">
            <v>수량</v>
          </cell>
          <cell r="U5" t="str">
            <v>금액</v>
          </cell>
          <cell r="V5" t="str">
            <v>수량</v>
          </cell>
          <cell r="W5" t="str">
            <v>금액</v>
          </cell>
          <cell r="X5" t="str">
            <v>수량</v>
          </cell>
          <cell r="Y5" t="str">
            <v>금액</v>
          </cell>
          <cell r="Z5" t="str">
            <v>수량</v>
          </cell>
          <cell r="AA5" t="str">
            <v>수량</v>
          </cell>
          <cell r="AB5" t="str">
            <v>수량</v>
          </cell>
          <cell r="AC5" t="str">
            <v>수량</v>
          </cell>
          <cell r="AD5" t="str">
            <v>본사</v>
          </cell>
          <cell r="AE5" t="str">
            <v>창고</v>
          </cell>
          <cell r="AF5" t="str">
            <v>거래</v>
          </cell>
          <cell r="AG5" t="str">
            <v>계</v>
          </cell>
          <cell r="AH5" t="str">
            <v>잉여</v>
          </cell>
          <cell r="AI5" t="str">
            <v>전주</v>
          </cell>
          <cell r="AJ5" t="str">
            <v>이관계</v>
          </cell>
          <cell r="AK5" t="str">
            <v>본사</v>
          </cell>
          <cell r="AL5" t="str">
            <v>창고</v>
          </cell>
          <cell r="AM5" t="str">
            <v>거래</v>
          </cell>
          <cell r="AN5" t="str">
            <v>이관계</v>
          </cell>
        </row>
        <row r="6">
          <cell r="E6" t="str">
            <v>CAPACITOR 100C272JAR300X</v>
          </cell>
          <cell r="F6" t="str">
            <v>Cab</v>
          </cell>
          <cell r="G6">
            <v>5</v>
          </cell>
          <cell r="J6" t="str">
            <v>CAB2 COVER</v>
          </cell>
          <cell r="K6">
            <v>325000</v>
          </cell>
          <cell r="N6" t="str">
            <v>100E512MMS500X</v>
          </cell>
          <cell r="O6">
            <v>80</v>
          </cell>
          <cell r="P6">
            <v>1398208</v>
          </cell>
          <cell r="Q6">
            <v>80</v>
          </cell>
          <cell r="R6">
            <v>1398208</v>
          </cell>
          <cell r="S6">
            <v>17477.599999999999</v>
          </cell>
          <cell r="T6">
            <v>80</v>
          </cell>
          <cell r="U6">
            <v>1398208</v>
          </cell>
          <cell r="W6">
            <v>0</v>
          </cell>
          <cell r="X6">
            <v>0</v>
          </cell>
          <cell r="Y6">
            <v>0</v>
          </cell>
          <cell r="AC6">
            <v>0</v>
          </cell>
          <cell r="AD6">
            <v>0</v>
          </cell>
          <cell r="AG6">
            <v>0</v>
          </cell>
          <cell r="AJ6">
            <v>0</v>
          </cell>
          <cell r="AN6">
            <v>0</v>
          </cell>
        </row>
        <row r="7">
          <cell r="E7" t="str">
            <v>2구 콘센트 5m</v>
          </cell>
          <cell r="F7" t="str">
            <v>Cable</v>
          </cell>
          <cell r="G7">
            <v>6</v>
          </cell>
          <cell r="J7" t="str">
            <v>CAPACITOR 100C272JAR300X</v>
          </cell>
          <cell r="K7">
            <v>11940.027613412229</v>
          </cell>
          <cell r="N7" t="str">
            <v>CAB BOARD</v>
          </cell>
          <cell r="O7">
            <v>30</v>
          </cell>
          <cell r="P7">
            <v>300000</v>
          </cell>
          <cell r="Q7">
            <v>50</v>
          </cell>
          <cell r="R7">
            <v>550000</v>
          </cell>
          <cell r="S7">
            <v>11000</v>
          </cell>
          <cell r="T7">
            <v>38</v>
          </cell>
          <cell r="U7">
            <v>418000</v>
          </cell>
          <cell r="V7">
            <v>1</v>
          </cell>
          <cell r="W7">
            <v>11000</v>
          </cell>
          <cell r="X7">
            <v>11</v>
          </cell>
          <cell r="Y7">
            <v>121000</v>
          </cell>
          <cell r="AC7">
            <v>11</v>
          </cell>
          <cell r="AD7">
            <v>11</v>
          </cell>
          <cell r="AG7">
            <v>11</v>
          </cell>
          <cell r="AI7">
            <v>1</v>
          </cell>
          <cell r="AJ7">
            <v>1</v>
          </cell>
          <cell r="AK7">
            <v>1</v>
          </cell>
          <cell r="AN7">
            <v>1</v>
          </cell>
        </row>
        <row r="8">
          <cell r="E8" t="str">
            <v>CBL-CIP-DATA-M</v>
          </cell>
          <cell r="F8" t="str">
            <v>Cable</v>
          </cell>
          <cell r="G8">
            <v>7</v>
          </cell>
          <cell r="J8" t="str">
            <v>2구 콘센트 5m</v>
          </cell>
          <cell r="K8">
            <v>10500</v>
          </cell>
          <cell r="N8" t="str">
            <v>CAB BOX</v>
          </cell>
          <cell r="O8">
            <v>32</v>
          </cell>
          <cell r="P8">
            <v>5824000</v>
          </cell>
          <cell r="Q8">
            <v>38</v>
          </cell>
          <cell r="R8">
            <v>6916000</v>
          </cell>
          <cell r="S8">
            <v>182000</v>
          </cell>
          <cell r="T8">
            <v>30</v>
          </cell>
          <cell r="U8">
            <v>5460000</v>
          </cell>
          <cell r="V8">
            <v>1</v>
          </cell>
          <cell r="W8">
            <v>182000</v>
          </cell>
          <cell r="X8">
            <v>7</v>
          </cell>
          <cell r="Y8">
            <v>1274000</v>
          </cell>
          <cell r="AB8">
            <v>1</v>
          </cell>
          <cell r="AC8">
            <v>6</v>
          </cell>
          <cell r="AD8">
            <v>6</v>
          </cell>
          <cell r="AG8">
            <v>6</v>
          </cell>
          <cell r="AI8">
            <v>1</v>
          </cell>
          <cell r="AJ8">
            <v>1</v>
          </cell>
          <cell r="AK8">
            <v>1</v>
          </cell>
          <cell r="AN8">
            <v>1</v>
          </cell>
        </row>
        <row r="9">
          <cell r="E9" t="str">
            <v>CBL-CIP-DATA-S</v>
          </cell>
          <cell r="F9" t="str">
            <v>Cable</v>
          </cell>
          <cell r="G9">
            <v>8</v>
          </cell>
          <cell r="J9" t="str">
            <v>CBL-CIP-DATA-M</v>
          </cell>
          <cell r="K9">
            <v>53500</v>
          </cell>
          <cell r="N9" t="str">
            <v>CAB2 COVER</v>
          </cell>
          <cell r="O9">
            <v>20</v>
          </cell>
          <cell r="P9">
            <v>6500000</v>
          </cell>
          <cell r="Q9">
            <v>20</v>
          </cell>
          <cell r="R9">
            <v>6500000</v>
          </cell>
          <cell r="S9">
            <v>325000</v>
          </cell>
          <cell r="T9">
            <v>6</v>
          </cell>
          <cell r="U9">
            <v>1950000</v>
          </cell>
          <cell r="W9">
            <v>0</v>
          </cell>
          <cell r="X9">
            <v>14</v>
          </cell>
          <cell r="Y9">
            <v>4550000</v>
          </cell>
          <cell r="AC9">
            <v>14</v>
          </cell>
          <cell r="AD9">
            <v>14</v>
          </cell>
          <cell r="AG9">
            <v>14</v>
          </cell>
          <cell r="AJ9">
            <v>0</v>
          </cell>
          <cell r="AN9">
            <v>0</v>
          </cell>
        </row>
        <row r="10">
          <cell r="E10" t="str">
            <v>CBL-CON-PWR</v>
          </cell>
          <cell r="F10" t="str">
            <v>Cable</v>
          </cell>
          <cell r="G10">
            <v>9</v>
          </cell>
          <cell r="J10" t="str">
            <v>CBL-CIP-DATA-S</v>
          </cell>
          <cell r="K10">
            <v>66000</v>
          </cell>
          <cell r="N10" t="str">
            <v>CAPACITOR 100C272JAR300X</v>
          </cell>
          <cell r="O10">
            <v>507</v>
          </cell>
          <cell r="P10">
            <v>6053594</v>
          </cell>
          <cell r="Q10">
            <v>507</v>
          </cell>
          <cell r="R10">
            <v>6053594</v>
          </cell>
          <cell r="S10">
            <v>11940.027613412229</v>
          </cell>
          <cell r="T10">
            <v>247</v>
          </cell>
          <cell r="U10">
            <v>2949187</v>
          </cell>
          <cell r="W10">
            <v>0</v>
          </cell>
          <cell r="X10">
            <v>260</v>
          </cell>
          <cell r="Y10">
            <v>3104407</v>
          </cell>
          <cell r="AC10">
            <v>260</v>
          </cell>
          <cell r="AD10">
            <v>260</v>
          </cell>
          <cell r="AG10">
            <v>260</v>
          </cell>
          <cell r="AJ10">
            <v>0</v>
          </cell>
          <cell r="AN10">
            <v>0</v>
          </cell>
        </row>
        <row r="11">
          <cell r="E11" t="str">
            <v>CBL-COU-PWR</v>
          </cell>
          <cell r="F11" t="str">
            <v>Cable</v>
          </cell>
          <cell r="G11">
            <v>10</v>
          </cell>
          <cell r="J11" t="str">
            <v>CBL-CON-PWR</v>
          </cell>
          <cell r="K11">
            <v>46000</v>
          </cell>
          <cell r="N11" t="str">
            <v>2구 콘센트 5m</v>
          </cell>
          <cell r="O11">
            <v>5</v>
          </cell>
          <cell r="P11">
            <v>52500</v>
          </cell>
          <cell r="Q11">
            <v>5</v>
          </cell>
          <cell r="R11">
            <v>52500</v>
          </cell>
          <cell r="S11">
            <v>10500</v>
          </cell>
          <cell r="T11">
            <v>5</v>
          </cell>
          <cell r="U11">
            <v>52500</v>
          </cell>
          <cell r="W11">
            <v>0</v>
          </cell>
          <cell r="X11">
            <v>0</v>
          </cell>
          <cell r="Y11">
            <v>0</v>
          </cell>
          <cell r="AC11">
            <v>0</v>
          </cell>
          <cell r="AG11">
            <v>0</v>
          </cell>
          <cell r="AJ11">
            <v>0</v>
          </cell>
          <cell r="AN11">
            <v>0</v>
          </cell>
        </row>
        <row r="12">
          <cell r="E12" t="str">
            <v>CBL-FSJ1P</v>
          </cell>
          <cell r="F12" t="str">
            <v>Cable</v>
          </cell>
          <cell r="G12">
            <v>11</v>
          </cell>
          <cell r="J12" t="str">
            <v>CBL-COU-PWR</v>
          </cell>
          <cell r="K12">
            <v>18000</v>
          </cell>
          <cell r="N12" t="str">
            <v>CBL-CIP-DATA-M</v>
          </cell>
          <cell r="O12">
            <v>20</v>
          </cell>
          <cell r="P12">
            <v>1070000</v>
          </cell>
          <cell r="Q12">
            <v>20</v>
          </cell>
          <cell r="R12">
            <v>1070000</v>
          </cell>
          <cell r="S12">
            <v>53500</v>
          </cell>
          <cell r="T12">
            <v>2</v>
          </cell>
          <cell r="U12">
            <v>107000</v>
          </cell>
          <cell r="V12">
            <v>1</v>
          </cell>
          <cell r="W12">
            <v>53500</v>
          </cell>
          <cell r="X12">
            <v>17</v>
          </cell>
          <cell r="Y12">
            <v>909500</v>
          </cell>
          <cell r="AB12">
            <v>1</v>
          </cell>
          <cell r="AC12">
            <v>16</v>
          </cell>
          <cell r="AD12">
            <v>2</v>
          </cell>
          <cell r="AE12">
            <v>14</v>
          </cell>
          <cell r="AG12">
            <v>16</v>
          </cell>
          <cell r="AJ12">
            <v>0</v>
          </cell>
          <cell r="AN12">
            <v>0</v>
          </cell>
        </row>
        <row r="13">
          <cell r="E13" t="str">
            <v>CBL-GRAD-M</v>
          </cell>
          <cell r="F13" t="str">
            <v>Cable</v>
          </cell>
          <cell r="G13">
            <v>12</v>
          </cell>
          <cell r="J13" t="str">
            <v>CBL-FSJ1P</v>
          </cell>
          <cell r="K13" t="e">
            <v>#DIV/0!</v>
          </cell>
          <cell r="N13" t="str">
            <v>CBL-CIP-DATA-S</v>
          </cell>
          <cell r="O13">
            <v>20</v>
          </cell>
          <cell r="P13">
            <v>1320000</v>
          </cell>
          <cell r="Q13">
            <v>20</v>
          </cell>
          <cell r="R13">
            <v>1320000</v>
          </cell>
          <cell r="S13">
            <v>66000</v>
          </cell>
          <cell r="T13">
            <v>3</v>
          </cell>
          <cell r="U13">
            <v>198000</v>
          </cell>
          <cell r="V13">
            <v>1</v>
          </cell>
          <cell r="W13">
            <v>66000</v>
          </cell>
          <cell r="X13">
            <v>16</v>
          </cell>
          <cell r="Y13">
            <v>1056000</v>
          </cell>
          <cell r="AB13">
            <v>1</v>
          </cell>
          <cell r="AC13">
            <v>15</v>
          </cell>
          <cell r="AD13">
            <v>1</v>
          </cell>
          <cell r="AE13">
            <v>14</v>
          </cell>
          <cell r="AG13">
            <v>15</v>
          </cell>
          <cell r="AJ13">
            <v>0</v>
          </cell>
          <cell r="AN13">
            <v>0</v>
          </cell>
        </row>
        <row r="14">
          <cell r="E14" t="str">
            <v>CBL-GRAD-S</v>
          </cell>
          <cell r="F14" t="str">
            <v>Cable</v>
          </cell>
          <cell r="G14">
            <v>13</v>
          </cell>
          <cell r="J14" t="str">
            <v>CBL-GRAD-M</v>
          </cell>
          <cell r="K14">
            <v>36500</v>
          </cell>
          <cell r="N14" t="str">
            <v>CBL-CON-PWR</v>
          </cell>
          <cell r="O14">
            <v>5</v>
          </cell>
          <cell r="P14">
            <v>230000</v>
          </cell>
          <cell r="Q14">
            <v>27</v>
          </cell>
          <cell r="R14">
            <v>1203040</v>
          </cell>
          <cell r="S14">
            <v>44557.037037037036</v>
          </cell>
          <cell r="T14">
            <v>9</v>
          </cell>
          <cell r="U14">
            <v>401013</v>
          </cell>
          <cell r="V14">
            <v>2</v>
          </cell>
          <cell r="W14">
            <v>89114</v>
          </cell>
          <cell r="X14">
            <v>16</v>
          </cell>
          <cell r="Y14">
            <v>712913</v>
          </cell>
          <cell r="AC14">
            <v>16</v>
          </cell>
          <cell r="AE14">
            <v>16</v>
          </cell>
          <cell r="AG14">
            <v>16</v>
          </cell>
          <cell r="AJ14">
            <v>0</v>
          </cell>
          <cell r="AN14">
            <v>0</v>
          </cell>
        </row>
        <row r="15">
          <cell r="E15" t="str">
            <v>CBL-GRA-PWR</v>
          </cell>
          <cell r="F15" t="str">
            <v>Cable</v>
          </cell>
          <cell r="G15">
            <v>14</v>
          </cell>
          <cell r="J15" t="str">
            <v>CBL-GRAD-S</v>
          </cell>
          <cell r="K15">
            <v>41000</v>
          </cell>
          <cell r="N15" t="str">
            <v>CBL-COU-PWR</v>
          </cell>
          <cell r="O15">
            <v>12</v>
          </cell>
          <cell r="P15">
            <v>216000</v>
          </cell>
          <cell r="Q15">
            <v>42</v>
          </cell>
          <cell r="R15">
            <v>739518</v>
          </cell>
          <cell r="S15">
            <v>17607.571428571428</v>
          </cell>
          <cell r="T15">
            <v>24</v>
          </cell>
          <cell r="U15">
            <v>422582</v>
          </cell>
          <cell r="V15">
            <v>2</v>
          </cell>
          <cell r="W15">
            <v>35215</v>
          </cell>
          <cell r="X15">
            <v>16</v>
          </cell>
          <cell r="Y15">
            <v>281721</v>
          </cell>
          <cell r="AC15">
            <v>16</v>
          </cell>
          <cell r="AE15">
            <v>16</v>
          </cell>
          <cell r="AG15">
            <v>16</v>
          </cell>
          <cell r="AJ15">
            <v>0</v>
          </cell>
          <cell r="AN15">
            <v>0</v>
          </cell>
        </row>
        <row r="16">
          <cell r="E16" t="str">
            <v>CBL-M10-G08</v>
          </cell>
          <cell r="F16" t="str">
            <v>Cable</v>
          </cell>
          <cell r="G16">
            <v>15</v>
          </cell>
          <cell r="J16" t="str">
            <v>CBL-GRA-PWR</v>
          </cell>
          <cell r="K16">
            <v>28000</v>
          </cell>
          <cell r="N16" t="str">
            <v>CBL-FSJ1P</v>
          </cell>
          <cell r="O16">
            <v>0</v>
          </cell>
          <cell r="P16">
            <v>0</v>
          </cell>
          <cell r="Q16">
            <v>262.8</v>
          </cell>
          <cell r="R16">
            <v>43388137</v>
          </cell>
          <cell r="S16">
            <v>165099.45585996954</v>
          </cell>
          <cell r="T16">
            <v>2.8000000000000114</v>
          </cell>
          <cell r="U16">
            <v>462278</v>
          </cell>
          <cell r="W16">
            <v>0</v>
          </cell>
          <cell r="X16">
            <v>260</v>
          </cell>
          <cell r="Y16">
            <v>42925859</v>
          </cell>
          <cell r="AC16">
            <v>260</v>
          </cell>
          <cell r="AD16">
            <v>260</v>
          </cell>
          <cell r="AG16">
            <v>260</v>
          </cell>
          <cell r="AJ16">
            <v>0</v>
          </cell>
          <cell r="AN16">
            <v>0</v>
          </cell>
        </row>
        <row r="17">
          <cell r="E17" t="str">
            <v>CBL-M10-G10</v>
          </cell>
          <cell r="F17" t="str">
            <v>Cable</v>
          </cell>
          <cell r="G17">
            <v>16</v>
          </cell>
          <cell r="J17" t="str">
            <v>CBL-M10-G08</v>
          </cell>
          <cell r="K17">
            <v>16340.845070422536</v>
          </cell>
          <cell r="N17" t="str">
            <v>CBL-GRAD-M</v>
          </cell>
          <cell r="O17">
            <v>23</v>
          </cell>
          <cell r="P17">
            <v>839500</v>
          </cell>
          <cell r="Q17">
            <v>44</v>
          </cell>
          <cell r="R17">
            <v>5675545</v>
          </cell>
          <cell r="S17">
            <v>128989.65909090909</v>
          </cell>
          <cell r="T17">
            <v>23</v>
          </cell>
          <cell r="U17">
            <v>2966762</v>
          </cell>
          <cell r="V17">
            <v>3</v>
          </cell>
          <cell r="W17">
            <v>386969</v>
          </cell>
          <cell r="X17">
            <v>18</v>
          </cell>
          <cell r="Y17">
            <v>2321814</v>
          </cell>
          <cell r="AC17">
            <v>18</v>
          </cell>
          <cell r="AE17">
            <v>18</v>
          </cell>
          <cell r="AG17">
            <v>18</v>
          </cell>
          <cell r="AJ17">
            <v>0</v>
          </cell>
          <cell r="AN17">
            <v>0</v>
          </cell>
        </row>
        <row r="18">
          <cell r="E18" t="str">
            <v>CBL-RFL-RXS</v>
          </cell>
          <cell r="F18" t="str">
            <v>Cable</v>
          </cell>
          <cell r="G18">
            <v>17</v>
          </cell>
          <cell r="J18" t="str">
            <v>CBL-M10-G10</v>
          </cell>
          <cell r="K18">
            <v>21800</v>
          </cell>
          <cell r="N18" t="str">
            <v>CBL-GRAD-S</v>
          </cell>
          <cell r="O18">
            <v>27</v>
          </cell>
          <cell r="P18">
            <v>1107000</v>
          </cell>
          <cell r="Q18">
            <v>48</v>
          </cell>
          <cell r="R18">
            <v>5966757</v>
          </cell>
          <cell r="S18">
            <v>124307.4375</v>
          </cell>
          <cell r="T18">
            <v>23</v>
          </cell>
          <cell r="U18">
            <v>2859071</v>
          </cell>
          <cell r="V18">
            <v>3</v>
          </cell>
          <cell r="W18">
            <v>372922</v>
          </cell>
          <cell r="X18">
            <v>22</v>
          </cell>
          <cell r="Y18">
            <v>2734764</v>
          </cell>
          <cell r="AC18">
            <v>22</v>
          </cell>
          <cell r="AE18">
            <v>22</v>
          </cell>
          <cell r="AG18">
            <v>22</v>
          </cell>
          <cell r="AJ18">
            <v>0</v>
          </cell>
          <cell r="AN18">
            <v>0</v>
          </cell>
        </row>
        <row r="19">
          <cell r="E19" t="str">
            <v>GRADIENT CABLE(500m)</v>
          </cell>
          <cell r="F19" t="str">
            <v>Cable</v>
          </cell>
          <cell r="G19">
            <v>18</v>
          </cell>
          <cell r="J19" t="str">
            <v>CBL-RFL-RXS</v>
          </cell>
          <cell r="K19">
            <v>14000</v>
          </cell>
          <cell r="N19" t="str">
            <v>CBL-GRA-PWR</v>
          </cell>
          <cell r="O19">
            <v>18</v>
          </cell>
          <cell r="P19">
            <v>504000</v>
          </cell>
          <cell r="Q19">
            <v>25</v>
          </cell>
          <cell r="R19">
            <v>880596</v>
          </cell>
          <cell r="S19">
            <v>35223.839999999997</v>
          </cell>
          <cell r="T19">
            <v>3</v>
          </cell>
          <cell r="U19">
            <v>105672</v>
          </cell>
          <cell r="V19">
            <v>1</v>
          </cell>
          <cell r="W19">
            <v>35224</v>
          </cell>
          <cell r="X19">
            <v>21</v>
          </cell>
          <cell r="Y19">
            <v>739700</v>
          </cell>
          <cell r="AC19">
            <v>21</v>
          </cell>
          <cell r="AE19">
            <v>21</v>
          </cell>
          <cell r="AG19">
            <v>21</v>
          </cell>
          <cell r="AJ19">
            <v>0</v>
          </cell>
          <cell r="AN19">
            <v>0</v>
          </cell>
        </row>
        <row r="20">
          <cell r="E20" t="str">
            <v>GROUND CABLE 13M</v>
          </cell>
          <cell r="F20" t="str">
            <v>Cable</v>
          </cell>
          <cell r="G20">
            <v>19</v>
          </cell>
          <cell r="J20" t="str">
            <v>GRADIENT CABLE(500m)</v>
          </cell>
          <cell r="K20">
            <v>30000</v>
          </cell>
          <cell r="N20" t="str">
            <v>CBL-M10-G08</v>
          </cell>
          <cell r="O20">
            <v>71</v>
          </cell>
          <cell r="P20">
            <v>1160200</v>
          </cell>
          <cell r="Q20">
            <v>110</v>
          </cell>
          <cell r="R20">
            <v>1923938</v>
          </cell>
          <cell r="S20">
            <v>17490.345454545455</v>
          </cell>
          <cell r="T20">
            <v>53</v>
          </cell>
          <cell r="U20">
            <v>926988</v>
          </cell>
          <cell r="V20">
            <v>6</v>
          </cell>
          <cell r="W20">
            <v>104942</v>
          </cell>
          <cell r="X20">
            <v>51</v>
          </cell>
          <cell r="Y20">
            <v>892008</v>
          </cell>
          <cell r="AC20">
            <v>51</v>
          </cell>
          <cell r="AE20">
            <v>51</v>
          </cell>
          <cell r="AG20">
            <v>51</v>
          </cell>
          <cell r="AJ20">
            <v>0</v>
          </cell>
          <cell r="AN20">
            <v>0</v>
          </cell>
        </row>
        <row r="21">
          <cell r="E21" t="str">
            <v>RS-232(3M)</v>
          </cell>
          <cell r="F21" t="str">
            <v>Cable</v>
          </cell>
          <cell r="G21">
            <v>20</v>
          </cell>
          <cell r="J21" t="str">
            <v>GROUND CABLE 13M</v>
          </cell>
          <cell r="K21" t="e">
            <v>#DIV/0!</v>
          </cell>
          <cell r="N21" t="str">
            <v>CBL-M10-G10</v>
          </cell>
          <cell r="O21">
            <v>27</v>
          </cell>
          <cell r="P21">
            <v>588600</v>
          </cell>
          <cell r="Q21">
            <v>57</v>
          </cell>
          <cell r="R21">
            <v>1242600</v>
          </cell>
          <cell r="S21">
            <v>21800</v>
          </cell>
          <cell r="T21">
            <v>21</v>
          </cell>
          <cell r="U21">
            <v>457800</v>
          </cell>
          <cell r="V21">
            <v>4</v>
          </cell>
          <cell r="W21">
            <v>87200</v>
          </cell>
          <cell r="X21">
            <v>32</v>
          </cell>
          <cell r="Y21">
            <v>697600</v>
          </cell>
          <cell r="AC21">
            <v>32</v>
          </cell>
          <cell r="AE21">
            <v>32</v>
          </cell>
          <cell r="AG21">
            <v>32</v>
          </cell>
          <cell r="AJ21">
            <v>0</v>
          </cell>
          <cell r="AN21">
            <v>0</v>
          </cell>
        </row>
        <row r="22">
          <cell r="E22" t="str">
            <v>RX CABLE 14M</v>
          </cell>
          <cell r="F22" t="str">
            <v>Cable</v>
          </cell>
          <cell r="G22">
            <v>21</v>
          </cell>
          <cell r="J22" t="str">
            <v>RS-232(3M)</v>
          </cell>
          <cell r="K22">
            <v>10000</v>
          </cell>
          <cell r="N22" t="str">
            <v>CBL-RFL-RXS</v>
          </cell>
          <cell r="O22">
            <v>7</v>
          </cell>
          <cell r="P22">
            <v>98000</v>
          </cell>
          <cell r="Q22">
            <v>15</v>
          </cell>
          <cell r="R22">
            <v>288226</v>
          </cell>
          <cell r="S22">
            <v>19215.066666666666</v>
          </cell>
          <cell r="T22">
            <v>3</v>
          </cell>
          <cell r="U22">
            <v>57645</v>
          </cell>
          <cell r="V22">
            <v>1</v>
          </cell>
          <cell r="W22">
            <v>19215</v>
          </cell>
          <cell r="X22">
            <v>11</v>
          </cell>
          <cell r="Y22">
            <v>211366</v>
          </cell>
          <cell r="AC22">
            <v>11</v>
          </cell>
          <cell r="AD22">
            <v>2</v>
          </cell>
          <cell r="AE22">
            <v>9</v>
          </cell>
          <cell r="AG22">
            <v>11</v>
          </cell>
          <cell r="AJ22">
            <v>0</v>
          </cell>
          <cell r="AN22">
            <v>0</v>
          </cell>
        </row>
        <row r="23">
          <cell r="E23" t="str">
            <v>Rx Cable-M</v>
          </cell>
          <cell r="F23" t="str">
            <v>Cable</v>
          </cell>
          <cell r="G23">
            <v>22</v>
          </cell>
          <cell r="J23" t="str">
            <v>RX CABLE 14M</v>
          </cell>
          <cell r="K23" t="e">
            <v>#DIV/0!</v>
          </cell>
          <cell r="N23" t="str">
            <v>GRADIENT CABLE(500m)</v>
          </cell>
          <cell r="O23">
            <v>500</v>
          </cell>
          <cell r="P23">
            <v>15000000</v>
          </cell>
          <cell r="Q23">
            <v>500</v>
          </cell>
          <cell r="R23">
            <v>15000000</v>
          </cell>
          <cell r="S23">
            <v>30000</v>
          </cell>
          <cell r="T23">
            <v>404</v>
          </cell>
          <cell r="U23">
            <v>12120000</v>
          </cell>
          <cell r="W23">
            <v>0</v>
          </cell>
          <cell r="X23">
            <v>96</v>
          </cell>
          <cell r="Y23">
            <v>2880000</v>
          </cell>
          <cell r="AC23">
            <v>96</v>
          </cell>
          <cell r="AE23">
            <v>96</v>
          </cell>
          <cell r="AG23">
            <v>96</v>
          </cell>
          <cell r="AJ23">
            <v>0</v>
          </cell>
          <cell r="AN23">
            <v>0</v>
          </cell>
        </row>
        <row r="24">
          <cell r="E24" t="str">
            <v>TX CABLE 13M</v>
          </cell>
          <cell r="F24" t="str">
            <v>Cable</v>
          </cell>
          <cell r="G24">
            <v>23</v>
          </cell>
          <cell r="J24" t="str">
            <v>Rx Cable-M</v>
          </cell>
          <cell r="K24">
            <v>14000</v>
          </cell>
          <cell r="N24" t="str">
            <v>GROUND CABLE 13M</v>
          </cell>
          <cell r="O24">
            <v>0</v>
          </cell>
          <cell r="P24">
            <v>0</v>
          </cell>
          <cell r="Q24">
            <v>4</v>
          </cell>
          <cell r="R24">
            <v>108800</v>
          </cell>
          <cell r="S24">
            <v>27200</v>
          </cell>
          <cell r="T24">
            <v>4</v>
          </cell>
          <cell r="U24">
            <v>108800</v>
          </cell>
          <cell r="W24">
            <v>0</v>
          </cell>
          <cell r="X24">
            <v>0</v>
          </cell>
          <cell r="Y24">
            <v>0</v>
          </cell>
          <cell r="AC24">
            <v>0</v>
          </cell>
          <cell r="AG24">
            <v>0</v>
          </cell>
          <cell r="AJ24">
            <v>0</v>
          </cell>
          <cell r="AN24">
            <v>0</v>
          </cell>
        </row>
        <row r="25">
          <cell r="E25" t="str">
            <v>TX CABLE-M</v>
          </cell>
          <cell r="F25" t="str">
            <v>Cable</v>
          </cell>
          <cell r="G25">
            <v>24</v>
          </cell>
          <cell r="J25" t="str">
            <v>TX CABLE 13M</v>
          </cell>
          <cell r="K25" t="e">
            <v>#DIV/0!</v>
          </cell>
          <cell r="N25" t="str">
            <v>RS-232(3M)</v>
          </cell>
          <cell r="O25">
            <v>20</v>
          </cell>
          <cell r="P25">
            <v>200000</v>
          </cell>
          <cell r="Q25">
            <v>20</v>
          </cell>
          <cell r="R25">
            <v>200000</v>
          </cell>
          <cell r="S25">
            <v>10000</v>
          </cell>
          <cell r="T25">
            <v>8</v>
          </cell>
          <cell r="U25">
            <v>80000</v>
          </cell>
          <cell r="W25">
            <v>0</v>
          </cell>
          <cell r="X25">
            <v>12</v>
          </cell>
          <cell r="Y25">
            <v>120000</v>
          </cell>
          <cell r="AC25">
            <v>12</v>
          </cell>
          <cell r="AD25">
            <v>12</v>
          </cell>
          <cell r="AG25">
            <v>12</v>
          </cell>
          <cell r="AJ25">
            <v>0</v>
          </cell>
          <cell r="AN25">
            <v>0</v>
          </cell>
        </row>
        <row r="26">
          <cell r="E26" t="str">
            <v>TX-CABLE-S(1M)</v>
          </cell>
          <cell r="F26" t="str">
            <v>Cable</v>
          </cell>
          <cell r="G26">
            <v>25</v>
          </cell>
          <cell r="J26" t="str">
            <v>TX CABLE-M</v>
          </cell>
          <cell r="K26">
            <v>14000</v>
          </cell>
          <cell r="N26" t="str">
            <v>RX CABLE 14M</v>
          </cell>
          <cell r="O26">
            <v>0</v>
          </cell>
          <cell r="P26">
            <v>0</v>
          </cell>
          <cell r="Q26">
            <v>1</v>
          </cell>
          <cell r="R26">
            <v>14000</v>
          </cell>
          <cell r="S26">
            <v>14000</v>
          </cell>
          <cell r="T26">
            <v>1</v>
          </cell>
          <cell r="U26">
            <v>14000</v>
          </cell>
          <cell r="W26">
            <v>0</v>
          </cell>
          <cell r="X26">
            <v>0</v>
          </cell>
          <cell r="Y26">
            <v>0</v>
          </cell>
          <cell r="AC26">
            <v>0</v>
          </cell>
          <cell r="AG26">
            <v>0</v>
          </cell>
          <cell r="AJ26">
            <v>0</v>
          </cell>
          <cell r="AN26">
            <v>0</v>
          </cell>
        </row>
        <row r="27">
          <cell r="E27" t="str">
            <v>TX-CABLE-S(8M)</v>
          </cell>
          <cell r="F27" t="str">
            <v>Cable</v>
          </cell>
          <cell r="G27">
            <v>26</v>
          </cell>
          <cell r="J27" t="str">
            <v>TX-CABLE-S(1M)</v>
          </cell>
          <cell r="K27">
            <v>14000</v>
          </cell>
          <cell r="N27" t="str">
            <v>Rx Cable-M</v>
          </cell>
          <cell r="O27">
            <v>25</v>
          </cell>
          <cell r="P27">
            <v>350000</v>
          </cell>
          <cell r="Q27">
            <v>34</v>
          </cell>
          <cell r="R27">
            <v>476000</v>
          </cell>
          <cell r="S27">
            <v>14000</v>
          </cell>
          <cell r="T27">
            <v>24</v>
          </cell>
          <cell r="U27">
            <v>336000</v>
          </cell>
          <cell r="V27">
            <v>1</v>
          </cell>
          <cell r="W27">
            <v>14000</v>
          </cell>
          <cell r="X27">
            <v>9</v>
          </cell>
          <cell r="Y27">
            <v>126000</v>
          </cell>
          <cell r="AC27">
            <v>9</v>
          </cell>
          <cell r="AE27">
            <v>9</v>
          </cell>
          <cell r="AG27">
            <v>9</v>
          </cell>
          <cell r="AJ27">
            <v>0</v>
          </cell>
          <cell r="AN27">
            <v>0</v>
          </cell>
        </row>
        <row r="28">
          <cell r="E28" t="str">
            <v>221128-1</v>
          </cell>
          <cell r="F28" t="str">
            <v>CIP</v>
          </cell>
          <cell r="G28">
            <v>27</v>
          </cell>
          <cell r="J28" t="str">
            <v>TX-CABLE-S(8M)</v>
          </cell>
          <cell r="K28">
            <v>14000</v>
          </cell>
          <cell r="N28" t="str">
            <v>TX CABLE 13M</v>
          </cell>
          <cell r="O28">
            <v>0</v>
          </cell>
          <cell r="P28">
            <v>0</v>
          </cell>
          <cell r="Q28">
            <v>2</v>
          </cell>
          <cell r="R28">
            <v>28000</v>
          </cell>
          <cell r="S28">
            <v>14000</v>
          </cell>
          <cell r="T28">
            <v>2</v>
          </cell>
          <cell r="U28">
            <v>28000</v>
          </cell>
          <cell r="W28">
            <v>0</v>
          </cell>
          <cell r="X28">
            <v>0</v>
          </cell>
          <cell r="Y28">
            <v>0</v>
          </cell>
          <cell r="AC28">
            <v>0</v>
          </cell>
          <cell r="AG28">
            <v>0</v>
          </cell>
          <cell r="AJ28">
            <v>0</v>
          </cell>
          <cell r="AN28">
            <v>0</v>
          </cell>
        </row>
        <row r="29">
          <cell r="E29" t="str">
            <v>56-736-005</v>
          </cell>
          <cell r="F29" t="str">
            <v>CIP</v>
          </cell>
          <cell r="G29">
            <v>28</v>
          </cell>
          <cell r="J29" t="str">
            <v>221128-1</v>
          </cell>
          <cell r="K29">
            <v>17882.067415730337</v>
          </cell>
          <cell r="N29" t="str">
            <v>TX CABLE-M</v>
          </cell>
          <cell r="O29">
            <v>8</v>
          </cell>
          <cell r="P29">
            <v>112000</v>
          </cell>
          <cell r="Q29">
            <v>22</v>
          </cell>
          <cell r="R29">
            <v>308000</v>
          </cell>
          <cell r="S29">
            <v>14000</v>
          </cell>
          <cell r="T29">
            <v>14</v>
          </cell>
          <cell r="U29">
            <v>196000</v>
          </cell>
          <cell r="V29">
            <v>1</v>
          </cell>
          <cell r="W29">
            <v>14000</v>
          </cell>
          <cell r="X29">
            <v>7</v>
          </cell>
          <cell r="Y29">
            <v>98000</v>
          </cell>
          <cell r="AC29">
            <v>7</v>
          </cell>
          <cell r="AE29">
            <v>7</v>
          </cell>
          <cell r="AG29">
            <v>7</v>
          </cell>
          <cell r="AJ29">
            <v>0</v>
          </cell>
          <cell r="AN29">
            <v>0</v>
          </cell>
        </row>
        <row r="30">
          <cell r="E30" t="str">
            <v>CAP-D105-50</v>
          </cell>
          <cell r="F30" t="str">
            <v>CIP</v>
          </cell>
          <cell r="G30">
            <v>29</v>
          </cell>
          <cell r="J30" t="str">
            <v>56-736-005</v>
          </cell>
          <cell r="K30">
            <v>125224.15</v>
          </cell>
          <cell r="N30" t="str">
            <v>TX-CABLE-S(1M)</v>
          </cell>
          <cell r="O30">
            <v>10</v>
          </cell>
          <cell r="P30">
            <v>140000</v>
          </cell>
          <cell r="Q30">
            <v>10</v>
          </cell>
          <cell r="R30">
            <v>140000</v>
          </cell>
          <cell r="S30">
            <v>14000</v>
          </cell>
          <cell r="T30">
            <v>0</v>
          </cell>
          <cell r="U30">
            <v>0</v>
          </cell>
          <cell r="V30">
            <v>1</v>
          </cell>
          <cell r="W30">
            <v>14000</v>
          </cell>
          <cell r="X30">
            <v>9</v>
          </cell>
          <cell r="Y30">
            <v>126000</v>
          </cell>
          <cell r="AC30">
            <v>9</v>
          </cell>
          <cell r="AD30">
            <v>9</v>
          </cell>
          <cell r="AG30">
            <v>9</v>
          </cell>
          <cell r="AJ30">
            <v>0</v>
          </cell>
          <cell r="AN30">
            <v>0</v>
          </cell>
        </row>
        <row r="31">
          <cell r="E31" t="str">
            <v>CBL-CIP-DAT-10P</v>
          </cell>
          <cell r="F31" t="str">
            <v>CIP</v>
          </cell>
          <cell r="G31">
            <v>30</v>
          </cell>
          <cell r="J31" t="str">
            <v>CAP-D105-50</v>
          </cell>
          <cell r="K31">
            <v>12469.15</v>
          </cell>
          <cell r="N31" t="str">
            <v>TX-CABLE-S(8M)</v>
          </cell>
          <cell r="O31">
            <v>28</v>
          </cell>
          <cell r="P31">
            <v>392000</v>
          </cell>
          <cell r="Q31">
            <v>30</v>
          </cell>
          <cell r="R31">
            <v>420000</v>
          </cell>
          <cell r="S31">
            <v>14000</v>
          </cell>
          <cell r="T31">
            <v>28</v>
          </cell>
          <cell r="U31">
            <v>392000</v>
          </cell>
          <cell r="V31">
            <v>1</v>
          </cell>
          <cell r="W31">
            <v>14000</v>
          </cell>
          <cell r="X31">
            <v>1</v>
          </cell>
          <cell r="Y31">
            <v>14000</v>
          </cell>
          <cell r="AC31">
            <v>1</v>
          </cell>
          <cell r="AE31">
            <v>1</v>
          </cell>
          <cell r="AG31">
            <v>1</v>
          </cell>
          <cell r="AJ31">
            <v>0</v>
          </cell>
          <cell r="AN31">
            <v>0</v>
          </cell>
        </row>
        <row r="32">
          <cell r="E32" t="str">
            <v>CBL-CIP-DAT-25P</v>
          </cell>
          <cell r="F32" t="str">
            <v>CIP</v>
          </cell>
          <cell r="G32">
            <v>31</v>
          </cell>
          <cell r="J32" t="str">
            <v>CBL-CIP-DAT-10P</v>
          </cell>
          <cell r="K32" t="e">
            <v>#DIV/0!</v>
          </cell>
          <cell r="N32" t="str">
            <v>221128-1</v>
          </cell>
          <cell r="O32">
            <v>89</v>
          </cell>
          <cell r="P32">
            <v>1591504</v>
          </cell>
          <cell r="Q32">
            <v>89</v>
          </cell>
          <cell r="R32">
            <v>1591504</v>
          </cell>
          <cell r="S32">
            <v>17882.067415730337</v>
          </cell>
          <cell r="T32">
            <v>22</v>
          </cell>
          <cell r="U32">
            <v>393405</v>
          </cell>
          <cell r="V32">
            <v>7</v>
          </cell>
          <cell r="W32">
            <v>125174</v>
          </cell>
          <cell r="X32">
            <v>60</v>
          </cell>
          <cell r="Y32">
            <v>1072925</v>
          </cell>
          <cell r="AC32">
            <v>60</v>
          </cell>
          <cell r="AD32">
            <v>60</v>
          </cell>
          <cell r="AG32">
            <v>60</v>
          </cell>
          <cell r="AJ32">
            <v>0</v>
          </cell>
          <cell r="AN32">
            <v>0</v>
          </cell>
        </row>
        <row r="33">
          <cell r="E33" t="str">
            <v>CBL-LDF4</v>
          </cell>
          <cell r="F33" t="str">
            <v>CIP</v>
          </cell>
          <cell r="G33">
            <v>32</v>
          </cell>
          <cell r="J33" t="str">
            <v>CBL-CIP-DAT-25P</v>
          </cell>
          <cell r="K33" t="e">
            <v>#DIV/0!</v>
          </cell>
          <cell r="N33" t="str">
            <v>56-736-005</v>
          </cell>
          <cell r="O33">
            <v>20</v>
          </cell>
          <cell r="P33">
            <v>2504483</v>
          </cell>
          <cell r="Q33">
            <v>23</v>
          </cell>
          <cell r="R33">
            <v>3035501</v>
          </cell>
          <cell r="S33">
            <v>131978.30434782608</v>
          </cell>
          <cell r="T33">
            <v>5</v>
          </cell>
          <cell r="U33">
            <v>659892</v>
          </cell>
          <cell r="V33">
            <v>1</v>
          </cell>
          <cell r="W33">
            <v>131978</v>
          </cell>
          <cell r="X33">
            <v>17</v>
          </cell>
          <cell r="Y33">
            <v>2243631</v>
          </cell>
          <cell r="AB33">
            <v>1</v>
          </cell>
          <cell r="AC33">
            <v>16</v>
          </cell>
          <cell r="AD33">
            <v>16</v>
          </cell>
          <cell r="AG33">
            <v>16</v>
          </cell>
          <cell r="AJ33">
            <v>0</v>
          </cell>
          <cell r="AN33">
            <v>0</v>
          </cell>
        </row>
        <row r="34">
          <cell r="E34" t="str">
            <v>CBL-MIC-51670</v>
          </cell>
          <cell r="F34" t="str">
            <v>CIP</v>
          </cell>
          <cell r="G34">
            <v>33</v>
          </cell>
          <cell r="J34" t="str">
            <v>CBL-LDF4</v>
          </cell>
          <cell r="K34" t="e">
            <v>#DIV/0!</v>
          </cell>
          <cell r="N34" t="str">
            <v>CAP-D105-50</v>
          </cell>
          <cell r="O34">
            <v>100</v>
          </cell>
          <cell r="P34">
            <v>1246915</v>
          </cell>
          <cell r="Q34">
            <v>430</v>
          </cell>
          <cell r="R34">
            <v>5845671</v>
          </cell>
          <cell r="S34">
            <v>13594.583720930232</v>
          </cell>
          <cell r="T34">
            <v>219</v>
          </cell>
          <cell r="U34">
            <v>2977214</v>
          </cell>
          <cell r="V34">
            <v>10</v>
          </cell>
          <cell r="W34">
            <v>135946</v>
          </cell>
          <cell r="X34">
            <v>201</v>
          </cell>
          <cell r="Y34">
            <v>2732511</v>
          </cell>
          <cell r="AC34">
            <v>201</v>
          </cell>
          <cell r="AD34">
            <v>201</v>
          </cell>
          <cell r="AG34">
            <v>201</v>
          </cell>
          <cell r="AJ34">
            <v>0</v>
          </cell>
          <cell r="AN34">
            <v>0</v>
          </cell>
        </row>
        <row r="35">
          <cell r="E35" t="str">
            <v>CIP Cable(15m)</v>
          </cell>
          <cell r="F35" t="str">
            <v>CIP</v>
          </cell>
          <cell r="G35">
            <v>34</v>
          </cell>
          <cell r="J35" t="str">
            <v>CBL-MIC-51670</v>
          </cell>
          <cell r="K35" t="e">
            <v>#DIV/0!</v>
          </cell>
          <cell r="N35" t="str">
            <v>CBL-CIP-DAT-10P</v>
          </cell>
          <cell r="O35">
            <v>0</v>
          </cell>
          <cell r="P35">
            <v>0</v>
          </cell>
          <cell r="Q35">
            <v>64</v>
          </cell>
          <cell r="R35">
            <v>783958</v>
          </cell>
          <cell r="S35">
            <v>12249.34375</v>
          </cell>
          <cell r="T35">
            <v>64</v>
          </cell>
          <cell r="U35">
            <v>783958</v>
          </cell>
          <cell r="W35">
            <v>0</v>
          </cell>
          <cell r="X35">
            <v>0</v>
          </cell>
          <cell r="Y35">
            <v>0</v>
          </cell>
          <cell r="AC35">
            <v>0</v>
          </cell>
          <cell r="AG35">
            <v>0</v>
          </cell>
          <cell r="AJ35">
            <v>0</v>
          </cell>
          <cell r="AN35">
            <v>0</v>
          </cell>
        </row>
        <row r="36">
          <cell r="E36" t="str">
            <v>CIP Data Cable(7m)</v>
          </cell>
          <cell r="F36" t="str">
            <v>CIP</v>
          </cell>
          <cell r="G36">
            <v>35</v>
          </cell>
          <cell r="J36" t="str">
            <v>CIP Cable(15m)</v>
          </cell>
          <cell r="K36">
            <v>98000</v>
          </cell>
          <cell r="N36" t="str">
            <v>CBL-CIP-DAT-25P</v>
          </cell>
          <cell r="O36">
            <v>0</v>
          </cell>
          <cell r="P36">
            <v>0</v>
          </cell>
          <cell r="Q36">
            <v>64</v>
          </cell>
          <cell r="R36">
            <v>2291689</v>
          </cell>
          <cell r="S36">
            <v>35807.640625</v>
          </cell>
          <cell r="T36">
            <v>64</v>
          </cell>
          <cell r="U36">
            <v>2291689</v>
          </cell>
          <cell r="W36">
            <v>0</v>
          </cell>
          <cell r="X36">
            <v>0</v>
          </cell>
          <cell r="Y36">
            <v>0</v>
          </cell>
          <cell r="AC36">
            <v>0</v>
          </cell>
          <cell r="AG36">
            <v>0</v>
          </cell>
          <cell r="AJ36">
            <v>0</v>
          </cell>
          <cell r="AN36">
            <v>0</v>
          </cell>
        </row>
        <row r="37">
          <cell r="E37" t="str">
            <v>CIP Data Cable(8m)</v>
          </cell>
          <cell r="F37" t="str">
            <v>CIP</v>
          </cell>
          <cell r="G37">
            <v>36</v>
          </cell>
          <cell r="J37" t="str">
            <v>CIP Data Cable(7m)</v>
          </cell>
          <cell r="K37">
            <v>40000</v>
          </cell>
          <cell r="N37" t="str">
            <v>CBL-LDF4</v>
          </cell>
          <cell r="O37">
            <v>0</v>
          </cell>
          <cell r="P37">
            <v>0</v>
          </cell>
          <cell r="Q37">
            <v>246</v>
          </cell>
          <cell r="R37">
            <v>24734971</v>
          </cell>
          <cell r="S37">
            <v>100548.66260162601</v>
          </cell>
          <cell r="T37">
            <v>26</v>
          </cell>
          <cell r="U37">
            <v>2614265</v>
          </cell>
          <cell r="W37">
            <v>0</v>
          </cell>
          <cell r="X37">
            <v>220</v>
          </cell>
          <cell r="Y37">
            <v>22120706</v>
          </cell>
          <cell r="AC37">
            <v>220</v>
          </cell>
          <cell r="AE37">
            <v>220</v>
          </cell>
          <cell r="AG37">
            <v>220</v>
          </cell>
          <cell r="AH37">
            <v>200</v>
          </cell>
          <cell r="AJ37">
            <v>200</v>
          </cell>
          <cell r="AL37">
            <v>200</v>
          </cell>
          <cell r="AN37">
            <v>200</v>
          </cell>
        </row>
        <row r="38">
          <cell r="E38" t="str">
            <v>CIR-M10</v>
          </cell>
          <cell r="F38" t="str">
            <v>CIP</v>
          </cell>
          <cell r="G38">
            <v>37</v>
          </cell>
          <cell r="J38" t="str">
            <v>CIP Data Cable(8m)</v>
          </cell>
          <cell r="K38">
            <v>57000</v>
          </cell>
          <cell r="N38" t="str">
            <v>CBL-MIC-51670</v>
          </cell>
          <cell r="O38">
            <v>0</v>
          </cell>
          <cell r="P38">
            <v>0</v>
          </cell>
          <cell r="Q38">
            <v>11</v>
          </cell>
          <cell r="R38">
            <v>531536</v>
          </cell>
          <cell r="S38">
            <v>48321.454545454544</v>
          </cell>
          <cell r="T38">
            <v>11</v>
          </cell>
          <cell r="U38">
            <v>531536</v>
          </cell>
          <cell r="W38">
            <v>0</v>
          </cell>
          <cell r="X38">
            <v>0</v>
          </cell>
          <cell r="Y38">
            <v>0</v>
          </cell>
          <cell r="AC38">
            <v>0</v>
          </cell>
          <cell r="AG38">
            <v>0</v>
          </cell>
          <cell r="AJ38">
            <v>0</v>
          </cell>
          <cell r="AN38">
            <v>0</v>
          </cell>
        </row>
        <row r="39">
          <cell r="E39" t="str">
            <v>CON-CMC-432</v>
          </cell>
          <cell r="F39" t="str">
            <v>CIP</v>
          </cell>
          <cell r="G39">
            <v>38</v>
          </cell>
          <cell r="J39" t="str">
            <v>CIR-M10</v>
          </cell>
          <cell r="K39">
            <v>41600</v>
          </cell>
          <cell r="N39" t="str">
            <v>CIP Cable(15m)</v>
          </cell>
          <cell r="O39">
            <v>1</v>
          </cell>
          <cell r="P39">
            <v>98000</v>
          </cell>
          <cell r="Q39">
            <v>1</v>
          </cell>
          <cell r="R39">
            <v>98000</v>
          </cell>
          <cell r="S39">
            <v>98000</v>
          </cell>
          <cell r="T39">
            <v>1</v>
          </cell>
          <cell r="U39">
            <v>98000</v>
          </cell>
          <cell r="W39">
            <v>0</v>
          </cell>
          <cell r="X39">
            <v>0</v>
          </cell>
          <cell r="Y39">
            <v>0</v>
          </cell>
          <cell r="AC39">
            <v>0</v>
          </cell>
          <cell r="AG39">
            <v>0</v>
          </cell>
          <cell r="AJ39">
            <v>0</v>
          </cell>
          <cell r="AN39">
            <v>0</v>
          </cell>
        </row>
        <row r="40">
          <cell r="E40" t="str">
            <v>CON-CMC-522</v>
          </cell>
          <cell r="F40" t="str">
            <v>CIP</v>
          </cell>
          <cell r="G40">
            <v>39</v>
          </cell>
          <cell r="J40" t="str">
            <v>CON-CMC-432</v>
          </cell>
          <cell r="K40">
            <v>60886.3</v>
          </cell>
          <cell r="N40" t="str">
            <v>CIP Data Cable(7m)</v>
          </cell>
          <cell r="O40">
            <v>5</v>
          </cell>
          <cell r="P40">
            <v>200000</v>
          </cell>
          <cell r="Q40">
            <v>5</v>
          </cell>
          <cell r="R40">
            <v>200000</v>
          </cell>
          <cell r="S40">
            <v>40000</v>
          </cell>
          <cell r="T40">
            <v>5</v>
          </cell>
          <cell r="U40">
            <v>200000</v>
          </cell>
          <cell r="W40">
            <v>0</v>
          </cell>
          <cell r="X40">
            <v>0</v>
          </cell>
          <cell r="Y40">
            <v>0</v>
          </cell>
          <cell r="AC40">
            <v>0</v>
          </cell>
          <cell r="AG40">
            <v>0</v>
          </cell>
          <cell r="AJ40">
            <v>0</v>
          </cell>
          <cell r="AN40">
            <v>0</v>
          </cell>
        </row>
        <row r="41">
          <cell r="E41" t="str">
            <v>CON-CMC-801</v>
          </cell>
          <cell r="F41" t="str">
            <v>CIP</v>
          </cell>
          <cell r="G41">
            <v>40</v>
          </cell>
          <cell r="J41" t="str">
            <v>CON-CMC-522</v>
          </cell>
          <cell r="K41">
            <v>58319.5</v>
          </cell>
          <cell r="N41" t="str">
            <v>CIP Data Cable(8m)</v>
          </cell>
          <cell r="O41">
            <v>5</v>
          </cell>
          <cell r="P41">
            <v>285000</v>
          </cell>
          <cell r="Q41">
            <v>5</v>
          </cell>
          <cell r="R41">
            <v>285000</v>
          </cell>
          <cell r="S41">
            <v>57000</v>
          </cell>
          <cell r="T41">
            <v>5</v>
          </cell>
          <cell r="U41">
            <v>285000</v>
          </cell>
          <cell r="W41">
            <v>0</v>
          </cell>
          <cell r="X41">
            <v>0</v>
          </cell>
          <cell r="Y41">
            <v>0</v>
          </cell>
          <cell r="AC41">
            <v>0</v>
          </cell>
          <cell r="AG41">
            <v>0</v>
          </cell>
          <cell r="AJ41">
            <v>0</v>
          </cell>
          <cell r="AN41">
            <v>0</v>
          </cell>
        </row>
        <row r="42">
          <cell r="E42" t="str">
            <v>CON-CMC-812</v>
          </cell>
          <cell r="F42" t="str">
            <v>CIP</v>
          </cell>
          <cell r="G42">
            <v>41</v>
          </cell>
          <cell r="J42" t="str">
            <v>CON-CMC-801</v>
          </cell>
          <cell r="K42">
            <v>15880.213333333333</v>
          </cell>
          <cell r="N42" t="str">
            <v>CIR-M10</v>
          </cell>
          <cell r="O42">
            <v>20</v>
          </cell>
          <cell r="P42">
            <v>832000</v>
          </cell>
          <cell r="Q42">
            <v>46</v>
          </cell>
          <cell r="R42">
            <v>2550738</v>
          </cell>
          <cell r="S42">
            <v>55450.82608695652</v>
          </cell>
          <cell r="T42">
            <v>32</v>
          </cell>
          <cell r="U42">
            <v>1774426</v>
          </cell>
          <cell r="V42">
            <v>1</v>
          </cell>
          <cell r="W42">
            <v>55451</v>
          </cell>
          <cell r="X42">
            <v>13</v>
          </cell>
          <cell r="Y42">
            <v>720861</v>
          </cell>
          <cell r="AC42">
            <v>13</v>
          </cell>
          <cell r="AD42">
            <v>13</v>
          </cell>
          <cell r="AG42">
            <v>13</v>
          </cell>
          <cell r="AI42">
            <v>1</v>
          </cell>
          <cell r="AJ42">
            <v>1</v>
          </cell>
          <cell r="AK42">
            <v>1</v>
          </cell>
          <cell r="AN42">
            <v>1</v>
          </cell>
        </row>
        <row r="43">
          <cell r="E43" t="str">
            <v>CON-CMC-901</v>
          </cell>
          <cell r="F43" t="str">
            <v>CIP</v>
          </cell>
          <cell r="G43">
            <v>42</v>
          </cell>
          <cell r="J43" t="str">
            <v>CON-CMC-812</v>
          </cell>
          <cell r="K43">
            <v>15101.78</v>
          </cell>
          <cell r="N43" t="str">
            <v>CON-CMC-432</v>
          </cell>
          <cell r="O43">
            <v>50</v>
          </cell>
          <cell r="P43">
            <v>3044315</v>
          </cell>
          <cell r="Q43">
            <v>146</v>
          </cell>
          <cell r="R43">
            <v>4185755</v>
          </cell>
          <cell r="S43">
            <v>28669.554794520547</v>
          </cell>
          <cell r="T43">
            <v>115</v>
          </cell>
          <cell r="U43">
            <v>3296999</v>
          </cell>
          <cell r="V43">
            <v>2</v>
          </cell>
          <cell r="W43">
            <v>57339</v>
          </cell>
          <cell r="X43">
            <v>29</v>
          </cell>
          <cell r="Y43">
            <v>831417</v>
          </cell>
          <cell r="AC43">
            <v>29</v>
          </cell>
          <cell r="AD43">
            <v>29</v>
          </cell>
          <cell r="AG43">
            <v>29</v>
          </cell>
          <cell r="AJ43">
            <v>0</v>
          </cell>
          <cell r="AN43">
            <v>0</v>
          </cell>
        </row>
        <row r="44">
          <cell r="E44" t="str">
            <v>CON-DSB-M15</v>
          </cell>
          <cell r="F44" t="str">
            <v>CIP</v>
          </cell>
          <cell r="G44">
            <v>43</v>
          </cell>
          <cell r="J44" t="str">
            <v>CON-CMC-901</v>
          </cell>
          <cell r="K44" t="e">
            <v>#DIV/0!</v>
          </cell>
          <cell r="N44" t="str">
            <v>CON-CMC-522</v>
          </cell>
          <cell r="O44">
            <v>50</v>
          </cell>
          <cell r="P44">
            <v>2915975</v>
          </cell>
          <cell r="Q44">
            <v>83</v>
          </cell>
          <cell r="R44">
            <v>3691298</v>
          </cell>
          <cell r="S44">
            <v>44473.469879518074</v>
          </cell>
          <cell r="T44">
            <v>60</v>
          </cell>
          <cell r="U44">
            <v>2668408</v>
          </cell>
          <cell r="V44">
            <v>1</v>
          </cell>
          <cell r="W44">
            <v>44473</v>
          </cell>
          <cell r="X44">
            <v>22</v>
          </cell>
          <cell r="Y44">
            <v>978417</v>
          </cell>
          <cell r="AC44">
            <v>22</v>
          </cell>
          <cell r="AD44">
            <v>22</v>
          </cell>
          <cell r="AG44">
            <v>22</v>
          </cell>
          <cell r="AJ44">
            <v>0</v>
          </cell>
          <cell r="AN44">
            <v>0</v>
          </cell>
        </row>
        <row r="45">
          <cell r="E45" t="str">
            <v>CON-MDC-29M</v>
          </cell>
          <cell r="F45" t="str">
            <v>CIP</v>
          </cell>
          <cell r="G45">
            <v>44</v>
          </cell>
          <cell r="J45" t="str">
            <v>CON-DSB-M15</v>
          </cell>
          <cell r="K45" t="e">
            <v>#DIV/0!</v>
          </cell>
          <cell r="N45" t="str">
            <v>CON-CMC-801</v>
          </cell>
          <cell r="O45">
            <v>150</v>
          </cell>
          <cell r="P45">
            <v>2382032</v>
          </cell>
          <cell r="Q45">
            <v>206</v>
          </cell>
          <cell r="R45">
            <v>3253791</v>
          </cell>
          <cell r="S45">
            <v>15795.101941747573</v>
          </cell>
          <cell r="T45">
            <v>149</v>
          </cell>
          <cell r="U45">
            <v>2353470</v>
          </cell>
          <cell r="V45">
            <v>6</v>
          </cell>
          <cell r="W45">
            <v>94771</v>
          </cell>
          <cell r="X45">
            <v>51</v>
          </cell>
          <cell r="Y45">
            <v>805550</v>
          </cell>
          <cell r="AC45">
            <v>51</v>
          </cell>
          <cell r="AD45">
            <v>51</v>
          </cell>
          <cell r="AG45">
            <v>51</v>
          </cell>
          <cell r="AJ45">
            <v>0</v>
          </cell>
          <cell r="AN45">
            <v>0</v>
          </cell>
        </row>
        <row r="46">
          <cell r="E46" t="str">
            <v>CONNECTOR 749193-1</v>
          </cell>
          <cell r="F46" t="str">
            <v>CIP</v>
          </cell>
          <cell r="G46">
            <v>45</v>
          </cell>
          <cell r="J46" t="str">
            <v>CON-MDC-29M</v>
          </cell>
          <cell r="K46" t="e">
            <v>#DIV/0!</v>
          </cell>
          <cell r="N46" t="str">
            <v>CON-CMC-812</v>
          </cell>
          <cell r="O46">
            <v>50</v>
          </cell>
          <cell r="P46">
            <v>755089</v>
          </cell>
          <cell r="Q46">
            <v>76</v>
          </cell>
          <cell r="R46">
            <v>1178215</v>
          </cell>
          <cell r="S46">
            <v>15502.828947368422</v>
          </cell>
          <cell r="T46">
            <v>66</v>
          </cell>
          <cell r="U46">
            <v>1023187</v>
          </cell>
          <cell r="V46">
            <v>1</v>
          </cell>
          <cell r="W46">
            <v>15503</v>
          </cell>
          <cell r="X46">
            <v>9</v>
          </cell>
          <cell r="Y46">
            <v>139525</v>
          </cell>
          <cell r="AC46">
            <v>9</v>
          </cell>
          <cell r="AD46">
            <v>9</v>
          </cell>
          <cell r="AG46">
            <v>9</v>
          </cell>
          <cell r="AJ46">
            <v>0</v>
          </cell>
          <cell r="AN46">
            <v>0</v>
          </cell>
        </row>
        <row r="47">
          <cell r="E47" t="str">
            <v>CON-NTB</v>
          </cell>
          <cell r="F47" t="str">
            <v>CIP</v>
          </cell>
          <cell r="G47">
            <v>46</v>
          </cell>
          <cell r="J47" t="str">
            <v>CONNECTOR 749193-1</v>
          </cell>
          <cell r="K47" t="e">
            <v>#DIV/0!</v>
          </cell>
          <cell r="N47" t="str">
            <v>CON-CMC-901</v>
          </cell>
          <cell r="O47">
            <v>0</v>
          </cell>
          <cell r="P47">
            <v>0</v>
          </cell>
          <cell r="Q47">
            <v>298</v>
          </cell>
          <cell r="R47">
            <v>8940000</v>
          </cell>
          <cell r="S47">
            <v>30000</v>
          </cell>
          <cell r="T47">
            <v>35</v>
          </cell>
          <cell r="U47">
            <v>1050000</v>
          </cell>
          <cell r="V47">
            <v>17</v>
          </cell>
          <cell r="W47">
            <v>510000</v>
          </cell>
          <cell r="X47">
            <v>246</v>
          </cell>
          <cell r="Y47">
            <v>7380000</v>
          </cell>
          <cell r="AC47">
            <v>246</v>
          </cell>
          <cell r="AD47">
            <v>246</v>
          </cell>
          <cell r="AG47">
            <v>246</v>
          </cell>
          <cell r="AJ47">
            <v>0</v>
          </cell>
          <cell r="AN47">
            <v>0</v>
          </cell>
        </row>
        <row r="48">
          <cell r="E48" t="str">
            <v>CPS-M10</v>
          </cell>
          <cell r="F48" t="str">
            <v>CIP</v>
          </cell>
          <cell r="G48">
            <v>47</v>
          </cell>
          <cell r="J48" t="str">
            <v>CON-NTB</v>
          </cell>
          <cell r="K48" t="e">
            <v>#DIV/0!</v>
          </cell>
          <cell r="N48" t="str">
            <v>CON-DSB-M15</v>
          </cell>
          <cell r="O48">
            <v>0</v>
          </cell>
          <cell r="P48">
            <v>0</v>
          </cell>
          <cell r="Q48">
            <v>48</v>
          </cell>
          <cell r="R48">
            <v>3453769</v>
          </cell>
          <cell r="S48">
            <v>71953.520833333328</v>
          </cell>
          <cell r="T48">
            <v>20</v>
          </cell>
          <cell r="U48">
            <v>1439070</v>
          </cell>
          <cell r="V48">
            <v>1</v>
          </cell>
          <cell r="W48">
            <v>71954</v>
          </cell>
          <cell r="X48">
            <v>27</v>
          </cell>
          <cell r="Y48">
            <v>1942745</v>
          </cell>
          <cell r="AC48">
            <v>27</v>
          </cell>
          <cell r="AD48">
            <v>27</v>
          </cell>
          <cell r="AG48">
            <v>27</v>
          </cell>
          <cell r="AJ48">
            <v>0</v>
          </cell>
          <cell r="AN48">
            <v>0</v>
          </cell>
        </row>
        <row r="49">
          <cell r="E49" t="str">
            <v>DATA CABLE 10M</v>
          </cell>
          <cell r="F49" t="str">
            <v>CIP</v>
          </cell>
          <cell r="G49">
            <v>48</v>
          </cell>
          <cell r="J49" t="str">
            <v>CPS-M10</v>
          </cell>
          <cell r="K49">
            <v>63250</v>
          </cell>
          <cell r="N49" t="str">
            <v>CON-MDC-29M</v>
          </cell>
          <cell r="O49">
            <v>0</v>
          </cell>
          <cell r="P49">
            <v>0</v>
          </cell>
          <cell r="Q49">
            <v>44</v>
          </cell>
          <cell r="R49">
            <v>497002</v>
          </cell>
          <cell r="S49">
            <v>11295.5</v>
          </cell>
          <cell r="T49">
            <v>9</v>
          </cell>
          <cell r="U49">
            <v>101660</v>
          </cell>
          <cell r="V49">
            <v>1</v>
          </cell>
          <cell r="W49">
            <v>11296</v>
          </cell>
          <cell r="X49">
            <v>34</v>
          </cell>
          <cell r="Y49">
            <v>384046</v>
          </cell>
          <cell r="AC49">
            <v>34</v>
          </cell>
          <cell r="AD49">
            <v>34</v>
          </cell>
          <cell r="AG49">
            <v>34</v>
          </cell>
          <cell r="AH49">
            <v>60</v>
          </cell>
          <cell r="AJ49">
            <v>60</v>
          </cell>
          <cell r="AK49">
            <v>60</v>
          </cell>
          <cell r="AN49">
            <v>60</v>
          </cell>
        </row>
        <row r="50">
          <cell r="E50" t="str">
            <v>FIL-DSU-15P</v>
          </cell>
          <cell r="F50" t="str">
            <v>CIP</v>
          </cell>
          <cell r="G50">
            <v>49</v>
          </cell>
          <cell r="J50" t="str">
            <v>DATA CABLE 10M</v>
          </cell>
          <cell r="K50">
            <v>66000</v>
          </cell>
          <cell r="N50" t="str">
            <v>CONNECTOR 749193-1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W50">
            <v>0</v>
          </cell>
          <cell r="X50">
            <v>0</v>
          </cell>
          <cell r="Y50">
            <v>0</v>
          </cell>
          <cell r="Z50">
            <v>20</v>
          </cell>
          <cell r="AC50">
            <v>20</v>
          </cell>
          <cell r="AE50">
            <v>20</v>
          </cell>
          <cell r="AG50">
            <v>20</v>
          </cell>
          <cell r="AJ50">
            <v>0</v>
          </cell>
          <cell r="AN50">
            <v>0</v>
          </cell>
        </row>
        <row r="51">
          <cell r="E51" t="str">
            <v>IC-165S14</v>
          </cell>
          <cell r="F51" t="str">
            <v>CIP</v>
          </cell>
          <cell r="G51">
            <v>50</v>
          </cell>
          <cell r="J51" t="str">
            <v>FIL-DSU-15P</v>
          </cell>
          <cell r="K51">
            <v>55695.55</v>
          </cell>
          <cell r="N51" t="str">
            <v>CON-NTB</v>
          </cell>
          <cell r="O51">
            <v>0</v>
          </cell>
          <cell r="P51">
            <v>0</v>
          </cell>
          <cell r="Q51">
            <v>27</v>
          </cell>
          <cell r="R51">
            <v>303556</v>
          </cell>
          <cell r="S51">
            <v>11242.814814814816</v>
          </cell>
          <cell r="T51">
            <v>27</v>
          </cell>
          <cell r="U51">
            <v>303556</v>
          </cell>
          <cell r="W51">
            <v>0</v>
          </cell>
          <cell r="X51">
            <v>0</v>
          </cell>
          <cell r="Y51">
            <v>0</v>
          </cell>
          <cell r="AC51">
            <v>0</v>
          </cell>
          <cell r="AG51">
            <v>0</v>
          </cell>
          <cell r="AJ51">
            <v>0</v>
          </cell>
          <cell r="AN51">
            <v>0</v>
          </cell>
        </row>
        <row r="52">
          <cell r="E52" t="str">
            <v>INS-CIP-M10</v>
          </cell>
          <cell r="F52" t="str">
            <v>CIP</v>
          </cell>
          <cell r="G52">
            <v>51</v>
          </cell>
          <cell r="J52" t="str">
            <v>IC-165S14</v>
          </cell>
          <cell r="K52">
            <v>24701.08</v>
          </cell>
          <cell r="N52" t="str">
            <v>CPS-M10</v>
          </cell>
          <cell r="O52">
            <v>20</v>
          </cell>
          <cell r="P52">
            <v>1265000</v>
          </cell>
          <cell r="Q52">
            <v>26</v>
          </cell>
          <cell r="R52">
            <v>1744336</v>
          </cell>
          <cell r="S52">
            <v>67089.846153846156</v>
          </cell>
          <cell r="T52">
            <v>11</v>
          </cell>
          <cell r="U52">
            <v>737988</v>
          </cell>
          <cell r="V52">
            <v>1</v>
          </cell>
          <cell r="W52">
            <v>67090</v>
          </cell>
          <cell r="X52">
            <v>14</v>
          </cell>
          <cell r="Y52">
            <v>939258</v>
          </cell>
          <cell r="AC52">
            <v>14</v>
          </cell>
          <cell r="AD52">
            <v>14</v>
          </cell>
          <cell r="AG52">
            <v>14</v>
          </cell>
          <cell r="AI52">
            <v>1</v>
          </cell>
          <cell r="AJ52">
            <v>1</v>
          </cell>
          <cell r="AK52">
            <v>1</v>
          </cell>
          <cell r="AN52">
            <v>1</v>
          </cell>
        </row>
        <row r="53">
          <cell r="E53" t="str">
            <v>INS-DBC-M10</v>
          </cell>
          <cell r="F53" t="str">
            <v>CIP</v>
          </cell>
          <cell r="G53">
            <v>52</v>
          </cell>
          <cell r="J53" t="str">
            <v>INS-CIP-M10</v>
          </cell>
          <cell r="K53">
            <v>410000</v>
          </cell>
          <cell r="N53" t="str">
            <v>DATA CABLE 10M</v>
          </cell>
          <cell r="O53">
            <v>5</v>
          </cell>
          <cell r="P53">
            <v>330000</v>
          </cell>
          <cell r="Q53">
            <v>5</v>
          </cell>
          <cell r="R53">
            <v>330000</v>
          </cell>
          <cell r="S53">
            <v>66000</v>
          </cell>
          <cell r="T53">
            <v>5</v>
          </cell>
          <cell r="U53">
            <v>330000</v>
          </cell>
          <cell r="W53">
            <v>0</v>
          </cell>
          <cell r="X53">
            <v>0</v>
          </cell>
          <cell r="Y53">
            <v>0</v>
          </cell>
          <cell r="AC53">
            <v>0</v>
          </cell>
          <cell r="AG53">
            <v>0</v>
          </cell>
          <cell r="AJ53">
            <v>0</v>
          </cell>
          <cell r="AN53">
            <v>0</v>
          </cell>
        </row>
        <row r="54">
          <cell r="E54" t="str">
            <v>PCB-CIP</v>
          </cell>
          <cell r="F54" t="str">
            <v>CIP</v>
          </cell>
          <cell r="G54">
            <v>53</v>
          </cell>
          <cell r="J54" t="str">
            <v>INS-DBC-M10</v>
          </cell>
          <cell r="K54" t="e">
            <v>#DIV/0!</v>
          </cell>
          <cell r="N54" t="str">
            <v>FIL-DSU-15P</v>
          </cell>
          <cell r="O54">
            <v>20</v>
          </cell>
          <cell r="P54">
            <v>1113911</v>
          </cell>
          <cell r="Q54">
            <v>33</v>
          </cell>
          <cell r="R54">
            <v>1858640</v>
          </cell>
          <cell r="S54">
            <v>56322.42424242424</v>
          </cell>
          <cell r="T54">
            <v>23</v>
          </cell>
          <cell r="U54">
            <v>1295416</v>
          </cell>
          <cell r="V54">
            <v>1</v>
          </cell>
          <cell r="W54">
            <v>56322</v>
          </cell>
          <cell r="X54">
            <v>9</v>
          </cell>
          <cell r="Y54">
            <v>506902</v>
          </cell>
          <cell r="AC54">
            <v>9</v>
          </cell>
          <cell r="AD54">
            <v>9</v>
          </cell>
          <cell r="AG54">
            <v>9</v>
          </cell>
          <cell r="AJ54">
            <v>0</v>
          </cell>
          <cell r="AN54">
            <v>0</v>
          </cell>
        </row>
        <row r="55">
          <cell r="E55" t="str">
            <v>PCB-TBS</v>
          </cell>
          <cell r="F55" t="str">
            <v>CIP</v>
          </cell>
          <cell r="G55">
            <v>54</v>
          </cell>
          <cell r="J55" t="str">
            <v>PCB-CIP</v>
          </cell>
          <cell r="K55">
            <v>33333.333333333336</v>
          </cell>
          <cell r="N55" t="str">
            <v>IC-165S14</v>
          </cell>
          <cell r="O55">
            <v>50</v>
          </cell>
          <cell r="P55">
            <v>1235054</v>
          </cell>
          <cell r="Q55">
            <v>98</v>
          </cell>
          <cell r="R55">
            <v>2547968</v>
          </cell>
          <cell r="S55">
            <v>25999.673469387755</v>
          </cell>
          <cell r="T55">
            <v>75</v>
          </cell>
          <cell r="U55">
            <v>1949976</v>
          </cell>
          <cell r="V55">
            <v>1</v>
          </cell>
          <cell r="W55">
            <v>26000</v>
          </cell>
          <cell r="X55">
            <v>22</v>
          </cell>
          <cell r="Y55">
            <v>571992</v>
          </cell>
          <cell r="AB55">
            <v>1</v>
          </cell>
          <cell r="AC55">
            <v>21</v>
          </cell>
          <cell r="AD55">
            <v>21</v>
          </cell>
          <cell r="AG55">
            <v>21</v>
          </cell>
          <cell r="AJ55">
            <v>0</v>
          </cell>
          <cell r="AN55">
            <v>0</v>
          </cell>
        </row>
        <row r="56">
          <cell r="E56" t="str">
            <v>RELAY PCB</v>
          </cell>
          <cell r="F56" t="str">
            <v>CIP</v>
          </cell>
          <cell r="G56">
            <v>55</v>
          </cell>
          <cell r="J56" t="str">
            <v>PCB-TBS</v>
          </cell>
          <cell r="K56" t="e">
            <v>#DIV/0!</v>
          </cell>
          <cell r="N56" t="str">
            <v>INS-CIP-M10</v>
          </cell>
          <cell r="O56">
            <v>20</v>
          </cell>
          <cell r="P56">
            <v>8200000</v>
          </cell>
          <cell r="Q56">
            <v>30</v>
          </cell>
          <cell r="R56">
            <v>12355057</v>
          </cell>
          <cell r="S56">
            <v>411835.23333333334</v>
          </cell>
          <cell r="T56">
            <v>19</v>
          </cell>
          <cell r="U56">
            <v>7824869</v>
          </cell>
          <cell r="V56">
            <v>1</v>
          </cell>
          <cell r="W56">
            <v>411835</v>
          </cell>
          <cell r="X56">
            <v>10</v>
          </cell>
          <cell r="Y56">
            <v>4118353</v>
          </cell>
          <cell r="AC56">
            <v>10</v>
          </cell>
          <cell r="AD56">
            <v>10</v>
          </cell>
          <cell r="AG56">
            <v>10</v>
          </cell>
          <cell r="AI56">
            <v>1</v>
          </cell>
          <cell r="AJ56">
            <v>1</v>
          </cell>
          <cell r="AK56">
            <v>1</v>
          </cell>
          <cell r="AN56">
            <v>1</v>
          </cell>
        </row>
        <row r="57">
          <cell r="E57" t="str">
            <v>RF-COU-M10</v>
          </cell>
          <cell r="F57" t="str">
            <v>CIP</v>
          </cell>
          <cell r="G57">
            <v>56</v>
          </cell>
          <cell r="J57" t="str">
            <v>RELAY PCB</v>
          </cell>
          <cell r="K57">
            <v>10000</v>
          </cell>
          <cell r="N57" t="str">
            <v>INS-DBC-M10</v>
          </cell>
          <cell r="O57">
            <v>0</v>
          </cell>
          <cell r="P57">
            <v>0</v>
          </cell>
          <cell r="Q57">
            <v>23</v>
          </cell>
          <cell r="R57">
            <v>975991</v>
          </cell>
          <cell r="S57">
            <v>42434.391304347824</v>
          </cell>
          <cell r="T57">
            <v>23</v>
          </cell>
          <cell r="U57">
            <v>975991</v>
          </cell>
          <cell r="W57">
            <v>0</v>
          </cell>
          <cell r="X57">
            <v>0</v>
          </cell>
          <cell r="Y57">
            <v>0</v>
          </cell>
          <cell r="AC57">
            <v>0</v>
          </cell>
          <cell r="AG57">
            <v>0</v>
          </cell>
          <cell r="AJ57">
            <v>0</v>
          </cell>
          <cell r="AN57">
            <v>0</v>
          </cell>
        </row>
        <row r="58">
          <cell r="E58" t="str">
            <v>RF-DML-50</v>
          </cell>
          <cell r="F58" t="str">
            <v>CIP</v>
          </cell>
          <cell r="G58">
            <v>57</v>
          </cell>
          <cell r="J58" t="str">
            <v>RF-COU-M10</v>
          </cell>
          <cell r="K58">
            <v>1182550.25</v>
          </cell>
          <cell r="N58" t="str">
            <v>PCB-CIP</v>
          </cell>
          <cell r="O58">
            <v>30</v>
          </cell>
          <cell r="P58">
            <v>1000000</v>
          </cell>
          <cell r="Q58">
            <v>40</v>
          </cell>
          <cell r="R58">
            <v>1376088</v>
          </cell>
          <cell r="S58">
            <v>34402.199999999997</v>
          </cell>
          <cell r="T58">
            <v>18</v>
          </cell>
          <cell r="U58">
            <v>619240</v>
          </cell>
          <cell r="V58">
            <v>1</v>
          </cell>
          <cell r="W58">
            <v>34402</v>
          </cell>
          <cell r="X58">
            <v>21</v>
          </cell>
          <cell r="Y58">
            <v>722446</v>
          </cell>
          <cell r="AC58">
            <v>21</v>
          </cell>
          <cell r="AD58">
            <v>21</v>
          </cell>
          <cell r="AG58">
            <v>21</v>
          </cell>
          <cell r="AJ58">
            <v>0</v>
          </cell>
          <cell r="AN58">
            <v>0</v>
          </cell>
        </row>
        <row r="59">
          <cell r="E59" t="str">
            <v>RF-PRA-30K</v>
          </cell>
          <cell r="F59" t="str">
            <v>CIP</v>
          </cell>
          <cell r="G59">
            <v>58</v>
          </cell>
          <cell r="J59" t="str">
            <v>RF-DML-50</v>
          </cell>
          <cell r="K59" t="e">
            <v>#DIV/0!</v>
          </cell>
          <cell r="N59" t="str">
            <v>PCB-TBS</v>
          </cell>
          <cell r="O59">
            <v>0</v>
          </cell>
          <cell r="P59">
            <v>0</v>
          </cell>
          <cell r="Q59">
            <v>22</v>
          </cell>
          <cell r="R59">
            <v>3839267</v>
          </cell>
          <cell r="S59">
            <v>174512.13636363635</v>
          </cell>
          <cell r="T59">
            <v>22</v>
          </cell>
          <cell r="U59">
            <v>3839267</v>
          </cell>
          <cell r="W59">
            <v>0</v>
          </cell>
          <cell r="X59">
            <v>0</v>
          </cell>
          <cell r="Y59">
            <v>0</v>
          </cell>
          <cell r="AC59">
            <v>0</v>
          </cell>
          <cell r="AG59">
            <v>0</v>
          </cell>
          <cell r="AJ59">
            <v>0</v>
          </cell>
          <cell r="AN59">
            <v>0</v>
          </cell>
        </row>
        <row r="60">
          <cell r="E60" t="str">
            <v>RF-PRA-40</v>
          </cell>
          <cell r="F60" t="str">
            <v>CIP</v>
          </cell>
          <cell r="G60">
            <v>59</v>
          </cell>
          <cell r="J60" t="str">
            <v>RF-PRA-30K</v>
          </cell>
          <cell r="K60">
            <v>300000</v>
          </cell>
          <cell r="N60" t="str">
            <v>RELAY PCB</v>
          </cell>
          <cell r="O60">
            <v>20</v>
          </cell>
          <cell r="P60">
            <v>200000</v>
          </cell>
          <cell r="Q60">
            <v>20</v>
          </cell>
          <cell r="R60">
            <v>200000</v>
          </cell>
          <cell r="S60">
            <v>10000</v>
          </cell>
          <cell r="T60">
            <v>0</v>
          </cell>
          <cell r="U60">
            <v>0</v>
          </cell>
          <cell r="V60">
            <v>1</v>
          </cell>
          <cell r="W60">
            <v>10000</v>
          </cell>
          <cell r="X60">
            <v>19</v>
          </cell>
          <cell r="Y60">
            <v>190000</v>
          </cell>
          <cell r="AC60">
            <v>19</v>
          </cell>
          <cell r="AD60">
            <v>19</v>
          </cell>
          <cell r="AG60">
            <v>19</v>
          </cell>
          <cell r="AI60">
            <v>4</v>
          </cell>
          <cell r="AJ60">
            <v>4</v>
          </cell>
          <cell r="AK60">
            <v>4</v>
          </cell>
          <cell r="AN60">
            <v>4</v>
          </cell>
        </row>
        <row r="61">
          <cell r="E61" t="str">
            <v>SW-PWR-03</v>
          </cell>
          <cell r="F61" t="str">
            <v>CIP</v>
          </cell>
          <cell r="G61">
            <v>60</v>
          </cell>
          <cell r="J61" t="str">
            <v>RF-PRA-40</v>
          </cell>
          <cell r="K61">
            <v>775239.15</v>
          </cell>
          <cell r="N61" t="str">
            <v>RF-COU-M10</v>
          </cell>
          <cell r="O61">
            <v>20</v>
          </cell>
          <cell r="P61">
            <v>23651005</v>
          </cell>
          <cell r="Q61">
            <v>30</v>
          </cell>
          <cell r="R61">
            <v>35512364</v>
          </cell>
          <cell r="S61">
            <v>1183745.4666666666</v>
          </cell>
          <cell r="T61">
            <v>1</v>
          </cell>
          <cell r="U61">
            <v>1183745</v>
          </cell>
          <cell r="V61">
            <v>1</v>
          </cell>
          <cell r="W61">
            <v>1183745</v>
          </cell>
          <cell r="X61">
            <v>28</v>
          </cell>
          <cell r="Y61">
            <v>33144874</v>
          </cell>
          <cell r="AC61">
            <v>28</v>
          </cell>
          <cell r="AD61">
            <v>28</v>
          </cell>
          <cell r="AG61">
            <v>28</v>
          </cell>
          <cell r="AI61">
            <v>4</v>
          </cell>
          <cell r="AJ61">
            <v>4</v>
          </cell>
          <cell r="AK61">
            <v>4</v>
          </cell>
          <cell r="AN61">
            <v>4</v>
          </cell>
        </row>
        <row r="62">
          <cell r="E62" t="str">
            <v>CON-DBN</v>
          </cell>
          <cell r="F62" t="str">
            <v>Connector</v>
          </cell>
          <cell r="G62">
            <v>61</v>
          </cell>
          <cell r="J62" t="str">
            <v>SW-PWR-03</v>
          </cell>
          <cell r="K62">
            <v>230000</v>
          </cell>
          <cell r="N62" t="str">
            <v>RF-DML-50</v>
          </cell>
          <cell r="O62">
            <v>0</v>
          </cell>
          <cell r="P62">
            <v>0</v>
          </cell>
          <cell r="Q62">
            <v>48</v>
          </cell>
          <cell r="R62">
            <v>5536153</v>
          </cell>
          <cell r="S62">
            <v>115336.52083333333</v>
          </cell>
          <cell r="T62">
            <v>34</v>
          </cell>
          <cell r="U62">
            <v>3921442</v>
          </cell>
          <cell r="V62">
            <v>1</v>
          </cell>
          <cell r="W62">
            <v>115337</v>
          </cell>
          <cell r="X62">
            <v>13</v>
          </cell>
          <cell r="Y62">
            <v>1499374</v>
          </cell>
          <cell r="AC62">
            <v>13</v>
          </cell>
          <cell r="AD62">
            <v>13</v>
          </cell>
          <cell r="AG62">
            <v>13</v>
          </cell>
          <cell r="AI62">
            <v>1</v>
          </cell>
          <cell r="AJ62">
            <v>1</v>
          </cell>
          <cell r="AK62">
            <v>1</v>
          </cell>
          <cell r="AN62">
            <v>1</v>
          </cell>
        </row>
        <row r="63">
          <cell r="E63" t="str">
            <v>CON-F1PBM</v>
          </cell>
          <cell r="F63" t="str">
            <v>Connector</v>
          </cell>
          <cell r="G63">
            <v>62</v>
          </cell>
          <cell r="J63" t="str">
            <v>CON-DBN</v>
          </cell>
          <cell r="K63" t="e">
            <v>#DIV/0!</v>
          </cell>
          <cell r="N63" t="str">
            <v>RF-PRA-30K</v>
          </cell>
          <cell r="O63">
            <v>90</v>
          </cell>
          <cell r="P63">
            <v>27000000</v>
          </cell>
          <cell r="Q63">
            <v>111</v>
          </cell>
          <cell r="R63">
            <v>33905460</v>
          </cell>
          <cell r="S63">
            <v>305454.59459459462</v>
          </cell>
          <cell r="T63">
            <v>84</v>
          </cell>
          <cell r="U63">
            <v>25658186</v>
          </cell>
          <cell r="W63">
            <v>0</v>
          </cell>
          <cell r="X63">
            <v>27</v>
          </cell>
          <cell r="Y63">
            <v>8247274</v>
          </cell>
          <cell r="AC63">
            <v>27</v>
          </cell>
          <cell r="AD63">
            <v>27</v>
          </cell>
          <cell r="AG63">
            <v>27</v>
          </cell>
          <cell r="AJ63">
            <v>0</v>
          </cell>
          <cell r="AN63">
            <v>0</v>
          </cell>
        </row>
        <row r="64">
          <cell r="E64" t="str">
            <v>CON-F1PNFBH</v>
          </cell>
          <cell r="F64" t="str">
            <v>Connector</v>
          </cell>
          <cell r="G64">
            <v>63</v>
          </cell>
          <cell r="J64" t="str">
            <v>CON-F1PBM</v>
          </cell>
          <cell r="K64">
            <v>17404.599999999999</v>
          </cell>
          <cell r="N64" t="str">
            <v>RF-PRA-40</v>
          </cell>
          <cell r="O64">
            <v>20</v>
          </cell>
          <cell r="P64">
            <v>15504783</v>
          </cell>
          <cell r="Q64">
            <v>27</v>
          </cell>
          <cell r="R64">
            <v>21117497</v>
          </cell>
          <cell r="S64">
            <v>782129.51851851854</v>
          </cell>
          <cell r="T64">
            <v>1</v>
          </cell>
          <cell r="U64">
            <v>782130</v>
          </cell>
          <cell r="W64">
            <v>0</v>
          </cell>
          <cell r="X64">
            <v>26</v>
          </cell>
          <cell r="Y64">
            <v>20335367</v>
          </cell>
          <cell r="AC64">
            <v>26</v>
          </cell>
          <cell r="AD64">
            <v>26</v>
          </cell>
          <cell r="AG64">
            <v>26</v>
          </cell>
          <cell r="AI64">
            <v>3</v>
          </cell>
          <cell r="AJ64">
            <v>3</v>
          </cell>
          <cell r="AK64">
            <v>3</v>
          </cell>
          <cell r="AN64">
            <v>3</v>
          </cell>
        </row>
        <row r="65">
          <cell r="E65" t="str">
            <v>CON-L44J</v>
          </cell>
          <cell r="F65" t="str">
            <v>Connector</v>
          </cell>
          <cell r="G65">
            <v>64</v>
          </cell>
          <cell r="J65" t="str">
            <v>CON-F1PNFBH</v>
          </cell>
          <cell r="K65">
            <v>47803.7</v>
          </cell>
          <cell r="N65" t="str">
            <v>SW-PWR-03</v>
          </cell>
          <cell r="O65">
            <v>20</v>
          </cell>
          <cell r="P65">
            <v>4600000</v>
          </cell>
          <cell r="Q65">
            <v>32</v>
          </cell>
          <cell r="R65">
            <v>7229030</v>
          </cell>
          <cell r="S65">
            <v>225907.1875</v>
          </cell>
          <cell r="T65">
            <v>13</v>
          </cell>
          <cell r="U65">
            <v>2936793</v>
          </cell>
          <cell r="V65">
            <v>1</v>
          </cell>
          <cell r="W65">
            <v>225907</v>
          </cell>
          <cell r="X65">
            <v>18</v>
          </cell>
          <cell r="Y65">
            <v>4066330</v>
          </cell>
          <cell r="AC65">
            <v>18</v>
          </cell>
          <cell r="AD65">
            <v>18</v>
          </cell>
          <cell r="AG65">
            <v>18</v>
          </cell>
          <cell r="AI65">
            <v>1</v>
          </cell>
          <cell r="AJ65">
            <v>1</v>
          </cell>
          <cell r="AK65">
            <v>1</v>
          </cell>
          <cell r="AN65">
            <v>1</v>
          </cell>
        </row>
        <row r="66">
          <cell r="E66" t="str">
            <v>CON-L44R</v>
          </cell>
          <cell r="F66" t="str">
            <v>Connector</v>
          </cell>
          <cell r="G66">
            <v>65</v>
          </cell>
          <cell r="J66" t="str">
            <v>CON-L44J</v>
          </cell>
          <cell r="K66">
            <v>143424.91666666666</v>
          </cell>
          <cell r="N66" t="str">
            <v>CON-DBN</v>
          </cell>
          <cell r="O66">
            <v>0</v>
          </cell>
          <cell r="P66">
            <v>0</v>
          </cell>
          <cell r="Q66">
            <v>418</v>
          </cell>
          <cell r="R66">
            <v>5796740</v>
          </cell>
          <cell r="S66">
            <v>13867.799043062201</v>
          </cell>
          <cell r="T66">
            <v>281</v>
          </cell>
          <cell r="U66">
            <v>3896852</v>
          </cell>
          <cell r="V66">
            <v>4</v>
          </cell>
          <cell r="W66">
            <v>55471</v>
          </cell>
          <cell r="X66">
            <v>133</v>
          </cell>
          <cell r="Y66">
            <v>1844417</v>
          </cell>
          <cell r="AC66">
            <v>133</v>
          </cell>
          <cell r="AD66">
            <v>133</v>
          </cell>
          <cell r="AG66">
            <v>133</v>
          </cell>
          <cell r="AJ66">
            <v>0</v>
          </cell>
          <cell r="AN66">
            <v>0</v>
          </cell>
        </row>
        <row r="67">
          <cell r="E67" t="str">
            <v>CON-L4PNM</v>
          </cell>
          <cell r="F67" t="str">
            <v>Connector</v>
          </cell>
          <cell r="G67">
            <v>66</v>
          </cell>
          <cell r="J67" t="str">
            <v>CON-L44R</v>
          </cell>
          <cell r="K67">
            <v>140670.64285714287</v>
          </cell>
          <cell r="N67" t="str">
            <v>CON-F1PBM</v>
          </cell>
          <cell r="O67">
            <v>80</v>
          </cell>
          <cell r="P67">
            <v>1392368</v>
          </cell>
          <cell r="Q67">
            <v>116</v>
          </cell>
          <cell r="R67">
            <v>2168312</v>
          </cell>
          <cell r="S67">
            <v>18692.344827586207</v>
          </cell>
          <cell r="T67">
            <v>86</v>
          </cell>
          <cell r="U67">
            <v>1607542</v>
          </cell>
          <cell r="V67">
            <v>2</v>
          </cell>
          <cell r="W67">
            <v>37385</v>
          </cell>
          <cell r="X67">
            <v>28</v>
          </cell>
          <cell r="Y67">
            <v>523385</v>
          </cell>
          <cell r="AC67">
            <v>28</v>
          </cell>
          <cell r="AD67">
            <v>28</v>
          </cell>
          <cell r="AG67">
            <v>28</v>
          </cell>
          <cell r="AJ67">
            <v>0</v>
          </cell>
          <cell r="AN67">
            <v>0</v>
          </cell>
        </row>
        <row r="68">
          <cell r="E68" t="str">
            <v>CON-TBN</v>
          </cell>
          <cell r="F68" t="str">
            <v>Connector</v>
          </cell>
          <cell r="G68">
            <v>67</v>
          </cell>
          <cell r="J68" t="str">
            <v>CON-L4PNM</v>
          </cell>
          <cell r="K68">
            <v>50850.923076923078</v>
          </cell>
          <cell r="N68" t="str">
            <v>CON-F1PNFBH</v>
          </cell>
          <cell r="O68">
            <v>40</v>
          </cell>
          <cell r="P68">
            <v>1912148</v>
          </cell>
          <cell r="Q68">
            <v>48</v>
          </cell>
          <cell r="R68">
            <v>2415963</v>
          </cell>
          <cell r="S68">
            <v>50332.5625</v>
          </cell>
          <cell r="T68">
            <v>35</v>
          </cell>
          <cell r="U68">
            <v>1761640</v>
          </cell>
          <cell r="V68">
            <v>1</v>
          </cell>
          <cell r="W68">
            <v>50333</v>
          </cell>
          <cell r="X68">
            <v>12</v>
          </cell>
          <cell r="Y68">
            <v>603990</v>
          </cell>
          <cell r="AC68">
            <v>12</v>
          </cell>
          <cell r="AD68">
            <v>12</v>
          </cell>
          <cell r="AG68">
            <v>12</v>
          </cell>
          <cell r="AJ68">
            <v>0</v>
          </cell>
          <cell r="AN68">
            <v>0</v>
          </cell>
        </row>
        <row r="69">
          <cell r="E69" t="str">
            <v>F1PNM-H</v>
          </cell>
          <cell r="F69" t="str">
            <v>Connector</v>
          </cell>
          <cell r="G69">
            <v>68</v>
          </cell>
          <cell r="J69" t="str">
            <v>CON-TBN</v>
          </cell>
          <cell r="K69" t="e">
            <v>#DIV/0!</v>
          </cell>
          <cell r="N69" t="str">
            <v>CON-L44J</v>
          </cell>
          <cell r="O69">
            <v>12</v>
          </cell>
          <cell r="P69">
            <v>1721099</v>
          </cell>
          <cell r="Q69">
            <v>25</v>
          </cell>
          <cell r="R69">
            <v>4240847</v>
          </cell>
          <cell r="S69">
            <v>169633.88</v>
          </cell>
          <cell r="T69">
            <v>8</v>
          </cell>
          <cell r="U69">
            <v>1357071</v>
          </cell>
          <cell r="V69">
            <v>1</v>
          </cell>
          <cell r="W69">
            <v>169634</v>
          </cell>
          <cell r="X69">
            <v>16</v>
          </cell>
          <cell r="Y69">
            <v>2714142</v>
          </cell>
          <cell r="AC69">
            <v>16</v>
          </cell>
          <cell r="AD69">
            <v>16</v>
          </cell>
          <cell r="AG69">
            <v>16</v>
          </cell>
          <cell r="AJ69">
            <v>0</v>
          </cell>
          <cell r="AN69">
            <v>0</v>
          </cell>
        </row>
        <row r="70">
          <cell r="E70" t="str">
            <v>설치대비용 버츄얼콘솔 모니터(17")</v>
          </cell>
          <cell r="F70" t="str">
            <v>Console</v>
          </cell>
          <cell r="G70">
            <v>69</v>
          </cell>
          <cell r="J70" t="str">
            <v>F1PNM-H</v>
          </cell>
          <cell r="K70">
            <v>22119.3</v>
          </cell>
          <cell r="N70" t="str">
            <v>CON-L44R</v>
          </cell>
          <cell r="O70">
            <v>28</v>
          </cell>
          <cell r="P70">
            <v>3938778</v>
          </cell>
          <cell r="Q70">
            <v>78</v>
          </cell>
          <cell r="R70">
            <v>12085546</v>
          </cell>
          <cell r="S70">
            <v>154942.89743589744</v>
          </cell>
          <cell r="T70">
            <v>68</v>
          </cell>
          <cell r="U70">
            <v>10536117</v>
          </cell>
          <cell r="W70">
            <v>0</v>
          </cell>
          <cell r="X70">
            <v>10</v>
          </cell>
          <cell r="Y70">
            <v>1549429</v>
          </cell>
          <cell r="AC70">
            <v>10</v>
          </cell>
          <cell r="AD70">
            <v>10</v>
          </cell>
          <cell r="AG70">
            <v>10</v>
          </cell>
          <cell r="AJ70">
            <v>0</v>
          </cell>
          <cell r="AN70">
            <v>0</v>
          </cell>
        </row>
        <row r="71">
          <cell r="E71" t="str">
            <v>설치대비용 버츄얼콘솔 본체</v>
          </cell>
          <cell r="F71" t="str">
            <v>Console</v>
          </cell>
          <cell r="G71">
            <v>70</v>
          </cell>
          <cell r="J71" t="str">
            <v>설치대비용 버츄얼콘솔 모니터(17")</v>
          </cell>
          <cell r="K71">
            <v>433733.33333333331</v>
          </cell>
          <cell r="N71" t="str">
            <v>CON-L4PNM</v>
          </cell>
          <cell r="O71">
            <v>130</v>
          </cell>
          <cell r="P71">
            <v>6610620</v>
          </cell>
          <cell r="Q71">
            <v>135</v>
          </cell>
          <cell r="R71">
            <v>6920621</v>
          </cell>
          <cell r="S71">
            <v>51263.859259259261</v>
          </cell>
          <cell r="T71">
            <v>30</v>
          </cell>
          <cell r="U71">
            <v>1537916</v>
          </cell>
          <cell r="V71">
            <v>1</v>
          </cell>
          <cell r="W71">
            <v>51264</v>
          </cell>
          <cell r="X71">
            <v>104</v>
          </cell>
          <cell r="Y71">
            <v>5331441</v>
          </cell>
          <cell r="AC71">
            <v>104</v>
          </cell>
          <cell r="AD71">
            <v>104</v>
          </cell>
          <cell r="AG71">
            <v>104</v>
          </cell>
          <cell r="AJ71">
            <v>0</v>
          </cell>
          <cell r="AN71">
            <v>0</v>
          </cell>
        </row>
        <row r="72">
          <cell r="E72" t="str">
            <v>울산현대 방사선과 64MB MEMORY</v>
          </cell>
          <cell r="F72" t="str">
            <v>Console</v>
          </cell>
          <cell r="G72">
            <v>71</v>
          </cell>
          <cell r="J72" t="str">
            <v>설치대비용 버츄얼콘솔 본체</v>
          </cell>
          <cell r="K72">
            <v>1250000</v>
          </cell>
          <cell r="N72" t="str">
            <v>CON-TBN</v>
          </cell>
          <cell r="O72">
            <v>0</v>
          </cell>
          <cell r="P72">
            <v>0</v>
          </cell>
          <cell r="Q72">
            <v>198</v>
          </cell>
          <cell r="R72">
            <v>2687810</v>
          </cell>
          <cell r="S72">
            <v>13574.797979797981</v>
          </cell>
          <cell r="T72">
            <v>198</v>
          </cell>
          <cell r="U72">
            <v>2687810</v>
          </cell>
          <cell r="W72">
            <v>0</v>
          </cell>
          <cell r="X72">
            <v>0</v>
          </cell>
          <cell r="Y72">
            <v>0</v>
          </cell>
          <cell r="AC72">
            <v>0</v>
          </cell>
          <cell r="AG72">
            <v>0</v>
          </cell>
          <cell r="AJ72">
            <v>0</v>
          </cell>
          <cell r="AN72">
            <v>0</v>
          </cell>
        </row>
        <row r="73">
          <cell r="E73" t="str">
            <v xml:space="preserve">울산현대 방사선과 현대DELUXE-SCAN </v>
          </cell>
          <cell r="F73" t="str">
            <v>Console</v>
          </cell>
          <cell r="G73">
            <v>72</v>
          </cell>
          <cell r="J73" t="str">
            <v>울산현대 방사선과 64MB MEMORY</v>
          </cell>
          <cell r="K73" t="e">
            <v>#DIV/0!</v>
          </cell>
          <cell r="N73" t="str">
            <v>F1PNM-H</v>
          </cell>
          <cell r="O73">
            <v>40</v>
          </cell>
          <cell r="P73">
            <v>884772</v>
          </cell>
          <cell r="Q73">
            <v>40</v>
          </cell>
          <cell r="R73">
            <v>884772</v>
          </cell>
          <cell r="S73">
            <v>22119.3</v>
          </cell>
          <cell r="T73">
            <v>29</v>
          </cell>
          <cell r="U73">
            <v>641460</v>
          </cell>
          <cell r="V73">
            <v>1</v>
          </cell>
          <cell r="W73">
            <v>22119</v>
          </cell>
          <cell r="X73">
            <v>10</v>
          </cell>
          <cell r="Y73">
            <v>221193</v>
          </cell>
          <cell r="AC73">
            <v>10</v>
          </cell>
          <cell r="AD73">
            <v>10</v>
          </cell>
          <cell r="AG73">
            <v>10</v>
          </cell>
          <cell r="AJ73">
            <v>0</v>
          </cell>
          <cell r="AN73">
            <v>0</v>
          </cell>
        </row>
        <row r="74">
          <cell r="E74" t="str">
            <v>울산현대 방사선과 DREAMSYS 550MHZ</v>
          </cell>
          <cell r="F74" t="str">
            <v>Console</v>
          </cell>
          <cell r="G74">
            <v>73</v>
          </cell>
          <cell r="J74" t="str">
            <v xml:space="preserve">울산현대 방사선과 현대DELUXE-SCAN </v>
          </cell>
          <cell r="K74" t="e">
            <v>#DIV/0!</v>
          </cell>
          <cell r="N74" t="str">
            <v>설치대비용 버츄얼콘솔 모니터(17")</v>
          </cell>
          <cell r="O74">
            <v>3</v>
          </cell>
          <cell r="P74">
            <v>1301200</v>
          </cell>
          <cell r="Q74">
            <v>3</v>
          </cell>
          <cell r="R74">
            <v>1301200</v>
          </cell>
          <cell r="S74">
            <v>433733.33333333331</v>
          </cell>
          <cell r="T74">
            <v>1</v>
          </cell>
          <cell r="U74">
            <v>433733</v>
          </cell>
          <cell r="W74">
            <v>0</v>
          </cell>
          <cell r="X74">
            <v>2</v>
          </cell>
          <cell r="Y74">
            <v>867467</v>
          </cell>
          <cell r="AC74">
            <v>2</v>
          </cell>
          <cell r="AD74">
            <v>2</v>
          </cell>
          <cell r="AG74">
            <v>2</v>
          </cell>
          <cell r="AJ74">
            <v>0</v>
          </cell>
          <cell r="AN74">
            <v>0</v>
          </cell>
        </row>
        <row r="75">
          <cell r="E75" t="str">
            <v>울산현대방사선 PC/RAM/모니터 각1개</v>
          </cell>
          <cell r="F75" t="str">
            <v>Console</v>
          </cell>
          <cell r="G75">
            <v>74</v>
          </cell>
          <cell r="J75" t="str">
            <v>울산현대 방사선과 DREAMSYS 550MHZ</v>
          </cell>
          <cell r="K75" t="e">
            <v>#DIV/0!</v>
          </cell>
          <cell r="N75" t="str">
            <v>설치대비용 버츄얼콘솔 본체</v>
          </cell>
          <cell r="O75">
            <v>4</v>
          </cell>
          <cell r="P75">
            <v>5000000</v>
          </cell>
          <cell r="Q75">
            <v>4</v>
          </cell>
          <cell r="R75">
            <v>5000000</v>
          </cell>
          <cell r="S75">
            <v>1250000</v>
          </cell>
          <cell r="T75">
            <v>2</v>
          </cell>
          <cell r="U75">
            <v>2500000</v>
          </cell>
          <cell r="W75">
            <v>0</v>
          </cell>
          <cell r="X75">
            <v>2</v>
          </cell>
          <cell r="Y75">
            <v>2500000</v>
          </cell>
          <cell r="AC75">
            <v>2</v>
          </cell>
          <cell r="AD75">
            <v>2</v>
          </cell>
          <cell r="AG75">
            <v>2</v>
          </cell>
          <cell r="AJ75">
            <v>0</v>
          </cell>
          <cell r="AN75">
            <v>0</v>
          </cell>
        </row>
        <row r="76">
          <cell r="E76" t="str">
            <v>중대용산/필동용 프린터</v>
          </cell>
          <cell r="F76" t="str">
            <v>Console</v>
          </cell>
          <cell r="G76">
            <v>75</v>
          </cell>
          <cell r="J76" t="str">
            <v>울산현대방사선 PC/RAM/모니터 각1개</v>
          </cell>
          <cell r="K76">
            <v>1646000</v>
          </cell>
          <cell r="N76" t="str">
            <v>울산현대 방사선과 64MB MEMORY</v>
          </cell>
          <cell r="O76">
            <v>0</v>
          </cell>
          <cell r="P76">
            <v>0</v>
          </cell>
          <cell r="Q76">
            <v>1</v>
          </cell>
          <cell r="R76">
            <v>75000</v>
          </cell>
          <cell r="S76">
            <v>75000</v>
          </cell>
          <cell r="T76">
            <v>1</v>
          </cell>
          <cell r="U76">
            <v>75000</v>
          </cell>
          <cell r="W76">
            <v>0</v>
          </cell>
          <cell r="X76">
            <v>0</v>
          </cell>
          <cell r="Y76">
            <v>0</v>
          </cell>
          <cell r="AC76">
            <v>0</v>
          </cell>
          <cell r="AG76">
            <v>0</v>
          </cell>
          <cell r="AJ76">
            <v>0</v>
          </cell>
          <cell r="AN76">
            <v>0</v>
          </cell>
        </row>
        <row r="77">
          <cell r="E77" t="str">
            <v>중대용산용 TOTOKU 모니터(19")</v>
          </cell>
          <cell r="F77" t="str">
            <v>Console</v>
          </cell>
          <cell r="G77">
            <v>76</v>
          </cell>
          <cell r="J77" t="str">
            <v>중대용산/필동용 프린터</v>
          </cell>
          <cell r="K77">
            <v>283000</v>
          </cell>
          <cell r="N77" t="str">
            <v xml:space="preserve">울산현대 방사선과 현대DELUXE-SCAN </v>
          </cell>
          <cell r="O77">
            <v>0</v>
          </cell>
          <cell r="P77">
            <v>0</v>
          </cell>
          <cell r="Q77">
            <v>1</v>
          </cell>
          <cell r="R77">
            <v>275000</v>
          </cell>
          <cell r="S77">
            <v>275000</v>
          </cell>
          <cell r="T77">
            <v>1</v>
          </cell>
          <cell r="U77">
            <v>275000</v>
          </cell>
          <cell r="W77">
            <v>0</v>
          </cell>
          <cell r="X77">
            <v>0</v>
          </cell>
          <cell r="Y77">
            <v>0</v>
          </cell>
          <cell r="AC77">
            <v>0</v>
          </cell>
          <cell r="AG77">
            <v>0</v>
          </cell>
          <cell r="AJ77">
            <v>0</v>
          </cell>
          <cell r="AN77">
            <v>0</v>
          </cell>
        </row>
        <row r="78">
          <cell r="E78" t="str">
            <v>CAMERA INTERFACE용 Computer 슬롯가이드</v>
          </cell>
          <cell r="F78" t="str">
            <v>Console</v>
          </cell>
          <cell r="G78">
            <v>77</v>
          </cell>
          <cell r="J78" t="str">
            <v>중대용산용 TOTOKU 모니터(19")</v>
          </cell>
          <cell r="K78">
            <v>1100000</v>
          </cell>
          <cell r="N78" t="str">
            <v>울산현대 방사선과 DREAMSYS 550MHZ</v>
          </cell>
          <cell r="O78">
            <v>0</v>
          </cell>
          <cell r="P78">
            <v>0</v>
          </cell>
          <cell r="Q78">
            <v>1</v>
          </cell>
          <cell r="R78">
            <v>1296000</v>
          </cell>
          <cell r="S78">
            <v>1296000</v>
          </cell>
          <cell r="T78">
            <v>1</v>
          </cell>
          <cell r="U78">
            <v>1296000</v>
          </cell>
          <cell r="W78">
            <v>0</v>
          </cell>
          <cell r="X78">
            <v>0</v>
          </cell>
          <cell r="Y78">
            <v>0</v>
          </cell>
          <cell r="AC78">
            <v>0</v>
          </cell>
          <cell r="AG78">
            <v>0</v>
          </cell>
          <cell r="AJ78">
            <v>0</v>
          </cell>
          <cell r="AN78">
            <v>0</v>
          </cell>
        </row>
        <row r="79">
          <cell r="E79" t="str">
            <v>HUB-M10</v>
          </cell>
          <cell r="F79" t="str">
            <v>Console</v>
          </cell>
          <cell r="G79">
            <v>78</v>
          </cell>
          <cell r="J79" t="str">
            <v>CAMERA INTERFACE용 Computer 슬롯가이드</v>
          </cell>
          <cell r="K79">
            <v>10200</v>
          </cell>
          <cell r="N79" t="str">
            <v>울산현대방사선 PC/RAM/모니터 각1개</v>
          </cell>
          <cell r="O79">
            <v>1</v>
          </cell>
          <cell r="P79">
            <v>1646000</v>
          </cell>
          <cell r="Q79">
            <v>1</v>
          </cell>
          <cell r="R79">
            <v>1646000</v>
          </cell>
          <cell r="S79">
            <v>1646000</v>
          </cell>
          <cell r="T79">
            <v>1</v>
          </cell>
          <cell r="U79">
            <v>1646000</v>
          </cell>
          <cell r="W79">
            <v>0</v>
          </cell>
          <cell r="X79">
            <v>0</v>
          </cell>
          <cell r="Y79">
            <v>0</v>
          </cell>
          <cell r="AC79">
            <v>0</v>
          </cell>
          <cell r="AG79">
            <v>0</v>
          </cell>
          <cell r="AJ79">
            <v>0</v>
          </cell>
          <cell r="AN79">
            <v>0</v>
          </cell>
        </row>
        <row r="80">
          <cell r="E80" t="str">
            <v>MNT-M10(TOTOKU 22")</v>
          </cell>
          <cell r="F80" t="str">
            <v>Console</v>
          </cell>
          <cell r="G80">
            <v>79</v>
          </cell>
          <cell r="J80" t="str">
            <v>HUB-M10</v>
          </cell>
          <cell r="K80" t="e">
            <v>#DIV/0!</v>
          </cell>
          <cell r="N80" t="str">
            <v>중대용산/필동용 프린터</v>
          </cell>
          <cell r="O80">
            <v>2</v>
          </cell>
          <cell r="P80">
            <v>566000</v>
          </cell>
          <cell r="Q80">
            <v>2</v>
          </cell>
          <cell r="R80">
            <v>566000</v>
          </cell>
          <cell r="S80">
            <v>283000</v>
          </cell>
          <cell r="T80">
            <v>1</v>
          </cell>
          <cell r="U80">
            <v>283000</v>
          </cell>
          <cell r="W80">
            <v>0</v>
          </cell>
          <cell r="X80">
            <v>1</v>
          </cell>
          <cell r="Y80">
            <v>283000</v>
          </cell>
          <cell r="AC80">
            <v>1</v>
          </cell>
          <cell r="AD80">
            <v>1</v>
          </cell>
          <cell r="AG80">
            <v>1</v>
          </cell>
          <cell r="AJ80">
            <v>0</v>
          </cell>
          <cell r="AN80">
            <v>0</v>
          </cell>
        </row>
        <row r="81">
          <cell r="E81" t="str">
            <v>MRI 1.0T TABLE 및 의자</v>
          </cell>
          <cell r="F81" t="str">
            <v>Console</v>
          </cell>
          <cell r="G81">
            <v>80</v>
          </cell>
          <cell r="J81" t="str">
            <v>MNT-M10(TOTOKU 22")</v>
          </cell>
          <cell r="K81">
            <v>1765656.5555555555</v>
          </cell>
          <cell r="N81" t="str">
            <v>중대용산용 TOTOKU 모니터(19")</v>
          </cell>
          <cell r="O81">
            <v>2</v>
          </cell>
          <cell r="P81">
            <v>2200000</v>
          </cell>
          <cell r="Q81">
            <v>2</v>
          </cell>
          <cell r="R81">
            <v>2200000</v>
          </cell>
          <cell r="S81">
            <v>1100000</v>
          </cell>
          <cell r="T81">
            <v>1</v>
          </cell>
          <cell r="U81">
            <v>1100000</v>
          </cell>
          <cell r="W81">
            <v>0</v>
          </cell>
          <cell r="X81">
            <v>1</v>
          </cell>
          <cell r="Y81">
            <v>1100000</v>
          </cell>
          <cell r="AC81">
            <v>1</v>
          </cell>
          <cell r="AD81">
            <v>1</v>
          </cell>
          <cell r="AG81">
            <v>1</v>
          </cell>
          <cell r="AJ81">
            <v>0</v>
          </cell>
          <cell r="AN81">
            <v>0</v>
          </cell>
        </row>
        <row r="82">
          <cell r="E82" t="str">
            <v>PCB-LCI</v>
          </cell>
          <cell r="F82" t="str">
            <v>Console</v>
          </cell>
          <cell r="G82">
            <v>81</v>
          </cell>
          <cell r="J82" t="str">
            <v>MRI 1.0T TABLE 및 의자</v>
          </cell>
          <cell r="K82" t="e">
            <v>#DIV/0!</v>
          </cell>
          <cell r="N82" t="str">
            <v>CAMERA INTERFACE용 Computer 슬롯가이드</v>
          </cell>
          <cell r="O82">
            <v>50</v>
          </cell>
          <cell r="P82">
            <v>510000</v>
          </cell>
          <cell r="Q82">
            <v>50</v>
          </cell>
          <cell r="R82">
            <v>510000</v>
          </cell>
          <cell r="S82">
            <v>10200</v>
          </cell>
          <cell r="T82">
            <v>50</v>
          </cell>
          <cell r="U82">
            <v>510000</v>
          </cell>
          <cell r="W82">
            <v>0</v>
          </cell>
          <cell r="X82">
            <v>0</v>
          </cell>
          <cell r="Y82">
            <v>0</v>
          </cell>
          <cell r="AC82">
            <v>0</v>
          </cell>
          <cell r="AG82">
            <v>0</v>
          </cell>
          <cell r="AJ82">
            <v>0</v>
          </cell>
          <cell r="AN82">
            <v>0</v>
          </cell>
        </row>
        <row r="83">
          <cell r="E83" t="str">
            <v>PCU-M10 본체 (ZX1)</v>
          </cell>
          <cell r="F83" t="str">
            <v>Console</v>
          </cell>
          <cell r="G83">
            <v>82</v>
          </cell>
          <cell r="J83" t="str">
            <v>PCB-LCI</v>
          </cell>
          <cell r="K83">
            <v>12000</v>
          </cell>
          <cell r="N83" t="str">
            <v>HUB-M10</v>
          </cell>
          <cell r="O83">
            <v>0</v>
          </cell>
          <cell r="P83">
            <v>0</v>
          </cell>
          <cell r="Q83">
            <v>6</v>
          </cell>
          <cell r="R83">
            <v>1399067</v>
          </cell>
          <cell r="S83">
            <v>233177.83333333334</v>
          </cell>
          <cell r="T83">
            <v>3</v>
          </cell>
          <cell r="U83">
            <v>699534</v>
          </cell>
          <cell r="V83">
            <v>1</v>
          </cell>
          <cell r="W83">
            <v>233178</v>
          </cell>
          <cell r="X83">
            <v>2</v>
          </cell>
          <cell r="Y83">
            <v>466355</v>
          </cell>
          <cell r="AC83">
            <v>2</v>
          </cell>
          <cell r="AD83">
            <v>2</v>
          </cell>
          <cell r="AG83">
            <v>2</v>
          </cell>
          <cell r="AI83">
            <v>1</v>
          </cell>
          <cell r="AJ83">
            <v>1</v>
          </cell>
          <cell r="AK83">
            <v>1</v>
          </cell>
          <cell r="AN83">
            <v>1</v>
          </cell>
        </row>
        <row r="84">
          <cell r="E84" t="str">
            <v>GAN-M10</v>
          </cell>
          <cell r="F84" t="str">
            <v>Cover</v>
          </cell>
          <cell r="G84">
            <v>83</v>
          </cell>
          <cell r="J84" t="str">
            <v>PCU-M10 본체 (ZX1)</v>
          </cell>
          <cell r="K84">
            <v>5094191.5</v>
          </cell>
          <cell r="N84" t="str">
            <v>MNT-M10(TOTOKU 22")</v>
          </cell>
          <cell r="O84">
            <v>9</v>
          </cell>
          <cell r="P84">
            <v>15890909</v>
          </cell>
          <cell r="Q84">
            <v>10</v>
          </cell>
          <cell r="R84">
            <v>17654476</v>
          </cell>
          <cell r="S84">
            <v>1765447.6</v>
          </cell>
          <cell r="T84">
            <v>9</v>
          </cell>
          <cell r="U84">
            <v>15889028</v>
          </cell>
          <cell r="W84">
            <v>0</v>
          </cell>
          <cell r="X84">
            <v>1</v>
          </cell>
          <cell r="Y84">
            <v>1765448</v>
          </cell>
          <cell r="AC84">
            <v>1</v>
          </cell>
          <cell r="AD84">
            <v>1</v>
          </cell>
          <cell r="AG84">
            <v>1</v>
          </cell>
          <cell r="AI84">
            <v>1</v>
          </cell>
          <cell r="AJ84">
            <v>1</v>
          </cell>
          <cell r="AK84">
            <v>1</v>
          </cell>
          <cell r="AN84">
            <v>1</v>
          </cell>
        </row>
        <row r="85">
          <cell r="E85" t="str">
            <v>COUCH POWER 13M</v>
          </cell>
          <cell r="F85" t="str">
            <v>FILTER</v>
          </cell>
          <cell r="G85">
            <v>84</v>
          </cell>
          <cell r="J85" t="str">
            <v>GAN-M10</v>
          </cell>
          <cell r="K85">
            <v>7000000</v>
          </cell>
          <cell r="N85" t="str">
            <v>MRI 1.0T TABLE 및 의자</v>
          </cell>
          <cell r="O85">
            <v>0</v>
          </cell>
          <cell r="P85">
            <v>0</v>
          </cell>
          <cell r="Q85">
            <v>15</v>
          </cell>
          <cell r="R85">
            <v>9750000</v>
          </cell>
          <cell r="S85">
            <v>650000</v>
          </cell>
          <cell r="T85">
            <v>13</v>
          </cell>
          <cell r="U85">
            <v>8450000</v>
          </cell>
          <cell r="W85">
            <v>0</v>
          </cell>
          <cell r="X85">
            <v>2</v>
          </cell>
          <cell r="Y85">
            <v>1300000</v>
          </cell>
          <cell r="AC85">
            <v>2</v>
          </cell>
          <cell r="AF85">
            <v>2</v>
          </cell>
          <cell r="AG85">
            <v>2</v>
          </cell>
          <cell r="AI85">
            <v>1</v>
          </cell>
          <cell r="AJ85">
            <v>1</v>
          </cell>
          <cell r="AM85">
            <v>1</v>
          </cell>
          <cell r="AN85">
            <v>1</v>
          </cell>
        </row>
        <row r="86">
          <cell r="E86" t="str">
            <v>FIL-ARC-25A</v>
          </cell>
          <cell r="F86" t="str">
            <v>FILTER</v>
          </cell>
          <cell r="G86">
            <v>85</v>
          </cell>
          <cell r="J86" t="str">
            <v>COUCH POWER 13M</v>
          </cell>
          <cell r="K86" t="e">
            <v>#DIV/0!</v>
          </cell>
          <cell r="N86" t="str">
            <v>PCB-LCI</v>
          </cell>
          <cell r="O86">
            <v>50</v>
          </cell>
          <cell r="P86">
            <v>600000</v>
          </cell>
          <cell r="Q86">
            <v>64</v>
          </cell>
          <cell r="R86">
            <v>7468202</v>
          </cell>
          <cell r="S86">
            <v>116690.65625</v>
          </cell>
          <cell r="T86">
            <v>34</v>
          </cell>
          <cell r="U86">
            <v>3967482</v>
          </cell>
          <cell r="W86">
            <v>0</v>
          </cell>
          <cell r="X86">
            <v>30</v>
          </cell>
          <cell r="Y86">
            <v>3500720</v>
          </cell>
          <cell r="AC86">
            <v>30</v>
          </cell>
          <cell r="AD86">
            <v>30</v>
          </cell>
          <cell r="AG86">
            <v>30</v>
          </cell>
          <cell r="AJ86">
            <v>0</v>
          </cell>
          <cell r="AN86">
            <v>0</v>
          </cell>
        </row>
        <row r="87">
          <cell r="E87" t="str">
            <v>FIL-DSU-37P</v>
          </cell>
          <cell r="F87" t="str">
            <v>FILTER</v>
          </cell>
          <cell r="G87">
            <v>86</v>
          </cell>
          <cell r="J87" t="str">
            <v>FIL-ARC-25A</v>
          </cell>
          <cell r="K87">
            <v>107937.46</v>
          </cell>
          <cell r="N87" t="str">
            <v>PCU-M10 본체 (ZX1)</v>
          </cell>
          <cell r="O87">
            <v>10</v>
          </cell>
          <cell r="P87">
            <v>50941915</v>
          </cell>
          <cell r="Q87">
            <v>18</v>
          </cell>
          <cell r="R87">
            <v>90135315</v>
          </cell>
          <cell r="S87">
            <v>5007517.5</v>
          </cell>
          <cell r="T87">
            <v>16</v>
          </cell>
          <cell r="U87">
            <v>80120280</v>
          </cell>
          <cell r="W87">
            <v>0</v>
          </cell>
          <cell r="X87">
            <v>2</v>
          </cell>
          <cell r="Y87">
            <v>10015035</v>
          </cell>
          <cell r="AC87">
            <v>2</v>
          </cell>
          <cell r="AD87">
            <v>2</v>
          </cell>
          <cell r="AG87">
            <v>2</v>
          </cell>
          <cell r="AI87">
            <v>1</v>
          </cell>
          <cell r="AJ87">
            <v>1</v>
          </cell>
          <cell r="AK87">
            <v>1</v>
          </cell>
          <cell r="AN87">
            <v>1</v>
          </cell>
        </row>
        <row r="88">
          <cell r="E88" t="str">
            <v>FIL-DSU-9P</v>
          </cell>
          <cell r="F88" t="str">
            <v>FILTER</v>
          </cell>
          <cell r="G88">
            <v>87</v>
          </cell>
          <cell r="J88" t="str">
            <v>FIL-DSU-37P</v>
          </cell>
          <cell r="K88" t="e">
            <v>#DIV/0!</v>
          </cell>
          <cell r="N88" t="str">
            <v>GAN-M10</v>
          </cell>
          <cell r="O88">
            <v>8</v>
          </cell>
          <cell r="P88">
            <v>56000000</v>
          </cell>
          <cell r="Q88">
            <v>11</v>
          </cell>
          <cell r="R88">
            <v>78438718</v>
          </cell>
          <cell r="S88">
            <v>7130792.5454545459</v>
          </cell>
          <cell r="T88">
            <v>9</v>
          </cell>
          <cell r="U88">
            <v>64177133</v>
          </cell>
          <cell r="W88">
            <v>0</v>
          </cell>
          <cell r="X88">
            <v>2</v>
          </cell>
          <cell r="Y88">
            <v>14261585</v>
          </cell>
          <cell r="AC88">
            <v>2</v>
          </cell>
          <cell r="AF88">
            <v>2</v>
          </cell>
          <cell r="AG88">
            <v>2</v>
          </cell>
          <cell r="AI88">
            <v>1</v>
          </cell>
          <cell r="AJ88">
            <v>1</v>
          </cell>
          <cell r="AM88">
            <v>1</v>
          </cell>
          <cell r="AN88">
            <v>1</v>
          </cell>
        </row>
        <row r="89">
          <cell r="E89" t="str">
            <v>FIXED CAPACITOR P/N M1989</v>
          </cell>
          <cell r="F89" t="str">
            <v>FILTER</v>
          </cell>
          <cell r="G89">
            <v>88</v>
          </cell>
          <cell r="J89" t="str">
            <v>FIL-DSU-9P</v>
          </cell>
          <cell r="K89">
            <v>38578.730000000003</v>
          </cell>
          <cell r="N89" t="str">
            <v>COUCH POWER 13M</v>
          </cell>
          <cell r="O89">
            <v>0</v>
          </cell>
          <cell r="P89">
            <v>0</v>
          </cell>
          <cell r="Q89">
            <v>1</v>
          </cell>
          <cell r="R89">
            <v>30700</v>
          </cell>
          <cell r="S89">
            <v>30700</v>
          </cell>
          <cell r="T89">
            <v>1</v>
          </cell>
          <cell r="U89">
            <v>30700</v>
          </cell>
          <cell r="W89">
            <v>0</v>
          </cell>
          <cell r="X89">
            <v>0</v>
          </cell>
          <cell r="Y89">
            <v>0</v>
          </cell>
          <cell r="AC89">
            <v>0</v>
          </cell>
          <cell r="AG89">
            <v>0</v>
          </cell>
          <cell r="AJ89">
            <v>0</v>
          </cell>
          <cell r="AN89">
            <v>0</v>
          </cell>
        </row>
        <row r="90">
          <cell r="E90" t="str">
            <v>GAS-9P</v>
          </cell>
          <cell r="F90" t="str">
            <v>FILTER</v>
          </cell>
          <cell r="G90">
            <v>89</v>
          </cell>
          <cell r="J90" t="str">
            <v>FIXED CAPACITOR P/N M1989</v>
          </cell>
          <cell r="K90">
            <v>123816.50793650794</v>
          </cell>
          <cell r="N90" t="str">
            <v>FIL-ARC-25A</v>
          </cell>
          <cell r="O90">
            <v>50</v>
          </cell>
          <cell r="P90">
            <v>5396873</v>
          </cell>
          <cell r="Q90">
            <v>90</v>
          </cell>
          <cell r="R90">
            <v>6519640</v>
          </cell>
          <cell r="S90">
            <v>72440.444444444438</v>
          </cell>
          <cell r="T90">
            <v>61</v>
          </cell>
          <cell r="U90">
            <v>4418867</v>
          </cell>
          <cell r="V90">
            <v>6</v>
          </cell>
          <cell r="W90">
            <v>434643</v>
          </cell>
          <cell r="X90">
            <v>23</v>
          </cell>
          <cell r="Y90">
            <v>1666130</v>
          </cell>
          <cell r="AC90">
            <v>23</v>
          </cell>
          <cell r="AD90">
            <v>23</v>
          </cell>
          <cell r="AG90">
            <v>23</v>
          </cell>
          <cell r="AJ90">
            <v>0</v>
          </cell>
          <cell r="AN90">
            <v>0</v>
          </cell>
        </row>
        <row r="91">
          <cell r="E91" t="str">
            <v>GRFA-M10</v>
          </cell>
          <cell r="F91" t="str">
            <v>FILTER</v>
          </cell>
          <cell r="G91">
            <v>90</v>
          </cell>
          <cell r="J91" t="str">
            <v>GAS-9P</v>
          </cell>
          <cell r="K91" t="e">
            <v>#DIV/0!</v>
          </cell>
          <cell r="N91" t="str">
            <v>FIL-DSU-37P</v>
          </cell>
          <cell r="O91">
            <v>0</v>
          </cell>
          <cell r="P91">
            <v>0</v>
          </cell>
          <cell r="Q91">
            <v>24</v>
          </cell>
          <cell r="R91">
            <v>3441668</v>
          </cell>
          <cell r="S91">
            <v>143402.83333333334</v>
          </cell>
          <cell r="T91">
            <v>5</v>
          </cell>
          <cell r="U91">
            <v>717014</v>
          </cell>
          <cell r="V91">
            <v>1</v>
          </cell>
          <cell r="W91">
            <v>143403</v>
          </cell>
          <cell r="X91">
            <v>18</v>
          </cell>
          <cell r="Y91">
            <v>2581251</v>
          </cell>
          <cell r="AC91">
            <v>18</v>
          </cell>
          <cell r="AD91">
            <v>18</v>
          </cell>
          <cell r="AG91">
            <v>18</v>
          </cell>
          <cell r="AJ91">
            <v>0</v>
          </cell>
          <cell r="AN91">
            <v>0</v>
          </cell>
        </row>
        <row r="92">
          <cell r="E92" t="str">
            <v>MESH STRIP(01-0101-0006) 150ft</v>
          </cell>
          <cell r="F92" t="str">
            <v>FILTER</v>
          </cell>
          <cell r="G92">
            <v>91</v>
          </cell>
          <cell r="J92" t="str">
            <v>GRFA-M10</v>
          </cell>
          <cell r="K92">
            <v>466666.66666666669</v>
          </cell>
          <cell r="N92" t="str">
            <v>FIL-DSU-9P</v>
          </cell>
          <cell r="O92">
            <v>100</v>
          </cell>
          <cell r="P92">
            <v>3857873</v>
          </cell>
          <cell r="Q92">
            <v>230</v>
          </cell>
          <cell r="R92">
            <v>8296867</v>
          </cell>
          <cell r="S92">
            <v>36073.334782608697</v>
          </cell>
          <cell r="T92">
            <v>94</v>
          </cell>
          <cell r="U92">
            <v>3390893</v>
          </cell>
          <cell r="V92">
            <v>8</v>
          </cell>
          <cell r="W92">
            <v>288587</v>
          </cell>
          <cell r="X92">
            <v>128</v>
          </cell>
          <cell r="Y92">
            <v>4617387</v>
          </cell>
          <cell r="AC92">
            <v>128</v>
          </cell>
          <cell r="AD92">
            <v>128</v>
          </cell>
          <cell r="AG92">
            <v>128</v>
          </cell>
          <cell r="AJ92">
            <v>0</v>
          </cell>
          <cell r="AN92">
            <v>0</v>
          </cell>
        </row>
        <row r="93">
          <cell r="E93" t="str">
            <v>FRM-M10</v>
          </cell>
          <cell r="F93" t="str">
            <v>Frame</v>
          </cell>
          <cell r="G93">
            <v>92</v>
          </cell>
          <cell r="J93" t="str">
            <v>MESH STRIP(01-0101-0006) 150ft</v>
          </cell>
          <cell r="K93">
            <v>12600</v>
          </cell>
          <cell r="N93" t="str">
            <v>FIXED CAPACITOR P/N M1989</v>
          </cell>
          <cell r="O93">
            <v>189</v>
          </cell>
          <cell r="P93">
            <v>23401320</v>
          </cell>
          <cell r="Q93">
            <v>189</v>
          </cell>
          <cell r="R93">
            <v>23401320</v>
          </cell>
          <cell r="S93">
            <v>123816.50793650794</v>
          </cell>
          <cell r="T93">
            <v>18</v>
          </cell>
          <cell r="U93">
            <v>2228697</v>
          </cell>
          <cell r="W93">
            <v>0</v>
          </cell>
          <cell r="X93">
            <v>171</v>
          </cell>
          <cell r="Y93">
            <v>21172623</v>
          </cell>
          <cell r="AC93">
            <v>171</v>
          </cell>
          <cell r="AD93">
            <v>171</v>
          </cell>
          <cell r="AG93">
            <v>171</v>
          </cell>
          <cell r="AJ93">
            <v>0</v>
          </cell>
          <cell r="AN93">
            <v>0</v>
          </cell>
        </row>
        <row r="94">
          <cell r="E94" t="str">
            <v>ILL-M10</v>
          </cell>
          <cell r="F94" t="str">
            <v>Gantry</v>
          </cell>
          <cell r="G94">
            <v>93</v>
          </cell>
          <cell r="J94" t="str">
            <v>FRM-M10</v>
          </cell>
          <cell r="K94">
            <v>3000000</v>
          </cell>
          <cell r="N94" t="str">
            <v>GAS-9P</v>
          </cell>
          <cell r="O94">
            <v>0</v>
          </cell>
          <cell r="P94">
            <v>0</v>
          </cell>
          <cell r="Q94">
            <v>47</v>
          </cell>
          <cell r="R94">
            <v>1336546</v>
          </cell>
          <cell r="S94">
            <v>28437.148936170212</v>
          </cell>
          <cell r="T94">
            <v>0</v>
          </cell>
          <cell r="U94">
            <v>0</v>
          </cell>
          <cell r="V94">
            <v>4</v>
          </cell>
          <cell r="W94">
            <v>113749</v>
          </cell>
          <cell r="X94">
            <v>43</v>
          </cell>
          <cell r="Y94">
            <v>1222797</v>
          </cell>
          <cell r="AC94">
            <v>43</v>
          </cell>
          <cell r="AD94">
            <v>43</v>
          </cell>
          <cell r="AG94">
            <v>43</v>
          </cell>
          <cell r="AH94">
            <v>56</v>
          </cell>
          <cell r="AJ94">
            <v>56</v>
          </cell>
          <cell r="AK94">
            <v>56</v>
          </cell>
          <cell r="AN94">
            <v>56</v>
          </cell>
        </row>
        <row r="95">
          <cell r="E95" t="str">
            <v>LASER COVER</v>
          </cell>
          <cell r="F95" t="str">
            <v>Gantry</v>
          </cell>
          <cell r="G95">
            <v>94</v>
          </cell>
          <cell r="J95" t="str">
            <v>ILL-M10</v>
          </cell>
          <cell r="K95" t="e">
            <v>#DIV/0!</v>
          </cell>
          <cell r="N95" t="str">
            <v>GRFA-M10</v>
          </cell>
          <cell r="O95">
            <v>27</v>
          </cell>
          <cell r="P95">
            <v>12600000</v>
          </cell>
          <cell r="Q95">
            <v>35</v>
          </cell>
          <cell r="R95">
            <v>15967969</v>
          </cell>
          <cell r="S95">
            <v>456227.6857142857</v>
          </cell>
          <cell r="T95">
            <v>15</v>
          </cell>
          <cell r="U95">
            <v>6843415</v>
          </cell>
          <cell r="W95">
            <v>0</v>
          </cell>
          <cell r="X95">
            <v>20</v>
          </cell>
          <cell r="Y95">
            <v>9124554</v>
          </cell>
          <cell r="AC95">
            <v>20</v>
          </cell>
          <cell r="AD95">
            <v>0</v>
          </cell>
          <cell r="AE95">
            <v>20</v>
          </cell>
          <cell r="AG95">
            <v>20</v>
          </cell>
          <cell r="AJ95">
            <v>0</v>
          </cell>
          <cell r="AN95">
            <v>0</v>
          </cell>
        </row>
        <row r="96">
          <cell r="E96" t="str">
            <v>GRA-M10</v>
          </cell>
          <cell r="F96" t="str">
            <v>Gradient Amp</v>
          </cell>
          <cell r="G96">
            <v>95</v>
          </cell>
          <cell r="J96" t="str">
            <v>LASER COVER</v>
          </cell>
          <cell r="K96" t="e">
            <v>#DIV/0!</v>
          </cell>
          <cell r="N96" t="str">
            <v>MESH STRIP(01-0101-0006) 150ft</v>
          </cell>
          <cell r="O96">
            <v>150</v>
          </cell>
          <cell r="P96">
            <v>1890000</v>
          </cell>
          <cell r="Q96">
            <v>150</v>
          </cell>
          <cell r="R96">
            <v>1890000</v>
          </cell>
          <cell r="S96">
            <v>12600</v>
          </cell>
          <cell r="T96">
            <v>150</v>
          </cell>
          <cell r="U96">
            <v>1890000</v>
          </cell>
          <cell r="W96">
            <v>0</v>
          </cell>
          <cell r="X96">
            <v>0</v>
          </cell>
          <cell r="Y96">
            <v>0</v>
          </cell>
          <cell r="AC96">
            <v>0</v>
          </cell>
          <cell r="AG96">
            <v>0</v>
          </cell>
          <cell r="AJ96">
            <v>0</v>
          </cell>
          <cell r="AN96">
            <v>0</v>
          </cell>
        </row>
        <row r="97">
          <cell r="E97" t="str">
            <v>ITCS-M10</v>
          </cell>
          <cell r="F97" t="str">
            <v>Intercom</v>
          </cell>
          <cell r="G97">
            <v>96</v>
          </cell>
          <cell r="J97" t="str">
            <v>GRA-M10</v>
          </cell>
          <cell r="K97">
            <v>22711850</v>
          </cell>
          <cell r="N97" t="str">
            <v>FRM-M10</v>
          </cell>
          <cell r="O97">
            <v>11</v>
          </cell>
          <cell r="P97">
            <v>33000000</v>
          </cell>
          <cell r="Q97">
            <v>16</v>
          </cell>
          <cell r="R97">
            <v>47000000</v>
          </cell>
          <cell r="S97">
            <v>2937500</v>
          </cell>
          <cell r="T97">
            <v>10</v>
          </cell>
          <cell r="U97">
            <v>29375000</v>
          </cell>
          <cell r="W97">
            <v>0</v>
          </cell>
          <cell r="X97">
            <v>6</v>
          </cell>
          <cell r="Y97">
            <v>17625000</v>
          </cell>
          <cell r="AC97">
            <v>6</v>
          </cell>
          <cell r="AF97">
            <v>6</v>
          </cell>
          <cell r="AG97">
            <v>6</v>
          </cell>
          <cell r="AI97">
            <v>1</v>
          </cell>
          <cell r="AJ97">
            <v>1</v>
          </cell>
          <cell r="AM97">
            <v>1</v>
          </cell>
          <cell r="AN97">
            <v>1</v>
          </cell>
        </row>
        <row r="98">
          <cell r="E98" t="str">
            <v>KEY</v>
          </cell>
          <cell r="F98" t="str">
            <v>Intercom</v>
          </cell>
          <cell r="G98">
            <v>97</v>
          </cell>
          <cell r="J98" t="str">
            <v>ITCS-M10</v>
          </cell>
          <cell r="K98">
            <v>2500000</v>
          </cell>
          <cell r="N98" t="str">
            <v>ILL-M10</v>
          </cell>
          <cell r="O98">
            <v>0</v>
          </cell>
          <cell r="P98">
            <v>0</v>
          </cell>
          <cell r="Q98">
            <v>44</v>
          </cell>
          <cell r="R98">
            <v>8103207</v>
          </cell>
          <cell r="S98">
            <v>184163.79545454544</v>
          </cell>
          <cell r="T98">
            <v>27</v>
          </cell>
          <cell r="U98">
            <v>4972422</v>
          </cell>
          <cell r="W98">
            <v>0</v>
          </cell>
          <cell r="X98">
            <v>17</v>
          </cell>
          <cell r="Y98">
            <v>3130785</v>
          </cell>
          <cell r="AC98">
            <v>17</v>
          </cell>
          <cell r="AE98">
            <v>17</v>
          </cell>
          <cell r="AG98">
            <v>17</v>
          </cell>
          <cell r="AI98">
            <v>2</v>
          </cell>
          <cell r="AJ98">
            <v>2</v>
          </cell>
          <cell r="AL98">
            <v>2</v>
          </cell>
          <cell r="AN98">
            <v>2</v>
          </cell>
        </row>
        <row r="99">
          <cell r="E99" t="str">
            <v>KNOB</v>
          </cell>
          <cell r="F99" t="str">
            <v>Intercom</v>
          </cell>
          <cell r="G99">
            <v>98</v>
          </cell>
          <cell r="J99" t="str">
            <v>KEY</v>
          </cell>
          <cell r="K99">
            <v>22500</v>
          </cell>
          <cell r="N99" t="str">
            <v>LASER COVER</v>
          </cell>
          <cell r="O99">
            <v>0</v>
          </cell>
          <cell r="P99">
            <v>0</v>
          </cell>
          <cell r="Q99">
            <v>100</v>
          </cell>
          <cell r="R99">
            <v>1000000</v>
          </cell>
          <cell r="S99">
            <v>10000</v>
          </cell>
          <cell r="T99">
            <v>58</v>
          </cell>
          <cell r="U99">
            <v>580000</v>
          </cell>
          <cell r="W99">
            <v>0</v>
          </cell>
          <cell r="X99">
            <v>42</v>
          </cell>
          <cell r="Y99">
            <v>420000</v>
          </cell>
          <cell r="AC99">
            <v>42</v>
          </cell>
          <cell r="AF99">
            <v>42</v>
          </cell>
          <cell r="AG99">
            <v>42</v>
          </cell>
          <cell r="AI99">
            <v>1</v>
          </cell>
          <cell r="AJ99">
            <v>1</v>
          </cell>
          <cell r="AM99">
            <v>1</v>
          </cell>
          <cell r="AN99">
            <v>1</v>
          </cell>
        </row>
        <row r="100">
          <cell r="E100" t="str">
            <v>LED COVER</v>
          </cell>
          <cell r="F100" t="str">
            <v>Intercom</v>
          </cell>
          <cell r="G100">
            <v>99</v>
          </cell>
          <cell r="J100" t="str">
            <v>KNOB</v>
          </cell>
          <cell r="K100">
            <v>15000</v>
          </cell>
          <cell r="N100" t="str">
            <v>GRA-M10</v>
          </cell>
          <cell r="O100">
            <v>14</v>
          </cell>
          <cell r="P100">
            <v>260000000</v>
          </cell>
          <cell r="Q100">
            <v>18</v>
          </cell>
          <cell r="R100">
            <v>408813308</v>
          </cell>
          <cell r="S100">
            <v>22711850.444444444</v>
          </cell>
          <cell r="T100">
            <v>5</v>
          </cell>
          <cell r="U100">
            <v>113559252</v>
          </cell>
          <cell r="W100">
            <v>0</v>
          </cell>
          <cell r="X100">
            <v>13</v>
          </cell>
          <cell r="Y100">
            <v>295254056</v>
          </cell>
          <cell r="AC100">
            <v>13</v>
          </cell>
          <cell r="AD100">
            <v>6</v>
          </cell>
          <cell r="AE100">
            <v>4</v>
          </cell>
          <cell r="AF100">
            <v>3</v>
          </cell>
          <cell r="AG100">
            <v>13</v>
          </cell>
          <cell r="AI100">
            <v>1</v>
          </cell>
          <cell r="AJ100">
            <v>1</v>
          </cell>
          <cell r="AK100">
            <v>1</v>
          </cell>
          <cell r="AN100">
            <v>1</v>
          </cell>
        </row>
        <row r="101">
          <cell r="E101" t="str">
            <v>SPECKER COVER</v>
          </cell>
          <cell r="F101" t="str">
            <v>Intercom</v>
          </cell>
          <cell r="G101">
            <v>100</v>
          </cell>
          <cell r="J101" t="str">
            <v>LED COVER</v>
          </cell>
          <cell r="K101">
            <v>10500</v>
          </cell>
          <cell r="N101" t="str">
            <v>ITCS-M10</v>
          </cell>
          <cell r="O101">
            <v>7</v>
          </cell>
          <cell r="P101">
            <v>17500000</v>
          </cell>
          <cell r="Q101">
            <v>12</v>
          </cell>
          <cell r="R101">
            <v>32500000</v>
          </cell>
          <cell r="S101">
            <v>2708333.3333333335</v>
          </cell>
          <cell r="T101">
            <v>12</v>
          </cell>
          <cell r="U101">
            <v>32500000</v>
          </cell>
          <cell r="W101">
            <v>0</v>
          </cell>
          <cell r="X101">
            <v>0</v>
          </cell>
          <cell r="Y101">
            <v>0</v>
          </cell>
          <cell r="AC101">
            <v>0</v>
          </cell>
          <cell r="AG101">
            <v>0</v>
          </cell>
          <cell r="AJ101">
            <v>0</v>
          </cell>
          <cell r="AN101">
            <v>0</v>
          </cell>
        </row>
        <row r="102">
          <cell r="E102" t="str">
            <v>TOP CASE</v>
          </cell>
          <cell r="F102" t="str">
            <v>Intercom</v>
          </cell>
          <cell r="G102">
            <v>101</v>
          </cell>
          <cell r="J102" t="str">
            <v>SPECKER COVER</v>
          </cell>
          <cell r="K102">
            <v>42000</v>
          </cell>
          <cell r="N102" t="str">
            <v>KEY</v>
          </cell>
          <cell r="O102">
            <v>10</v>
          </cell>
          <cell r="P102">
            <v>225000</v>
          </cell>
          <cell r="Q102">
            <v>10</v>
          </cell>
          <cell r="R102">
            <v>225000</v>
          </cell>
          <cell r="S102">
            <v>22500</v>
          </cell>
          <cell r="T102">
            <v>10</v>
          </cell>
          <cell r="U102">
            <v>225000</v>
          </cell>
          <cell r="W102">
            <v>0</v>
          </cell>
          <cell r="X102">
            <v>0</v>
          </cell>
          <cell r="Y102">
            <v>0</v>
          </cell>
          <cell r="AC102">
            <v>0</v>
          </cell>
          <cell r="AG102">
            <v>0</v>
          </cell>
          <cell r="AJ102">
            <v>0</v>
          </cell>
          <cell r="AN102">
            <v>0</v>
          </cell>
        </row>
        <row r="103">
          <cell r="E103" t="str">
            <v>대구 문성병원..KODAK 8100 LASER IMAGER 설치</v>
          </cell>
          <cell r="F103" t="str">
            <v>LASER IMAGER</v>
          </cell>
          <cell r="G103">
            <v>102</v>
          </cell>
          <cell r="J103" t="str">
            <v>TOP CASE</v>
          </cell>
          <cell r="K103">
            <v>205000</v>
          </cell>
          <cell r="N103" t="str">
            <v>KNOB</v>
          </cell>
          <cell r="O103">
            <v>30</v>
          </cell>
          <cell r="P103">
            <v>450000</v>
          </cell>
          <cell r="Q103">
            <v>30</v>
          </cell>
          <cell r="R103">
            <v>450000</v>
          </cell>
          <cell r="S103">
            <v>15000</v>
          </cell>
          <cell r="T103">
            <v>30</v>
          </cell>
          <cell r="U103">
            <v>450000</v>
          </cell>
          <cell r="W103">
            <v>0</v>
          </cell>
          <cell r="X103">
            <v>0</v>
          </cell>
          <cell r="Y103">
            <v>0</v>
          </cell>
          <cell r="AC103">
            <v>0</v>
          </cell>
          <cell r="AG103">
            <v>0</v>
          </cell>
          <cell r="AJ103">
            <v>0</v>
          </cell>
          <cell r="AN103">
            <v>0</v>
          </cell>
        </row>
        <row r="104">
          <cell r="E104" t="str">
            <v>대전동아 KODAK 8700</v>
          </cell>
          <cell r="F104" t="str">
            <v>LASER IMAGER</v>
          </cell>
          <cell r="G104">
            <v>103</v>
          </cell>
          <cell r="J104" t="str">
            <v>대구 문성병원..KODAK 8100 LASER IMAGER 설치</v>
          </cell>
          <cell r="K104">
            <v>56000000</v>
          </cell>
          <cell r="N104" t="str">
            <v>LED COVER</v>
          </cell>
          <cell r="O104">
            <v>20</v>
          </cell>
          <cell r="P104">
            <v>210000</v>
          </cell>
          <cell r="Q104">
            <v>20</v>
          </cell>
          <cell r="R104">
            <v>210000</v>
          </cell>
          <cell r="S104">
            <v>10500</v>
          </cell>
          <cell r="T104">
            <v>20</v>
          </cell>
          <cell r="U104">
            <v>210000</v>
          </cell>
          <cell r="W104">
            <v>0</v>
          </cell>
          <cell r="X104">
            <v>0</v>
          </cell>
          <cell r="Y104">
            <v>0</v>
          </cell>
          <cell r="AC104">
            <v>0</v>
          </cell>
          <cell r="AG104">
            <v>0</v>
          </cell>
          <cell r="AJ104">
            <v>0</v>
          </cell>
          <cell r="AN104">
            <v>0</v>
          </cell>
        </row>
        <row r="105">
          <cell r="E105" t="str">
            <v>신천연합 KODAK DRYVIEW M8100</v>
          </cell>
          <cell r="F105" t="str">
            <v>LASER IMAGER</v>
          </cell>
          <cell r="G105">
            <v>104</v>
          </cell>
          <cell r="J105" t="str">
            <v>대전동아 KODAK 8700</v>
          </cell>
          <cell r="K105">
            <v>59000000</v>
          </cell>
          <cell r="N105" t="str">
            <v>SPECKER COVER</v>
          </cell>
          <cell r="O105">
            <v>10</v>
          </cell>
          <cell r="P105">
            <v>420000</v>
          </cell>
          <cell r="Q105">
            <v>10</v>
          </cell>
          <cell r="R105">
            <v>420000</v>
          </cell>
          <cell r="S105">
            <v>42000</v>
          </cell>
          <cell r="T105">
            <v>10</v>
          </cell>
          <cell r="U105">
            <v>420000</v>
          </cell>
          <cell r="W105">
            <v>0</v>
          </cell>
          <cell r="X105">
            <v>0</v>
          </cell>
          <cell r="Y105">
            <v>0</v>
          </cell>
          <cell r="AC105">
            <v>0</v>
          </cell>
          <cell r="AG105">
            <v>0</v>
          </cell>
          <cell r="AJ105">
            <v>0</v>
          </cell>
          <cell r="AN105">
            <v>0</v>
          </cell>
        </row>
        <row r="106">
          <cell r="E106" t="str">
            <v>중대용산 AGFA LR5200P</v>
          </cell>
          <cell r="F106" t="str">
            <v>LASER IMAGER</v>
          </cell>
          <cell r="G106">
            <v>105</v>
          </cell>
          <cell r="J106" t="str">
            <v>신천연합 KODAK DRYVIEW M8100</v>
          </cell>
          <cell r="K106">
            <v>37250000</v>
          </cell>
          <cell r="N106" t="str">
            <v>TOP CASE</v>
          </cell>
          <cell r="O106">
            <v>10</v>
          </cell>
          <cell r="P106">
            <v>2050000</v>
          </cell>
          <cell r="Q106">
            <v>10</v>
          </cell>
          <cell r="R106">
            <v>2050000</v>
          </cell>
          <cell r="S106">
            <v>205000</v>
          </cell>
          <cell r="T106">
            <v>10</v>
          </cell>
          <cell r="U106">
            <v>2050000</v>
          </cell>
          <cell r="W106">
            <v>0</v>
          </cell>
          <cell r="X106">
            <v>0</v>
          </cell>
          <cell r="Y106">
            <v>0</v>
          </cell>
          <cell r="AC106">
            <v>0</v>
          </cell>
          <cell r="AG106">
            <v>0</v>
          </cell>
          <cell r="AJ106">
            <v>0</v>
          </cell>
          <cell r="AN106">
            <v>0</v>
          </cell>
        </row>
        <row r="107">
          <cell r="E107" t="str">
            <v>AGFA..LASER IMAGER 3PC M000314(거제,구리,사천)</v>
          </cell>
          <cell r="F107" t="str">
            <v>LASER IMAGER</v>
          </cell>
          <cell r="G107">
            <v>106</v>
          </cell>
          <cell r="J107" t="str">
            <v>중대용산 AGFA LR5200P</v>
          </cell>
          <cell r="K107">
            <v>73700000</v>
          </cell>
          <cell r="N107" t="str">
            <v>대구 문성병원..KODAK 8100 LASER IMAGER 설치</v>
          </cell>
          <cell r="O107">
            <v>1</v>
          </cell>
          <cell r="P107">
            <v>56000000</v>
          </cell>
          <cell r="Q107">
            <v>1</v>
          </cell>
          <cell r="R107">
            <v>56000000</v>
          </cell>
          <cell r="S107">
            <v>56000000</v>
          </cell>
          <cell r="T107">
            <v>1</v>
          </cell>
          <cell r="U107">
            <v>56000000</v>
          </cell>
          <cell r="W107">
            <v>0</v>
          </cell>
          <cell r="X107">
            <v>0</v>
          </cell>
          <cell r="Y107">
            <v>0</v>
          </cell>
          <cell r="AC107">
            <v>0</v>
          </cell>
          <cell r="AG107">
            <v>0</v>
          </cell>
          <cell r="AJ107">
            <v>0</v>
          </cell>
          <cell r="AN107">
            <v>0</v>
          </cell>
        </row>
        <row r="108">
          <cell r="E108" t="str">
            <v>KODAK..LASER CAMERA EKTASCAN 1120(M000315)</v>
          </cell>
          <cell r="F108" t="str">
            <v>LASER IMAGER</v>
          </cell>
          <cell r="G108">
            <v>107</v>
          </cell>
          <cell r="J108" t="str">
            <v>AGFA..LASER IMAGER 3PC M000314(거제,구리,사천)</v>
          </cell>
          <cell r="K108">
            <v>60123391.333333336</v>
          </cell>
          <cell r="N108" t="str">
            <v>대전동아 KODAK 8700</v>
          </cell>
          <cell r="O108">
            <v>1</v>
          </cell>
          <cell r="P108">
            <v>59000000</v>
          </cell>
          <cell r="Q108">
            <v>1</v>
          </cell>
          <cell r="R108">
            <v>59000000</v>
          </cell>
          <cell r="S108">
            <v>59000000</v>
          </cell>
          <cell r="T108">
            <v>1</v>
          </cell>
          <cell r="U108">
            <v>59000000</v>
          </cell>
          <cell r="W108">
            <v>0</v>
          </cell>
          <cell r="X108">
            <v>0</v>
          </cell>
          <cell r="Y108">
            <v>0</v>
          </cell>
          <cell r="AC108">
            <v>0</v>
          </cell>
          <cell r="AG108">
            <v>0</v>
          </cell>
          <cell r="AJ108">
            <v>0</v>
          </cell>
          <cell r="AN108">
            <v>0</v>
          </cell>
        </row>
        <row r="109">
          <cell r="E109" t="str">
            <v>KODAK..LASER CAMERA EKTASCAN 1120(M000316)(온양)</v>
          </cell>
          <cell r="F109" t="str">
            <v>LASER IMAGER</v>
          </cell>
          <cell r="G109">
            <v>108</v>
          </cell>
          <cell r="J109" t="str">
            <v>KODAK..LASER CAMERA EKTASCAN 1120(M000315)</v>
          </cell>
          <cell r="K109">
            <v>50644536</v>
          </cell>
          <cell r="N109" t="str">
            <v>신천연합 KODAK DRYVIEW M8100</v>
          </cell>
          <cell r="O109">
            <v>1</v>
          </cell>
          <cell r="P109">
            <v>37250000</v>
          </cell>
          <cell r="Q109">
            <v>1</v>
          </cell>
          <cell r="R109">
            <v>37250000</v>
          </cell>
          <cell r="S109">
            <v>37250000</v>
          </cell>
          <cell r="T109">
            <v>1</v>
          </cell>
          <cell r="U109">
            <v>37250000</v>
          </cell>
          <cell r="W109">
            <v>0</v>
          </cell>
          <cell r="X109">
            <v>0</v>
          </cell>
          <cell r="Y109">
            <v>0</v>
          </cell>
          <cell r="AC109">
            <v>0</v>
          </cell>
          <cell r="AG109">
            <v>0</v>
          </cell>
          <cell r="AJ109">
            <v>0</v>
          </cell>
          <cell r="AN109">
            <v>0</v>
          </cell>
        </row>
        <row r="110">
          <cell r="E110" t="str">
            <v>LSR-KODAK-M10(울산)</v>
          </cell>
          <cell r="F110" t="str">
            <v>LASER IMAGER</v>
          </cell>
          <cell r="G110">
            <v>109</v>
          </cell>
          <cell r="J110" t="str">
            <v>KODAK..LASER CAMERA EKTASCAN 1120(M000316)(온양)</v>
          </cell>
          <cell r="K110">
            <v>50644492</v>
          </cell>
          <cell r="N110" t="str">
            <v>중대용산 AGFA LR5200P</v>
          </cell>
          <cell r="O110">
            <v>1</v>
          </cell>
          <cell r="P110">
            <v>73700000</v>
          </cell>
          <cell r="Q110">
            <v>1</v>
          </cell>
          <cell r="R110">
            <v>73700000</v>
          </cell>
          <cell r="S110">
            <v>73700000</v>
          </cell>
          <cell r="T110">
            <v>1</v>
          </cell>
          <cell r="U110">
            <v>73700000</v>
          </cell>
          <cell r="W110">
            <v>0</v>
          </cell>
          <cell r="X110">
            <v>0</v>
          </cell>
          <cell r="Y110">
            <v>0</v>
          </cell>
          <cell r="AC110">
            <v>0</v>
          </cell>
          <cell r="AG110">
            <v>0</v>
          </cell>
          <cell r="AJ110">
            <v>0</v>
          </cell>
          <cell r="AN110">
            <v>0</v>
          </cell>
        </row>
        <row r="111">
          <cell r="E111" t="str">
            <v>ADSORBER CP6000</v>
          </cell>
          <cell r="F111" t="str">
            <v>MAGNET</v>
          </cell>
          <cell r="G111">
            <v>110</v>
          </cell>
          <cell r="J111" t="str">
            <v>LSR-KODAK-M10(울산)</v>
          </cell>
          <cell r="K111" t="e">
            <v>#DIV/0!</v>
          </cell>
          <cell r="N111" t="str">
            <v>AGFA..LASER IMAGER 3PC M000314(거제,구리,사천)</v>
          </cell>
          <cell r="O111">
            <v>3</v>
          </cell>
          <cell r="P111">
            <v>180370174</v>
          </cell>
          <cell r="Q111">
            <v>3</v>
          </cell>
          <cell r="R111">
            <v>180370174</v>
          </cell>
          <cell r="S111">
            <v>60123391.333333336</v>
          </cell>
          <cell r="T111">
            <v>3</v>
          </cell>
          <cell r="U111">
            <v>180370174</v>
          </cell>
          <cell r="W111">
            <v>0</v>
          </cell>
          <cell r="X111">
            <v>0</v>
          </cell>
          <cell r="Y111">
            <v>0</v>
          </cell>
          <cell r="AC111">
            <v>0</v>
          </cell>
          <cell r="AG111">
            <v>0</v>
          </cell>
          <cell r="AJ111">
            <v>0</v>
          </cell>
          <cell r="AN111">
            <v>0</v>
          </cell>
        </row>
        <row r="112">
          <cell r="E112" t="str">
            <v>ADSORBER RW6000</v>
          </cell>
          <cell r="F112" t="str">
            <v>MAGNET</v>
          </cell>
          <cell r="G112">
            <v>111</v>
          </cell>
          <cell r="J112" t="str">
            <v>ADSORBER CP6000</v>
          </cell>
          <cell r="K112" t="e">
            <v>#DIV/0!</v>
          </cell>
          <cell r="N112" t="str">
            <v>KODAK..LASER CAMERA EKTASCAN 1120(M000315)</v>
          </cell>
          <cell r="O112">
            <v>1</v>
          </cell>
          <cell r="P112">
            <v>50644536</v>
          </cell>
          <cell r="Q112">
            <v>1</v>
          </cell>
          <cell r="R112">
            <v>50644536</v>
          </cell>
          <cell r="S112">
            <v>50644536</v>
          </cell>
          <cell r="T112">
            <v>1</v>
          </cell>
          <cell r="U112">
            <v>50644536</v>
          </cell>
          <cell r="W112">
            <v>0</v>
          </cell>
          <cell r="X112">
            <v>0</v>
          </cell>
          <cell r="Y112">
            <v>0</v>
          </cell>
          <cell r="AC112">
            <v>0</v>
          </cell>
          <cell r="AE112">
            <v>0</v>
          </cell>
          <cell r="AG112">
            <v>0</v>
          </cell>
          <cell r="AI112">
            <v>1</v>
          </cell>
          <cell r="AJ112">
            <v>1</v>
          </cell>
          <cell r="AL112">
            <v>1</v>
          </cell>
          <cell r="AN112">
            <v>1</v>
          </cell>
        </row>
        <row r="113">
          <cell r="E113" t="str">
            <v>COMPRESSOR COOLPAK TYPE CP6000</v>
          </cell>
          <cell r="F113" t="str">
            <v>MAGNET</v>
          </cell>
          <cell r="G113">
            <v>112</v>
          </cell>
          <cell r="J113" t="str">
            <v>ADSORBER RW6000</v>
          </cell>
          <cell r="K113">
            <v>3053034</v>
          </cell>
          <cell r="N113" t="str">
            <v>KODAK..LASER CAMERA EKTASCAN 1120(M000316)(온양)</v>
          </cell>
          <cell r="O113">
            <v>1</v>
          </cell>
          <cell r="P113">
            <v>50644492</v>
          </cell>
          <cell r="Q113">
            <v>1</v>
          </cell>
          <cell r="R113">
            <v>50644492</v>
          </cell>
          <cell r="S113">
            <v>50644492</v>
          </cell>
          <cell r="T113">
            <v>1</v>
          </cell>
          <cell r="U113">
            <v>50644492</v>
          </cell>
          <cell r="W113">
            <v>0</v>
          </cell>
          <cell r="X113">
            <v>0</v>
          </cell>
          <cell r="Y113">
            <v>0</v>
          </cell>
          <cell r="AC113">
            <v>0</v>
          </cell>
          <cell r="AG113">
            <v>0</v>
          </cell>
          <cell r="AJ113">
            <v>0</v>
          </cell>
          <cell r="AN113">
            <v>0</v>
          </cell>
        </row>
        <row r="114">
          <cell r="E114" t="str">
            <v>DC POWER SUPPLY 119-020TS</v>
          </cell>
          <cell r="F114" t="str">
            <v>MAGNET</v>
          </cell>
          <cell r="G114">
            <v>113</v>
          </cell>
          <cell r="J114" t="str">
            <v>COMPRESSOR COOLPAK TYPE CP6000</v>
          </cell>
          <cell r="K114">
            <v>19502871</v>
          </cell>
          <cell r="N114" t="str">
            <v>LSR-KODAK-M10(울산)</v>
          </cell>
          <cell r="O114">
            <v>0</v>
          </cell>
          <cell r="P114">
            <v>0</v>
          </cell>
          <cell r="Q114">
            <v>1</v>
          </cell>
          <cell r="R114">
            <v>76894823</v>
          </cell>
          <cell r="S114">
            <v>76894823</v>
          </cell>
          <cell r="T114">
            <v>1</v>
          </cell>
          <cell r="U114">
            <v>76894823</v>
          </cell>
          <cell r="W114">
            <v>0</v>
          </cell>
          <cell r="X114">
            <v>0</v>
          </cell>
          <cell r="Y114">
            <v>0</v>
          </cell>
          <cell r="AC114">
            <v>0</v>
          </cell>
          <cell r="AG114">
            <v>0</v>
          </cell>
          <cell r="AJ114">
            <v>0</v>
          </cell>
          <cell r="AN114">
            <v>0</v>
          </cell>
        </row>
        <row r="115">
          <cell r="E115" t="str">
            <v>HIGH VAC NW25 SEE EXTD DESC</v>
          </cell>
          <cell r="F115" t="str">
            <v>MAGNET</v>
          </cell>
          <cell r="G115">
            <v>114</v>
          </cell>
          <cell r="J115" t="str">
            <v>DC POWER SUPPLY 119-020TS</v>
          </cell>
          <cell r="K115" t="e">
            <v>#DIV/0!</v>
          </cell>
          <cell r="N115" t="str">
            <v>ADSORBER CP6000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U115">
            <v>0</v>
          </cell>
          <cell r="W115">
            <v>0</v>
          </cell>
          <cell r="X115">
            <v>0</v>
          </cell>
          <cell r="Y115">
            <v>0</v>
          </cell>
          <cell r="AA115">
            <v>3</v>
          </cell>
          <cell r="AB115">
            <v>1</v>
          </cell>
          <cell r="AC115">
            <v>2</v>
          </cell>
          <cell r="AF115">
            <v>2</v>
          </cell>
          <cell r="AG115">
            <v>2</v>
          </cell>
          <cell r="AJ115">
            <v>0</v>
          </cell>
          <cell r="AN115">
            <v>0</v>
          </cell>
        </row>
        <row r="116">
          <cell r="E116" t="str">
            <v>MPSU KIT 622-003 S/N.002</v>
          </cell>
          <cell r="F116" t="str">
            <v>MAGNET</v>
          </cell>
          <cell r="G116">
            <v>115</v>
          </cell>
          <cell r="J116" t="str">
            <v>HIGH VAC NW25 SEE EXTD DESC</v>
          </cell>
          <cell r="K116" t="e">
            <v>#DIV/0!</v>
          </cell>
          <cell r="N116" t="str">
            <v>ADSORBER RW6000</v>
          </cell>
          <cell r="O116">
            <v>5</v>
          </cell>
          <cell r="P116">
            <v>15265170</v>
          </cell>
          <cell r="Q116">
            <v>5</v>
          </cell>
          <cell r="R116">
            <v>15265170</v>
          </cell>
          <cell r="S116">
            <v>3053034</v>
          </cell>
          <cell r="T116">
            <v>4</v>
          </cell>
          <cell r="U116">
            <v>12212136</v>
          </cell>
          <cell r="W116">
            <v>0</v>
          </cell>
          <cell r="X116">
            <v>1</v>
          </cell>
          <cell r="Y116">
            <v>3053034</v>
          </cell>
          <cell r="AC116">
            <v>1</v>
          </cell>
          <cell r="AF116">
            <v>1</v>
          </cell>
          <cell r="AG116">
            <v>1</v>
          </cell>
          <cell r="AJ116">
            <v>0</v>
          </cell>
          <cell r="AN116">
            <v>0</v>
          </cell>
        </row>
        <row r="117">
          <cell r="E117" t="str">
            <v>OXFORD..DISPLACER (M000313)</v>
          </cell>
          <cell r="F117" t="str">
            <v>MAGNET</v>
          </cell>
          <cell r="G117">
            <v>116</v>
          </cell>
          <cell r="J117" t="str">
            <v>MPSU KIT 622-003 S/N.002</v>
          </cell>
          <cell r="K117" t="e">
            <v>#DIV/0!</v>
          </cell>
          <cell r="N117" t="str">
            <v>COMPRESSOR COOLPAK TYPE CP6000</v>
          </cell>
          <cell r="O117">
            <v>2</v>
          </cell>
          <cell r="P117">
            <v>39005742</v>
          </cell>
          <cell r="Q117">
            <v>2</v>
          </cell>
          <cell r="R117">
            <v>39005742</v>
          </cell>
          <cell r="S117">
            <v>19502871</v>
          </cell>
          <cell r="T117">
            <v>2</v>
          </cell>
          <cell r="U117">
            <v>39005742</v>
          </cell>
          <cell r="W117">
            <v>0</v>
          </cell>
          <cell r="X117">
            <v>0</v>
          </cell>
          <cell r="Y117">
            <v>0</v>
          </cell>
          <cell r="Z117">
            <v>1</v>
          </cell>
          <cell r="AC117">
            <v>1</v>
          </cell>
          <cell r="AE117">
            <v>1</v>
          </cell>
          <cell r="AG117">
            <v>1</v>
          </cell>
          <cell r="AJ117">
            <v>0</v>
          </cell>
          <cell r="AN117">
            <v>0</v>
          </cell>
        </row>
        <row r="118">
          <cell r="E118" t="str">
            <v>OXFORD..MAGNET 1.0T</v>
          </cell>
          <cell r="F118" t="str">
            <v>MAGNET</v>
          </cell>
          <cell r="G118">
            <v>117</v>
          </cell>
          <cell r="J118" t="str">
            <v>OXFORD..DISPLACER (M000313)</v>
          </cell>
          <cell r="K118">
            <v>4835267.0999999996</v>
          </cell>
          <cell r="N118" t="str">
            <v>DC POWER SUPPLY 119-020TS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1</v>
          </cell>
          <cell r="AC118">
            <v>1</v>
          </cell>
          <cell r="AD118">
            <v>1</v>
          </cell>
          <cell r="AG118">
            <v>1</v>
          </cell>
          <cell r="AJ118">
            <v>0</v>
          </cell>
          <cell r="AN118">
            <v>0</v>
          </cell>
        </row>
        <row r="119">
          <cell r="E119" t="str">
            <v>OXFORD..MAGNET 1.5T</v>
          </cell>
          <cell r="F119" t="str">
            <v>MAGNET</v>
          </cell>
          <cell r="G119">
            <v>118</v>
          </cell>
          <cell r="J119" t="str">
            <v>OXFORD..MAGNET 1.0T</v>
          </cell>
          <cell r="K119">
            <v>273248595.14285713</v>
          </cell>
          <cell r="N119" t="str">
            <v>HIGH VAC NW25 SEE EXTD DESC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1</v>
          </cell>
          <cell r="AC119">
            <v>1</v>
          </cell>
          <cell r="AD119">
            <v>1</v>
          </cell>
          <cell r="AG119">
            <v>1</v>
          </cell>
          <cell r="AJ119">
            <v>0</v>
          </cell>
          <cell r="AN119">
            <v>0</v>
          </cell>
        </row>
        <row r="120">
          <cell r="E120" t="str">
            <v>자바라</v>
          </cell>
          <cell r="F120" t="str">
            <v>Patient Table</v>
          </cell>
          <cell r="G120">
            <v>119</v>
          </cell>
          <cell r="J120" t="str">
            <v>OXFORD..MAGNET 1.5T</v>
          </cell>
          <cell r="K120">
            <v>329398265</v>
          </cell>
          <cell r="N120" t="str">
            <v>MPSU KIT 622-003 S/N.002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1</v>
          </cell>
          <cell r="AC120">
            <v>1</v>
          </cell>
          <cell r="AE120">
            <v>1</v>
          </cell>
          <cell r="AG120">
            <v>1</v>
          </cell>
          <cell r="AJ120">
            <v>0</v>
          </cell>
          <cell r="AN120">
            <v>0</v>
          </cell>
        </row>
        <row r="121">
          <cell r="E121" t="str">
            <v>자바라 BRACKET</v>
          </cell>
          <cell r="F121" t="str">
            <v>Patient Table</v>
          </cell>
          <cell r="G121">
            <v>120</v>
          </cell>
          <cell r="J121" t="str">
            <v>자바라</v>
          </cell>
          <cell r="K121">
            <v>450000</v>
          </cell>
          <cell r="N121" t="str">
            <v>OXFORD..DISPLACER (M000313)</v>
          </cell>
          <cell r="O121">
            <v>10</v>
          </cell>
          <cell r="P121">
            <v>48352671</v>
          </cell>
          <cell r="Q121">
            <v>10</v>
          </cell>
          <cell r="R121">
            <v>48352671</v>
          </cell>
          <cell r="S121">
            <v>4835267.0999999996</v>
          </cell>
          <cell r="T121">
            <v>9</v>
          </cell>
          <cell r="U121">
            <v>43517404</v>
          </cell>
          <cell r="W121">
            <v>0</v>
          </cell>
          <cell r="X121">
            <v>1</v>
          </cell>
          <cell r="Y121">
            <v>4835267</v>
          </cell>
          <cell r="AC121">
            <v>1</v>
          </cell>
          <cell r="AD121">
            <v>1</v>
          </cell>
          <cell r="AG121">
            <v>1</v>
          </cell>
          <cell r="AJ121">
            <v>0</v>
          </cell>
          <cell r="AN121">
            <v>0</v>
          </cell>
        </row>
        <row r="122">
          <cell r="E122" t="str">
            <v>Cradle</v>
          </cell>
          <cell r="F122" t="str">
            <v>Patient Table</v>
          </cell>
          <cell r="G122">
            <v>121</v>
          </cell>
          <cell r="J122" t="str">
            <v>자바라 BRACKET</v>
          </cell>
          <cell r="K122">
            <v>200000</v>
          </cell>
          <cell r="N122" t="str">
            <v>OXFORD..MAGNET 1.0T</v>
          </cell>
          <cell r="O122">
            <v>7</v>
          </cell>
          <cell r="P122">
            <v>1912740166</v>
          </cell>
          <cell r="Q122">
            <v>10</v>
          </cell>
          <cell r="R122">
            <v>2698879872</v>
          </cell>
          <cell r="S122">
            <v>269887987.19999999</v>
          </cell>
          <cell r="T122">
            <v>9</v>
          </cell>
          <cell r="U122">
            <v>2428991885</v>
          </cell>
          <cell r="W122">
            <v>0</v>
          </cell>
          <cell r="X122">
            <v>1</v>
          </cell>
          <cell r="Y122">
            <v>269887987</v>
          </cell>
          <cell r="Z122">
            <v>3</v>
          </cell>
          <cell r="AC122">
            <v>4</v>
          </cell>
          <cell r="AE122">
            <v>4</v>
          </cell>
          <cell r="AG122">
            <v>4</v>
          </cell>
          <cell r="AJ122">
            <v>0</v>
          </cell>
          <cell r="AN122">
            <v>0</v>
          </cell>
        </row>
        <row r="123">
          <cell r="E123" t="str">
            <v>PTB-M10</v>
          </cell>
          <cell r="F123" t="str">
            <v>Patient Table</v>
          </cell>
          <cell r="G123">
            <v>122</v>
          </cell>
          <cell r="J123" t="str">
            <v>Cradle</v>
          </cell>
          <cell r="K123">
            <v>675000</v>
          </cell>
          <cell r="N123" t="str">
            <v>OXFORD..MAGNET 1.5T</v>
          </cell>
          <cell r="O123">
            <v>1</v>
          </cell>
          <cell r="P123">
            <v>329398265</v>
          </cell>
          <cell r="Q123">
            <v>1</v>
          </cell>
          <cell r="R123">
            <v>329398265</v>
          </cell>
          <cell r="S123">
            <v>329398265</v>
          </cell>
          <cell r="T123">
            <v>0</v>
          </cell>
          <cell r="U123">
            <v>0</v>
          </cell>
          <cell r="V123">
            <v>1</v>
          </cell>
          <cell r="W123">
            <v>329398265</v>
          </cell>
          <cell r="X123">
            <v>0</v>
          </cell>
          <cell r="Y123">
            <v>0</v>
          </cell>
          <cell r="AC123">
            <v>0</v>
          </cell>
          <cell r="AG123">
            <v>0</v>
          </cell>
          <cell r="AJ123">
            <v>0</v>
          </cell>
          <cell r="AN123">
            <v>0</v>
          </cell>
        </row>
        <row r="124">
          <cell r="E124" t="str">
            <v>ABT-X225,ASSY,KEYABD $ LED</v>
          </cell>
          <cell r="F124" t="str">
            <v>RF Amp</v>
          </cell>
          <cell r="G124">
            <v>123</v>
          </cell>
          <cell r="J124" t="str">
            <v>PTB-M10</v>
          </cell>
          <cell r="K124">
            <v>15000000</v>
          </cell>
          <cell r="N124" t="str">
            <v>자바라</v>
          </cell>
          <cell r="O124">
            <v>9</v>
          </cell>
          <cell r="P124">
            <v>4050000</v>
          </cell>
          <cell r="Q124">
            <v>9</v>
          </cell>
          <cell r="R124">
            <v>4050000</v>
          </cell>
          <cell r="S124">
            <v>450000</v>
          </cell>
          <cell r="T124">
            <v>4</v>
          </cell>
          <cell r="U124">
            <v>1800000</v>
          </cell>
          <cell r="V124">
            <v>1</v>
          </cell>
          <cell r="W124">
            <v>450000</v>
          </cell>
          <cell r="X124">
            <v>4</v>
          </cell>
          <cell r="Y124">
            <v>1800000</v>
          </cell>
          <cell r="AC124">
            <v>4</v>
          </cell>
          <cell r="AF124">
            <v>4</v>
          </cell>
          <cell r="AG124">
            <v>4</v>
          </cell>
          <cell r="AI124">
            <v>1</v>
          </cell>
          <cell r="AJ124">
            <v>1</v>
          </cell>
          <cell r="AM124">
            <v>1</v>
          </cell>
          <cell r="AN124">
            <v>1</v>
          </cell>
        </row>
        <row r="125">
          <cell r="E125" t="str">
            <v>ABX-X217 PCBA, IPA CAP</v>
          </cell>
          <cell r="F125" t="str">
            <v>RF Amp</v>
          </cell>
          <cell r="G125">
            <v>124</v>
          </cell>
          <cell r="J125" t="str">
            <v>ABT-X225,ASSY,KEYABD $ LED</v>
          </cell>
          <cell r="K125" t="e">
            <v>#DIV/0!</v>
          </cell>
          <cell r="N125" t="str">
            <v>자바라 BRACKET</v>
          </cell>
          <cell r="O125">
            <v>13</v>
          </cell>
          <cell r="P125">
            <v>2600000</v>
          </cell>
          <cell r="Q125">
            <v>23</v>
          </cell>
          <cell r="R125">
            <v>4600000</v>
          </cell>
          <cell r="S125">
            <v>200000</v>
          </cell>
          <cell r="T125">
            <v>18</v>
          </cell>
          <cell r="U125">
            <v>3600000</v>
          </cell>
          <cell r="V125">
            <v>1</v>
          </cell>
          <cell r="W125">
            <v>200000</v>
          </cell>
          <cell r="X125">
            <v>4</v>
          </cell>
          <cell r="Y125">
            <v>800000</v>
          </cell>
          <cell r="AC125">
            <v>4</v>
          </cell>
          <cell r="AF125">
            <v>4</v>
          </cell>
          <cell r="AG125">
            <v>4</v>
          </cell>
          <cell r="AI125">
            <v>1</v>
          </cell>
          <cell r="AJ125">
            <v>1</v>
          </cell>
          <cell r="AM125">
            <v>1</v>
          </cell>
          <cell r="AN125">
            <v>1</v>
          </cell>
        </row>
        <row r="126">
          <cell r="E126" t="str">
            <v>ABX-X218 PCBA, PA CAP</v>
          </cell>
          <cell r="F126" t="str">
            <v>RF Amp</v>
          </cell>
          <cell r="G126">
            <v>125</v>
          </cell>
          <cell r="J126" t="str">
            <v>ABX-X217 PCBA, IPA CAP</v>
          </cell>
          <cell r="K126">
            <v>110012</v>
          </cell>
          <cell r="N126" t="str">
            <v>Cradle</v>
          </cell>
          <cell r="O126">
            <v>10</v>
          </cell>
          <cell r="P126">
            <v>6750000</v>
          </cell>
          <cell r="Q126">
            <v>10</v>
          </cell>
          <cell r="R126">
            <v>6750000</v>
          </cell>
          <cell r="S126">
            <v>675000</v>
          </cell>
          <cell r="T126">
            <v>5</v>
          </cell>
          <cell r="U126">
            <v>3375000</v>
          </cell>
          <cell r="V126">
            <v>1</v>
          </cell>
          <cell r="W126">
            <v>675000</v>
          </cell>
          <cell r="X126">
            <v>4</v>
          </cell>
          <cell r="Y126">
            <v>2700000</v>
          </cell>
          <cell r="AC126">
            <v>4</v>
          </cell>
          <cell r="AF126">
            <v>4</v>
          </cell>
          <cell r="AG126">
            <v>4</v>
          </cell>
          <cell r="AI126">
            <v>1</v>
          </cell>
          <cell r="AJ126">
            <v>1</v>
          </cell>
          <cell r="AM126">
            <v>1</v>
          </cell>
          <cell r="AN126">
            <v>1</v>
          </cell>
        </row>
        <row r="127">
          <cell r="E127" t="str">
            <v>ABX-X219 PCBA, HV RECT SCHEM REF SXX-X26</v>
          </cell>
          <cell r="F127" t="str">
            <v>RF Amp</v>
          </cell>
          <cell r="G127">
            <v>126</v>
          </cell>
          <cell r="J127" t="str">
            <v>ABX-X218 PCBA, PA CAP</v>
          </cell>
          <cell r="K127">
            <v>275469</v>
          </cell>
          <cell r="N127" t="str">
            <v>PTB-M10</v>
          </cell>
          <cell r="O127">
            <v>10</v>
          </cell>
          <cell r="P127">
            <v>150000000</v>
          </cell>
          <cell r="Q127">
            <v>15</v>
          </cell>
          <cell r="R127">
            <v>255759898</v>
          </cell>
          <cell r="S127">
            <v>17050659.866666667</v>
          </cell>
          <cell r="T127">
            <v>10</v>
          </cell>
          <cell r="U127">
            <v>170506599</v>
          </cell>
          <cell r="V127">
            <v>1</v>
          </cell>
          <cell r="W127">
            <v>17050660</v>
          </cell>
          <cell r="X127">
            <v>4</v>
          </cell>
          <cell r="Y127">
            <v>68202639</v>
          </cell>
          <cell r="AC127">
            <v>4</v>
          </cell>
          <cell r="AF127">
            <v>4</v>
          </cell>
          <cell r="AG127">
            <v>4</v>
          </cell>
          <cell r="AI127">
            <v>1</v>
          </cell>
          <cell r="AJ127">
            <v>1</v>
          </cell>
          <cell r="AM127">
            <v>1</v>
          </cell>
          <cell r="AN127">
            <v>1</v>
          </cell>
        </row>
        <row r="128">
          <cell r="E128" t="str">
            <v>ATX-X44D/XRMR ASY 13.5VDC</v>
          </cell>
          <cell r="F128" t="str">
            <v>RF Amp</v>
          </cell>
          <cell r="G128">
            <v>127</v>
          </cell>
          <cell r="J128" t="str">
            <v>ABX-X219 PCBA, HV RECT SCHEM REF SXX-X26</v>
          </cell>
          <cell r="K128">
            <v>688752</v>
          </cell>
          <cell r="N128" t="str">
            <v>ABT-X225,ASSY,KEYABD $ LED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1</v>
          </cell>
          <cell r="AC128">
            <v>1</v>
          </cell>
          <cell r="AD128">
            <v>1</v>
          </cell>
          <cell r="AG128">
            <v>1</v>
          </cell>
          <cell r="AJ128">
            <v>0</v>
          </cell>
          <cell r="AN128">
            <v>0</v>
          </cell>
        </row>
        <row r="129">
          <cell r="E129" t="str">
            <v>CIRCUTE BOARD ABTX-163</v>
          </cell>
          <cell r="F129" t="str">
            <v>RF Amp</v>
          </cell>
          <cell r="G129">
            <v>128</v>
          </cell>
          <cell r="J129" t="str">
            <v>ATX-X44D/XRMR ASY 13.5VDC</v>
          </cell>
          <cell r="K129">
            <v>393905</v>
          </cell>
          <cell r="N129" t="str">
            <v>ABX-X217 PCBA, IPA CAP</v>
          </cell>
          <cell r="O129">
            <v>1</v>
          </cell>
          <cell r="P129">
            <v>110012</v>
          </cell>
          <cell r="Q129">
            <v>1</v>
          </cell>
          <cell r="R129">
            <v>110012</v>
          </cell>
          <cell r="S129">
            <v>110012</v>
          </cell>
          <cell r="T129">
            <v>0</v>
          </cell>
          <cell r="U129">
            <v>0</v>
          </cell>
          <cell r="W129">
            <v>0</v>
          </cell>
          <cell r="X129">
            <v>1</v>
          </cell>
          <cell r="Y129">
            <v>110012</v>
          </cell>
          <cell r="AC129">
            <v>1</v>
          </cell>
          <cell r="AD129">
            <v>1</v>
          </cell>
          <cell r="AG129">
            <v>1</v>
          </cell>
          <cell r="AJ129">
            <v>0</v>
          </cell>
          <cell r="AN129">
            <v>0</v>
          </cell>
        </row>
        <row r="130">
          <cell r="E130" t="str">
            <v>PCBA,WATTMETER ABX-X213</v>
          </cell>
          <cell r="F130" t="str">
            <v>RF Amp</v>
          </cell>
          <cell r="G130">
            <v>129</v>
          </cell>
          <cell r="J130" t="str">
            <v>CIRCUTE BOARD ABTX-163</v>
          </cell>
          <cell r="K130" t="e">
            <v>#DIV/0!</v>
          </cell>
          <cell r="N130" t="str">
            <v>ABX-X218 PCBA, PA CAP</v>
          </cell>
          <cell r="O130">
            <v>1</v>
          </cell>
          <cell r="P130">
            <v>275469</v>
          </cell>
          <cell r="Q130">
            <v>1</v>
          </cell>
          <cell r="R130">
            <v>275469</v>
          </cell>
          <cell r="S130">
            <v>275469</v>
          </cell>
          <cell r="T130">
            <v>0</v>
          </cell>
          <cell r="U130">
            <v>0</v>
          </cell>
          <cell r="W130">
            <v>0</v>
          </cell>
          <cell r="X130">
            <v>1</v>
          </cell>
          <cell r="Y130">
            <v>275469</v>
          </cell>
          <cell r="AC130">
            <v>1</v>
          </cell>
          <cell r="AD130">
            <v>1</v>
          </cell>
          <cell r="AG130">
            <v>1</v>
          </cell>
          <cell r="AJ130">
            <v>0</v>
          </cell>
          <cell r="AN130">
            <v>0</v>
          </cell>
        </row>
        <row r="131">
          <cell r="E131" t="str">
            <v>RFA-M10</v>
          </cell>
          <cell r="F131" t="str">
            <v>RF Amp</v>
          </cell>
          <cell r="G131">
            <v>130</v>
          </cell>
          <cell r="J131" t="str">
            <v>PCBA,WATTMETER ABX-X213</v>
          </cell>
          <cell r="K131" t="e">
            <v>#DIV/0!</v>
          </cell>
          <cell r="N131" t="str">
            <v>ABX-X219 PCBA, HV RECT SCHEM REF SXX-X26</v>
          </cell>
          <cell r="O131">
            <v>1</v>
          </cell>
          <cell r="P131">
            <v>688752</v>
          </cell>
          <cell r="Q131">
            <v>1</v>
          </cell>
          <cell r="R131">
            <v>688752</v>
          </cell>
          <cell r="S131">
            <v>688752</v>
          </cell>
          <cell r="T131">
            <v>0</v>
          </cell>
          <cell r="U131">
            <v>0</v>
          </cell>
          <cell r="W131">
            <v>0</v>
          </cell>
          <cell r="X131">
            <v>1</v>
          </cell>
          <cell r="Y131">
            <v>688752</v>
          </cell>
          <cell r="AC131">
            <v>1</v>
          </cell>
          <cell r="AD131">
            <v>1</v>
          </cell>
          <cell r="AG131">
            <v>1</v>
          </cell>
          <cell r="AJ131">
            <v>0</v>
          </cell>
          <cell r="AN131">
            <v>0</v>
          </cell>
        </row>
        <row r="132">
          <cell r="E132" t="str">
            <v>TESTED 56V REGULATOR ABT-X212</v>
          </cell>
          <cell r="F132" t="str">
            <v>RF Amp</v>
          </cell>
          <cell r="G132">
            <v>131</v>
          </cell>
          <cell r="J132" t="str">
            <v>RFA-M10</v>
          </cell>
          <cell r="K132">
            <v>29555106.800000001</v>
          </cell>
          <cell r="N132" t="str">
            <v>ATX-X44D/XRMR ASY 13.5VDC</v>
          </cell>
          <cell r="O132">
            <v>1</v>
          </cell>
          <cell r="P132">
            <v>393905</v>
          </cell>
          <cell r="Q132">
            <v>1</v>
          </cell>
          <cell r="R132">
            <v>393905</v>
          </cell>
          <cell r="S132">
            <v>393905</v>
          </cell>
          <cell r="T132">
            <v>0</v>
          </cell>
          <cell r="U132">
            <v>0</v>
          </cell>
          <cell r="W132">
            <v>0</v>
          </cell>
          <cell r="X132">
            <v>1</v>
          </cell>
          <cell r="Y132">
            <v>393905</v>
          </cell>
          <cell r="AC132">
            <v>1</v>
          </cell>
          <cell r="AD132">
            <v>1</v>
          </cell>
          <cell r="AG132">
            <v>1</v>
          </cell>
          <cell r="AJ132">
            <v>0</v>
          </cell>
          <cell r="AN132">
            <v>0</v>
          </cell>
        </row>
        <row r="133">
          <cell r="E133" t="str">
            <v>TESTED CONTROL BOARD ABTX-208</v>
          </cell>
          <cell r="F133" t="str">
            <v>RF Amp</v>
          </cell>
          <cell r="G133">
            <v>132</v>
          </cell>
          <cell r="J133" t="str">
            <v>TESTED 56V REGULATOR ABT-X212</v>
          </cell>
          <cell r="K133" t="e">
            <v>#DIV/0!</v>
          </cell>
          <cell r="N133" t="str">
            <v>CIRCUTE BOARD ABTX-163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1</v>
          </cell>
          <cell r="AC133">
            <v>1</v>
          </cell>
          <cell r="AD133">
            <v>1</v>
          </cell>
          <cell r="AG133">
            <v>1</v>
          </cell>
          <cell r="AJ133">
            <v>0</v>
          </cell>
          <cell r="AN133">
            <v>0</v>
          </cell>
        </row>
        <row r="134">
          <cell r="E134" t="str">
            <v>UPX-X156 E/FW EPROM 59-S21C-42</v>
          </cell>
          <cell r="F134" t="str">
            <v>RF Amp</v>
          </cell>
          <cell r="G134">
            <v>133</v>
          </cell>
          <cell r="J134" t="str">
            <v>TESTED CONTROL BOARD ABTX-208</v>
          </cell>
          <cell r="K134" t="e">
            <v>#DIV/0!</v>
          </cell>
          <cell r="N134" t="str">
            <v>PCBA,WATTMETER ABX-X213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1</v>
          </cell>
          <cell r="AC134">
            <v>1</v>
          </cell>
          <cell r="AD134">
            <v>1</v>
          </cell>
          <cell r="AG134">
            <v>1</v>
          </cell>
          <cell r="AJ134">
            <v>0</v>
          </cell>
          <cell r="AN134">
            <v>0</v>
          </cell>
        </row>
        <row r="135">
          <cell r="E135" t="str">
            <v>COL-BD-10</v>
          </cell>
          <cell r="F135" t="str">
            <v>RF COIL</v>
          </cell>
          <cell r="G135">
            <v>134</v>
          </cell>
          <cell r="J135" t="str">
            <v>UPX-X156 E/FW EPROM 59-S21C-42</v>
          </cell>
          <cell r="K135">
            <v>499152.5</v>
          </cell>
          <cell r="N135" t="str">
            <v>RFA-M10</v>
          </cell>
          <cell r="O135">
            <v>5</v>
          </cell>
          <cell r="P135">
            <v>147775534</v>
          </cell>
          <cell r="Q135">
            <v>14</v>
          </cell>
          <cell r="R135">
            <v>404377552</v>
          </cell>
          <cell r="S135">
            <v>28884110.857142858</v>
          </cell>
          <cell r="T135">
            <v>9</v>
          </cell>
          <cell r="U135">
            <v>259956998</v>
          </cell>
          <cell r="W135">
            <v>0</v>
          </cell>
          <cell r="X135">
            <v>5</v>
          </cell>
          <cell r="Y135">
            <v>144420554</v>
          </cell>
          <cell r="Z135">
            <v>5</v>
          </cell>
          <cell r="AC135">
            <v>10</v>
          </cell>
          <cell r="AD135">
            <v>4</v>
          </cell>
          <cell r="AE135">
            <v>5</v>
          </cell>
          <cell r="AF135">
            <v>1</v>
          </cell>
          <cell r="AG135">
            <v>10</v>
          </cell>
          <cell r="AI135">
            <v>1</v>
          </cell>
          <cell r="AJ135">
            <v>1</v>
          </cell>
          <cell r="AK135">
            <v>1</v>
          </cell>
          <cell r="AN135">
            <v>1</v>
          </cell>
        </row>
        <row r="136">
          <cell r="E136" t="str">
            <v>COL-CS-10</v>
          </cell>
          <cell r="F136" t="str">
            <v>RF COIL</v>
          </cell>
          <cell r="G136">
            <v>135</v>
          </cell>
          <cell r="J136" t="str">
            <v>COL-BD-10</v>
          </cell>
          <cell r="K136">
            <v>6856214.7999999998</v>
          </cell>
          <cell r="N136" t="str">
            <v>TESTED 56V REGULATOR ABT-X212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2</v>
          </cell>
          <cell r="AC136">
            <v>2</v>
          </cell>
          <cell r="AD136">
            <v>2</v>
          </cell>
          <cell r="AG136">
            <v>2</v>
          </cell>
          <cell r="AJ136">
            <v>0</v>
          </cell>
          <cell r="AN136">
            <v>0</v>
          </cell>
        </row>
        <row r="137">
          <cell r="E137" t="str">
            <v>COL-GP-10</v>
          </cell>
          <cell r="F137" t="str">
            <v>RF COIL</v>
          </cell>
          <cell r="G137">
            <v>136</v>
          </cell>
          <cell r="J137" t="str">
            <v>COL-CS-10</v>
          </cell>
          <cell r="K137">
            <v>5653330.166666667</v>
          </cell>
          <cell r="N137" t="str">
            <v>TESTED CONTROL BOARD ABTX-208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2</v>
          </cell>
          <cell r="AC137">
            <v>2</v>
          </cell>
          <cell r="AD137">
            <v>2</v>
          </cell>
          <cell r="AG137">
            <v>2</v>
          </cell>
          <cell r="AJ137">
            <v>0</v>
          </cell>
          <cell r="AN137">
            <v>0</v>
          </cell>
        </row>
        <row r="138">
          <cell r="E138" t="str">
            <v>COL-HD-10</v>
          </cell>
          <cell r="F138" t="str">
            <v>RF COIL</v>
          </cell>
          <cell r="G138">
            <v>137</v>
          </cell>
          <cell r="J138" t="str">
            <v>COL-GP-10</v>
          </cell>
          <cell r="K138" t="e">
            <v>#DIV/0!</v>
          </cell>
          <cell r="N138" t="str">
            <v>UPX-X156 E/FW EPROM 59-S21C-42</v>
          </cell>
          <cell r="O138">
            <v>2</v>
          </cell>
          <cell r="P138">
            <v>998305</v>
          </cell>
          <cell r="Q138">
            <v>2</v>
          </cell>
          <cell r="R138">
            <v>998305</v>
          </cell>
          <cell r="S138">
            <v>499152.5</v>
          </cell>
          <cell r="T138">
            <v>0</v>
          </cell>
          <cell r="U138">
            <v>0</v>
          </cell>
          <cell r="W138">
            <v>0</v>
          </cell>
          <cell r="X138">
            <v>2</v>
          </cell>
          <cell r="Y138">
            <v>998305</v>
          </cell>
          <cell r="AC138">
            <v>2</v>
          </cell>
          <cell r="AD138">
            <v>2</v>
          </cell>
          <cell r="AG138">
            <v>2</v>
          </cell>
          <cell r="AJ138">
            <v>0</v>
          </cell>
          <cell r="AN138">
            <v>0</v>
          </cell>
        </row>
        <row r="139">
          <cell r="E139" t="str">
            <v>COL-KN-10</v>
          </cell>
          <cell r="F139" t="str">
            <v>RF COIL</v>
          </cell>
          <cell r="G139">
            <v>138</v>
          </cell>
          <cell r="J139" t="str">
            <v>COL-HD-10</v>
          </cell>
          <cell r="K139">
            <v>5809928.666666667</v>
          </cell>
          <cell r="N139" t="str">
            <v>COL-BD-10</v>
          </cell>
          <cell r="O139">
            <v>10</v>
          </cell>
          <cell r="P139">
            <v>68562148</v>
          </cell>
          <cell r="Q139">
            <v>18</v>
          </cell>
          <cell r="R139">
            <v>123160881</v>
          </cell>
          <cell r="S139">
            <v>6842271.166666667</v>
          </cell>
          <cell r="T139">
            <v>10</v>
          </cell>
          <cell r="U139">
            <v>68422712</v>
          </cell>
          <cell r="V139">
            <v>1</v>
          </cell>
          <cell r="W139">
            <v>6842271</v>
          </cell>
          <cell r="X139">
            <v>7</v>
          </cell>
          <cell r="Y139">
            <v>47895898</v>
          </cell>
          <cell r="AC139">
            <v>7</v>
          </cell>
          <cell r="AD139">
            <v>1</v>
          </cell>
          <cell r="AE139">
            <v>6</v>
          </cell>
          <cell r="AG139">
            <v>7</v>
          </cell>
          <cell r="AI139">
            <v>1</v>
          </cell>
          <cell r="AJ139">
            <v>1</v>
          </cell>
          <cell r="AK139">
            <v>1</v>
          </cell>
          <cell r="AN139">
            <v>1</v>
          </cell>
        </row>
        <row r="140">
          <cell r="E140" t="str">
            <v>COL-LS-10</v>
          </cell>
          <cell r="F140" t="str">
            <v>RF COIL</v>
          </cell>
          <cell r="G140">
            <v>139</v>
          </cell>
          <cell r="J140" t="str">
            <v>COL-KN-10</v>
          </cell>
          <cell r="K140">
            <v>3770000</v>
          </cell>
          <cell r="N140" t="str">
            <v>COL-CS-10</v>
          </cell>
          <cell r="O140">
            <v>12</v>
          </cell>
          <cell r="P140">
            <v>67839962</v>
          </cell>
          <cell r="Q140">
            <v>16</v>
          </cell>
          <cell r="R140">
            <v>90931690</v>
          </cell>
          <cell r="S140">
            <v>5683230.625</v>
          </cell>
          <cell r="T140">
            <v>7</v>
          </cell>
          <cell r="U140">
            <v>39782614</v>
          </cell>
          <cell r="W140">
            <v>0</v>
          </cell>
          <cell r="X140">
            <v>9</v>
          </cell>
          <cell r="Y140">
            <v>51149076</v>
          </cell>
          <cell r="Z140">
            <v>2</v>
          </cell>
          <cell r="AC140">
            <v>11</v>
          </cell>
          <cell r="AD140">
            <v>7</v>
          </cell>
          <cell r="AF140">
            <v>4</v>
          </cell>
          <cell r="AG140">
            <v>11</v>
          </cell>
          <cell r="AI140">
            <v>1</v>
          </cell>
          <cell r="AJ140">
            <v>1</v>
          </cell>
          <cell r="AK140">
            <v>1</v>
          </cell>
          <cell r="AN140">
            <v>1</v>
          </cell>
        </row>
        <row r="141">
          <cell r="E141" t="str">
            <v>HIGH POWER ACTIVE SWITCH DIODE P/N.370003</v>
          </cell>
          <cell r="F141" t="str">
            <v>RF COIL</v>
          </cell>
          <cell r="G141">
            <v>140</v>
          </cell>
          <cell r="J141" t="str">
            <v>COL-LS-10</v>
          </cell>
          <cell r="K141">
            <v>2471064.2999999998</v>
          </cell>
          <cell r="N141" t="str">
            <v>COL-GP-10</v>
          </cell>
          <cell r="O141">
            <v>0</v>
          </cell>
          <cell r="P141">
            <v>0</v>
          </cell>
          <cell r="Q141">
            <v>17</v>
          </cell>
          <cell r="R141">
            <v>20490177</v>
          </cell>
          <cell r="S141">
            <v>1205304.5294117648</v>
          </cell>
          <cell r="T141">
            <v>16</v>
          </cell>
          <cell r="U141">
            <v>19284872</v>
          </cell>
          <cell r="W141">
            <v>0</v>
          </cell>
          <cell r="X141">
            <v>1</v>
          </cell>
          <cell r="Y141">
            <v>1205305</v>
          </cell>
          <cell r="AC141">
            <v>1</v>
          </cell>
          <cell r="AD141">
            <v>1</v>
          </cell>
          <cell r="AG141">
            <v>1</v>
          </cell>
          <cell r="AI141">
            <v>1</v>
          </cell>
          <cell r="AJ141">
            <v>1</v>
          </cell>
          <cell r="AK141">
            <v>1</v>
          </cell>
          <cell r="AN141">
            <v>1</v>
          </cell>
        </row>
        <row r="142">
          <cell r="E142" t="str">
            <v>INS-SHS-M10</v>
          </cell>
          <cell r="F142" t="str">
            <v>RF COIL</v>
          </cell>
          <cell r="G142">
            <v>141</v>
          </cell>
          <cell r="J142" t="str">
            <v>HIGH POWER ACTIVE SWITCH DIODE P/N.370003</v>
          </cell>
          <cell r="K142">
            <v>18685.400000000001</v>
          </cell>
          <cell r="N142" t="str">
            <v>COL-HD-10</v>
          </cell>
          <cell r="O142">
            <v>12</v>
          </cell>
          <cell r="P142">
            <v>69719144</v>
          </cell>
          <cell r="Q142">
            <v>16</v>
          </cell>
          <cell r="R142">
            <v>91979674</v>
          </cell>
          <cell r="S142">
            <v>5748729.625</v>
          </cell>
          <cell r="T142">
            <v>10</v>
          </cell>
          <cell r="U142">
            <v>57487296</v>
          </cell>
          <cell r="W142">
            <v>0</v>
          </cell>
          <cell r="X142">
            <v>6</v>
          </cell>
          <cell r="Y142">
            <v>34492378</v>
          </cell>
          <cell r="AC142">
            <v>6</v>
          </cell>
          <cell r="AD142">
            <v>5</v>
          </cell>
          <cell r="AF142">
            <v>1</v>
          </cell>
          <cell r="AG142">
            <v>6</v>
          </cell>
          <cell r="AI142">
            <v>1</v>
          </cell>
          <cell r="AJ142">
            <v>1</v>
          </cell>
          <cell r="AK142">
            <v>1</v>
          </cell>
          <cell r="AN142">
            <v>1</v>
          </cell>
        </row>
        <row r="143">
          <cell r="E143" t="str">
            <v>INTEGRATED CIRCUITS 100C272GAR300X</v>
          </cell>
          <cell r="F143" t="str">
            <v>RF COIL</v>
          </cell>
          <cell r="G143">
            <v>142</v>
          </cell>
          <cell r="J143" t="str">
            <v>INS-SHS-M10</v>
          </cell>
          <cell r="K143">
            <v>254125</v>
          </cell>
          <cell r="N143" t="str">
            <v>COL-KN-10</v>
          </cell>
          <cell r="O143">
            <v>20</v>
          </cell>
          <cell r="P143">
            <v>75400000</v>
          </cell>
          <cell r="Q143">
            <v>21</v>
          </cell>
          <cell r="R143">
            <v>78565884</v>
          </cell>
          <cell r="S143">
            <v>3741232.5714285714</v>
          </cell>
          <cell r="T143">
            <v>2</v>
          </cell>
          <cell r="U143">
            <v>7482465</v>
          </cell>
          <cell r="W143">
            <v>0</v>
          </cell>
          <cell r="X143">
            <v>19</v>
          </cell>
          <cell r="Y143">
            <v>71083419</v>
          </cell>
          <cell r="AB143">
            <v>1</v>
          </cell>
          <cell r="AC143">
            <v>18</v>
          </cell>
          <cell r="AD143">
            <v>18</v>
          </cell>
          <cell r="AG143">
            <v>18</v>
          </cell>
          <cell r="AI143">
            <v>1</v>
          </cell>
          <cell r="AJ143">
            <v>1</v>
          </cell>
          <cell r="AK143">
            <v>1</v>
          </cell>
          <cell r="AN143">
            <v>1</v>
          </cell>
        </row>
        <row r="144">
          <cell r="E144" t="str">
            <v>NON-MAGNETIC TUNABLE CAPACITORDS P/N 340007</v>
          </cell>
          <cell r="F144" t="str">
            <v>RF COIL</v>
          </cell>
          <cell r="G144">
            <v>143</v>
          </cell>
          <cell r="J144" t="str">
            <v>INTEGRATED CIRCUITS 100C272GAR300X</v>
          </cell>
          <cell r="K144">
            <v>23462.240000000002</v>
          </cell>
          <cell r="N144" t="str">
            <v>COL-LS-10</v>
          </cell>
          <cell r="O144">
            <v>10</v>
          </cell>
          <cell r="P144">
            <v>24710643</v>
          </cell>
          <cell r="Q144">
            <v>14</v>
          </cell>
          <cell r="R144">
            <v>34337215</v>
          </cell>
          <cell r="S144">
            <v>2452658.2142857141</v>
          </cell>
          <cell r="T144">
            <v>6</v>
          </cell>
          <cell r="U144">
            <v>14715949</v>
          </cell>
          <cell r="W144">
            <v>0</v>
          </cell>
          <cell r="X144">
            <v>8</v>
          </cell>
          <cell r="Y144">
            <v>19621266</v>
          </cell>
          <cell r="AC144">
            <v>8</v>
          </cell>
          <cell r="AD144">
            <v>5</v>
          </cell>
          <cell r="AF144">
            <v>3</v>
          </cell>
          <cell r="AG144">
            <v>8</v>
          </cell>
          <cell r="AI144">
            <v>1</v>
          </cell>
          <cell r="AJ144">
            <v>1</v>
          </cell>
          <cell r="AK144">
            <v>1</v>
          </cell>
          <cell r="AN144">
            <v>1</v>
          </cell>
        </row>
        <row r="145">
          <cell r="E145" t="str">
            <v>RF SHIELD LAYERS</v>
          </cell>
          <cell r="F145" t="str">
            <v>RF COIL</v>
          </cell>
          <cell r="G145">
            <v>144</v>
          </cell>
          <cell r="J145" t="str">
            <v>NON-MAGNETIC TUNABLE CAPACITORDS P/N 340007</v>
          </cell>
          <cell r="K145" t="e">
            <v>#DIV/0!</v>
          </cell>
          <cell r="N145" t="str">
            <v>HIGH POWER ACTIVE SWITCH DIODE P/N.370003</v>
          </cell>
          <cell r="O145">
            <v>100</v>
          </cell>
          <cell r="P145">
            <v>1868540</v>
          </cell>
          <cell r="Q145">
            <v>400</v>
          </cell>
          <cell r="R145">
            <v>5481213</v>
          </cell>
          <cell r="S145">
            <v>13703.032499999999</v>
          </cell>
          <cell r="T145">
            <v>400</v>
          </cell>
          <cell r="U145">
            <v>5481213</v>
          </cell>
          <cell r="W145">
            <v>0</v>
          </cell>
          <cell r="X145">
            <v>0</v>
          </cell>
          <cell r="Y145">
            <v>0</v>
          </cell>
          <cell r="AC145">
            <v>0</v>
          </cell>
          <cell r="AG145">
            <v>0</v>
          </cell>
          <cell r="AJ145">
            <v>0</v>
          </cell>
          <cell r="AN145">
            <v>0</v>
          </cell>
        </row>
        <row r="146">
          <cell r="E146" t="str">
            <v>SHOULDER COIL HOUSING</v>
          </cell>
          <cell r="F146" t="str">
            <v>RF COIL</v>
          </cell>
          <cell r="G146">
            <v>145</v>
          </cell>
          <cell r="J146" t="str">
            <v>RF SHIELD LAYERS</v>
          </cell>
          <cell r="K146" t="e">
            <v>#DIV/0!</v>
          </cell>
          <cell r="N146" t="str">
            <v>INS-SHS-M10</v>
          </cell>
          <cell r="O146">
            <v>20</v>
          </cell>
          <cell r="P146">
            <v>5082500</v>
          </cell>
          <cell r="Q146">
            <v>38</v>
          </cell>
          <cell r="R146">
            <v>6882500</v>
          </cell>
          <cell r="S146">
            <v>181118.42105263157</v>
          </cell>
          <cell r="T146">
            <v>18</v>
          </cell>
          <cell r="U146">
            <v>3260132</v>
          </cell>
          <cell r="W146">
            <v>0</v>
          </cell>
          <cell r="X146">
            <v>20</v>
          </cell>
          <cell r="Y146">
            <v>3622368</v>
          </cell>
          <cell r="AC146">
            <v>20</v>
          </cell>
          <cell r="AD146">
            <v>20</v>
          </cell>
          <cell r="AG146">
            <v>20</v>
          </cell>
          <cell r="AJ146">
            <v>0</v>
          </cell>
          <cell r="AN146">
            <v>0</v>
          </cell>
        </row>
        <row r="147">
          <cell r="E147" t="str">
            <v>SUPPORTER KNEE-1</v>
          </cell>
          <cell r="F147" t="str">
            <v>RF COIL</v>
          </cell>
          <cell r="G147">
            <v>146</v>
          </cell>
          <cell r="J147" t="str">
            <v>SHOULDER COIL HOUSING</v>
          </cell>
          <cell r="K147">
            <v>223250</v>
          </cell>
          <cell r="N147" t="str">
            <v>INTEGRATED CIRCUITS 100C272GAR300X</v>
          </cell>
          <cell r="O147">
            <v>25</v>
          </cell>
          <cell r="P147">
            <v>586556</v>
          </cell>
          <cell r="Q147">
            <v>25</v>
          </cell>
          <cell r="R147">
            <v>586556</v>
          </cell>
          <cell r="S147">
            <v>23462.240000000002</v>
          </cell>
          <cell r="T147">
            <v>25</v>
          </cell>
          <cell r="U147">
            <v>586556</v>
          </cell>
          <cell r="W147">
            <v>0</v>
          </cell>
          <cell r="X147">
            <v>0</v>
          </cell>
          <cell r="Y147">
            <v>0</v>
          </cell>
          <cell r="AC147">
            <v>0</v>
          </cell>
          <cell r="AG147">
            <v>0</v>
          </cell>
          <cell r="AJ147">
            <v>0</v>
          </cell>
          <cell r="AN147">
            <v>0</v>
          </cell>
        </row>
        <row r="148">
          <cell r="E148" t="str">
            <v>SUPPORTER KNEE-2</v>
          </cell>
          <cell r="F148" t="str">
            <v>RF COIL</v>
          </cell>
          <cell r="G148">
            <v>147</v>
          </cell>
          <cell r="J148" t="str">
            <v>SUPPORTER KNEE-1</v>
          </cell>
          <cell r="K148">
            <v>80000</v>
          </cell>
          <cell r="N148" t="str">
            <v>NON-MAGNETIC TUNABLE CAPACITORDS P/N 340007</v>
          </cell>
          <cell r="O148">
            <v>0</v>
          </cell>
          <cell r="P148">
            <v>0</v>
          </cell>
          <cell r="Q148">
            <v>100</v>
          </cell>
          <cell r="R148">
            <v>1769581</v>
          </cell>
          <cell r="S148">
            <v>17695.810000000001</v>
          </cell>
          <cell r="T148">
            <v>85</v>
          </cell>
          <cell r="U148">
            <v>1504144</v>
          </cell>
          <cell r="W148">
            <v>0</v>
          </cell>
          <cell r="X148">
            <v>15</v>
          </cell>
          <cell r="Y148">
            <v>265437</v>
          </cell>
          <cell r="AC148">
            <v>15</v>
          </cell>
          <cell r="AD148">
            <v>15</v>
          </cell>
          <cell r="AG148">
            <v>15</v>
          </cell>
          <cell r="AJ148">
            <v>0</v>
          </cell>
          <cell r="AN148">
            <v>0</v>
          </cell>
        </row>
        <row r="149">
          <cell r="E149" t="str">
            <v>DNT-M10</v>
          </cell>
          <cell r="F149" t="str">
            <v>Spectrometer</v>
          </cell>
          <cell r="G149">
            <v>148</v>
          </cell>
          <cell r="J149" t="str">
            <v>SUPPORTER KNEE-2</v>
          </cell>
          <cell r="K149">
            <v>90000</v>
          </cell>
          <cell r="N149" t="str">
            <v>RF SHIELD LAYERS</v>
          </cell>
          <cell r="O149">
            <v>0</v>
          </cell>
          <cell r="P149">
            <v>0</v>
          </cell>
          <cell r="Q149">
            <v>30</v>
          </cell>
          <cell r="R149">
            <v>31735347</v>
          </cell>
          <cell r="S149">
            <v>1057844.8999999999</v>
          </cell>
          <cell r="T149">
            <v>22</v>
          </cell>
          <cell r="U149">
            <v>23272588</v>
          </cell>
          <cell r="V149">
            <v>2</v>
          </cell>
          <cell r="W149">
            <v>2115690</v>
          </cell>
          <cell r="X149">
            <v>6</v>
          </cell>
          <cell r="Y149">
            <v>6347069</v>
          </cell>
          <cell r="AC149">
            <v>6</v>
          </cell>
          <cell r="AE149">
            <v>6</v>
          </cell>
          <cell r="AG149">
            <v>6</v>
          </cell>
          <cell r="AI149">
            <v>2</v>
          </cell>
          <cell r="AJ149">
            <v>2</v>
          </cell>
          <cell r="AL149">
            <v>2</v>
          </cell>
          <cell r="AN149">
            <v>2</v>
          </cell>
        </row>
        <row r="150">
          <cell r="E150" t="str">
            <v>SPB-M10</v>
          </cell>
          <cell r="F150" t="str">
            <v>Spectrometer</v>
          </cell>
          <cell r="G150">
            <v>149</v>
          </cell>
          <cell r="J150" t="str">
            <v>DNT-M10</v>
          </cell>
          <cell r="K150">
            <v>154000</v>
          </cell>
          <cell r="N150" t="str">
            <v>SHOULDER COIL HOUSING</v>
          </cell>
          <cell r="O150">
            <v>20</v>
          </cell>
          <cell r="P150">
            <v>4465000</v>
          </cell>
          <cell r="Q150">
            <v>20</v>
          </cell>
          <cell r="R150">
            <v>4465000</v>
          </cell>
          <cell r="S150">
            <v>223250</v>
          </cell>
          <cell r="T150">
            <v>4</v>
          </cell>
          <cell r="U150">
            <v>893000</v>
          </cell>
          <cell r="W150">
            <v>0</v>
          </cell>
          <cell r="X150">
            <v>16</v>
          </cell>
          <cell r="Y150">
            <v>3572000</v>
          </cell>
          <cell r="AC150">
            <v>16</v>
          </cell>
          <cell r="AD150">
            <v>16</v>
          </cell>
          <cell r="AG150">
            <v>16</v>
          </cell>
          <cell r="AJ150">
            <v>0</v>
          </cell>
          <cell r="AN150">
            <v>0</v>
          </cell>
        </row>
        <row r="151">
          <cell r="E151" t="str">
            <v>NEW SPECTROMETER 각보드</v>
          </cell>
          <cell r="F151" t="str">
            <v>Spectrometer 20</v>
          </cell>
          <cell r="G151">
            <v>150</v>
          </cell>
          <cell r="J151" t="str">
            <v>SPB-M10</v>
          </cell>
          <cell r="K151">
            <v>15747236</v>
          </cell>
          <cell r="N151" t="str">
            <v>SUPPORTER KNEE-1</v>
          </cell>
          <cell r="O151">
            <v>10</v>
          </cell>
          <cell r="P151">
            <v>800000</v>
          </cell>
          <cell r="Q151">
            <v>10</v>
          </cell>
          <cell r="R151">
            <v>800000</v>
          </cell>
          <cell r="S151">
            <v>80000</v>
          </cell>
          <cell r="T151">
            <v>3</v>
          </cell>
          <cell r="U151">
            <v>240000</v>
          </cell>
          <cell r="W151">
            <v>0</v>
          </cell>
          <cell r="X151">
            <v>7</v>
          </cell>
          <cell r="Y151">
            <v>560000</v>
          </cell>
          <cell r="AC151">
            <v>7</v>
          </cell>
          <cell r="AE151">
            <v>7</v>
          </cell>
          <cell r="AG151">
            <v>7</v>
          </cell>
          <cell r="AJ151">
            <v>0</v>
          </cell>
          <cell r="AN151">
            <v>0</v>
          </cell>
        </row>
        <row r="152">
          <cell r="E152" t="str">
            <v>OPENING MOUTH TOOL</v>
          </cell>
          <cell r="F152" t="str">
            <v>Tmj Coil</v>
          </cell>
          <cell r="G152">
            <v>151</v>
          </cell>
          <cell r="J152" t="str">
            <v>NEW SPECTROMETER 각보드</v>
          </cell>
          <cell r="K152">
            <v>27068493.699999999</v>
          </cell>
          <cell r="N152" t="str">
            <v>SUPPORTER KNEE-2</v>
          </cell>
          <cell r="O152">
            <v>10</v>
          </cell>
          <cell r="P152">
            <v>900000</v>
          </cell>
          <cell r="Q152">
            <v>10</v>
          </cell>
          <cell r="R152">
            <v>900000</v>
          </cell>
          <cell r="S152">
            <v>90000</v>
          </cell>
          <cell r="T152">
            <v>2</v>
          </cell>
          <cell r="U152">
            <v>180000</v>
          </cell>
          <cell r="W152">
            <v>0</v>
          </cell>
          <cell r="X152">
            <v>8</v>
          </cell>
          <cell r="Y152">
            <v>720000</v>
          </cell>
          <cell r="AC152">
            <v>8</v>
          </cell>
          <cell r="AE152">
            <v>8</v>
          </cell>
          <cell r="AG152">
            <v>8</v>
          </cell>
          <cell r="AJ152">
            <v>0</v>
          </cell>
          <cell r="AN152">
            <v>0</v>
          </cell>
        </row>
        <row r="153">
          <cell r="E153" t="str">
            <v>TMJ COIL CASE</v>
          </cell>
          <cell r="F153" t="str">
            <v>Tmj Coil</v>
          </cell>
          <cell r="G153">
            <v>152</v>
          </cell>
          <cell r="J153" t="str">
            <v>OPENING MOUTH TOOL</v>
          </cell>
          <cell r="K153">
            <v>935000</v>
          </cell>
          <cell r="N153" t="str">
            <v>DNT-M10</v>
          </cell>
          <cell r="O153">
            <v>10</v>
          </cell>
          <cell r="P153">
            <v>1540000</v>
          </cell>
          <cell r="Q153">
            <v>11</v>
          </cell>
          <cell r="R153">
            <v>1690639</v>
          </cell>
          <cell r="S153">
            <v>153694.45454545456</v>
          </cell>
          <cell r="T153">
            <v>6</v>
          </cell>
          <cell r="U153">
            <v>922167</v>
          </cell>
          <cell r="W153">
            <v>0</v>
          </cell>
          <cell r="X153">
            <v>5</v>
          </cell>
          <cell r="Y153">
            <v>768472</v>
          </cell>
          <cell r="AC153">
            <v>5</v>
          </cell>
          <cell r="AF153">
            <v>5</v>
          </cell>
          <cell r="AG153">
            <v>5</v>
          </cell>
          <cell r="AI153">
            <v>1</v>
          </cell>
          <cell r="AJ153">
            <v>1</v>
          </cell>
          <cell r="AM153">
            <v>1</v>
          </cell>
          <cell r="AN153">
            <v>1</v>
          </cell>
        </row>
        <row r="154">
          <cell r="E154" t="str">
            <v>TMJ COIL PAD 생산용 부품 (MRI HEAD REST)</v>
          </cell>
          <cell r="F154" t="str">
            <v>Tmj Coil</v>
          </cell>
          <cell r="G154">
            <v>153</v>
          </cell>
          <cell r="J154" t="str">
            <v>TMJ COIL CASE</v>
          </cell>
          <cell r="K154">
            <v>755000</v>
          </cell>
          <cell r="N154" t="str">
            <v>SPB-M10</v>
          </cell>
          <cell r="O154">
            <v>5</v>
          </cell>
          <cell r="P154">
            <v>78736180</v>
          </cell>
          <cell r="Q154">
            <v>14</v>
          </cell>
          <cell r="R154">
            <v>831605338</v>
          </cell>
          <cell r="S154">
            <v>59400381.285714284</v>
          </cell>
          <cell r="T154">
            <v>4</v>
          </cell>
          <cell r="U154">
            <v>237601525</v>
          </cell>
          <cell r="V154">
            <v>1</v>
          </cell>
          <cell r="W154">
            <v>59400381</v>
          </cell>
          <cell r="X154">
            <v>9</v>
          </cell>
          <cell r="Y154">
            <v>534603432</v>
          </cell>
          <cell r="AC154">
            <v>9</v>
          </cell>
          <cell r="AD154">
            <v>9</v>
          </cell>
          <cell r="AG154">
            <v>9</v>
          </cell>
          <cell r="AI154">
            <v>1</v>
          </cell>
          <cell r="AJ154">
            <v>1</v>
          </cell>
          <cell r="AK154">
            <v>1</v>
          </cell>
          <cell r="AN154">
            <v>1</v>
          </cell>
        </row>
        <row r="155">
          <cell r="E155" t="str">
            <v>25KW 64MHZ RF AMP S/N.M0051221(1.5T용)</v>
          </cell>
          <cell r="G155">
            <v>154</v>
          </cell>
          <cell r="J155" t="str">
            <v>TMJ COIL PAD 생산용 부품 (MRI HEAD REST)</v>
          </cell>
          <cell r="K155" t="e">
            <v>#DIV/0!</v>
          </cell>
          <cell r="N155" t="str">
            <v>NEW SPECTROMETER 각보드</v>
          </cell>
          <cell r="O155">
            <v>20</v>
          </cell>
          <cell r="P155">
            <v>541369874</v>
          </cell>
          <cell r="Q155">
            <v>20</v>
          </cell>
          <cell r="R155">
            <v>541369874</v>
          </cell>
          <cell r="S155">
            <v>27068493.699999999</v>
          </cell>
          <cell r="T155">
            <v>0</v>
          </cell>
          <cell r="U155">
            <v>0</v>
          </cell>
          <cell r="W155">
            <v>0</v>
          </cell>
          <cell r="X155">
            <v>20</v>
          </cell>
          <cell r="Y155">
            <v>541369874</v>
          </cell>
          <cell r="AC155">
            <v>20</v>
          </cell>
          <cell r="AD155">
            <v>20</v>
          </cell>
          <cell r="AG155">
            <v>20</v>
          </cell>
          <cell r="AJ155">
            <v>0</v>
          </cell>
          <cell r="AN155">
            <v>0</v>
          </cell>
        </row>
        <row r="156">
          <cell r="E156" t="str">
            <v>710-650 CONN AMP 163088-2 SKT CONTACT(1.5T용)</v>
          </cell>
          <cell r="G156">
            <v>155</v>
          </cell>
          <cell r="J156" t="str">
            <v>25KW 64MHZ RF AMP S/N.M0051221(1.5T용)</v>
          </cell>
          <cell r="K156" t="e">
            <v>#DIV/0!</v>
          </cell>
          <cell r="N156" t="str">
            <v>OPENING MOUTH TOOL</v>
          </cell>
          <cell r="O156">
            <v>10</v>
          </cell>
          <cell r="P156">
            <v>9350000</v>
          </cell>
          <cell r="Q156">
            <v>10</v>
          </cell>
          <cell r="R156">
            <v>9350000</v>
          </cell>
          <cell r="S156">
            <v>935000</v>
          </cell>
          <cell r="T156">
            <v>5</v>
          </cell>
          <cell r="U156">
            <v>4675000</v>
          </cell>
          <cell r="W156">
            <v>0</v>
          </cell>
          <cell r="X156">
            <v>5</v>
          </cell>
          <cell r="Y156">
            <v>4675000</v>
          </cell>
          <cell r="AC156">
            <v>5</v>
          </cell>
          <cell r="AD156">
            <v>5</v>
          </cell>
          <cell r="AG156">
            <v>5</v>
          </cell>
          <cell r="AJ156">
            <v>0</v>
          </cell>
          <cell r="AN156">
            <v>0</v>
          </cell>
        </row>
        <row r="157">
          <cell r="E157" t="str">
            <v>710-751 CONN AMP CLRCULAR 37W FXD PLUS(1.5T용)</v>
          </cell>
          <cell r="G157">
            <v>156</v>
          </cell>
          <cell r="J157" t="str">
            <v>710-650 CONN AMP 163088-2 SKT CONTACT(1.5T용)</v>
          </cell>
          <cell r="K157" t="e">
            <v>#DIV/0!</v>
          </cell>
          <cell r="N157" t="str">
            <v>TMJ COIL CASE</v>
          </cell>
          <cell r="O157">
            <v>10</v>
          </cell>
          <cell r="P157">
            <v>7550000</v>
          </cell>
          <cell r="Q157">
            <v>10</v>
          </cell>
          <cell r="R157">
            <v>7550000</v>
          </cell>
          <cell r="S157">
            <v>755000</v>
          </cell>
          <cell r="T157">
            <v>6</v>
          </cell>
          <cell r="U157">
            <v>4530000</v>
          </cell>
          <cell r="W157">
            <v>0</v>
          </cell>
          <cell r="X157">
            <v>4</v>
          </cell>
          <cell r="Y157">
            <v>3020000</v>
          </cell>
          <cell r="AC157">
            <v>4</v>
          </cell>
          <cell r="AD157">
            <v>4</v>
          </cell>
          <cell r="AG157">
            <v>4</v>
          </cell>
          <cell r="AJ157">
            <v>0</v>
          </cell>
          <cell r="AN157">
            <v>0</v>
          </cell>
        </row>
        <row r="158">
          <cell r="E158" t="str">
            <v>BAND PASS FILTER 63.862MHZ BPF (1.5T용)</v>
          </cell>
          <cell r="G158">
            <v>157</v>
          </cell>
          <cell r="J158" t="str">
            <v>710-751 CONN AMP CLRCULAR 37W FXD PLUS(1.5T용)</v>
          </cell>
          <cell r="K158" t="e">
            <v>#DIV/0!</v>
          </cell>
          <cell r="N158" t="str">
            <v>TMJ COIL PAD 생산용 부품 (MRI HEAD REST)</v>
          </cell>
          <cell r="O158">
            <v>0</v>
          </cell>
          <cell r="P158">
            <v>0</v>
          </cell>
          <cell r="Q158">
            <v>20</v>
          </cell>
          <cell r="R158">
            <v>600000</v>
          </cell>
          <cell r="S158">
            <v>30000</v>
          </cell>
          <cell r="T158">
            <v>5</v>
          </cell>
          <cell r="U158">
            <v>150000</v>
          </cell>
          <cell r="W158">
            <v>0</v>
          </cell>
          <cell r="X158">
            <v>15</v>
          </cell>
          <cell r="Y158">
            <v>450000</v>
          </cell>
          <cell r="AC158">
            <v>15</v>
          </cell>
          <cell r="AD158">
            <v>2</v>
          </cell>
          <cell r="AE158">
            <v>13</v>
          </cell>
          <cell r="AG158">
            <v>15</v>
          </cell>
          <cell r="AJ158">
            <v>0</v>
          </cell>
          <cell r="AN158">
            <v>0</v>
          </cell>
        </row>
        <row r="159">
          <cell r="E159" t="str">
            <v>CONN AMP CIRCULAR 37WAY FXD</v>
          </cell>
          <cell r="G159">
            <v>158</v>
          </cell>
          <cell r="J159" t="str">
            <v>BAND PASS FILTER 63.862MHZ BPF (1.5T용)</v>
          </cell>
          <cell r="K159">
            <v>253180.83333333334</v>
          </cell>
          <cell r="N159" t="str">
            <v>25KW 64MHZ RF AMP S/N.M0051221(1.5T용)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1</v>
          </cell>
          <cell r="W159">
            <v>0</v>
          </cell>
          <cell r="X159">
            <v>-1</v>
          </cell>
          <cell r="Y159">
            <v>0</v>
          </cell>
          <cell r="Z159">
            <v>1</v>
          </cell>
          <cell r="AC159">
            <v>0</v>
          </cell>
          <cell r="AG159">
            <v>0</v>
          </cell>
          <cell r="AJ159">
            <v>0</v>
          </cell>
          <cell r="AN159">
            <v>0</v>
          </cell>
        </row>
        <row r="160">
          <cell r="E160" t="str">
            <v>GRADIENT AMP (1.5T용)</v>
          </cell>
          <cell r="G160">
            <v>159</v>
          </cell>
          <cell r="J160" t="str">
            <v>CONN AMP CIRCULAR 37WAY FXD</v>
          </cell>
          <cell r="K160">
            <v>28238</v>
          </cell>
          <cell r="N160" t="str">
            <v>710-650 CONN AMP 163088-2 SKT CONTACT(1.5T용)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1</v>
          </cell>
          <cell r="W160">
            <v>0</v>
          </cell>
          <cell r="X160">
            <v>-1</v>
          </cell>
          <cell r="Y160">
            <v>0</v>
          </cell>
          <cell r="Z160">
            <v>1</v>
          </cell>
          <cell r="AC160">
            <v>0</v>
          </cell>
          <cell r="AG160">
            <v>0</v>
          </cell>
          <cell r="AJ160">
            <v>0</v>
          </cell>
          <cell r="AN160">
            <v>0</v>
          </cell>
        </row>
        <row r="161">
          <cell r="E161" t="str">
            <v>LEAD ASSY 2358 SHIH PSU-WALL</v>
          </cell>
          <cell r="G161">
            <v>160</v>
          </cell>
          <cell r="J161" t="str">
            <v>GRADIENT AMP (1.5T용)</v>
          </cell>
          <cell r="K161">
            <v>130972072</v>
          </cell>
          <cell r="N161" t="str">
            <v>710-751 CONN AMP CLRCULAR 37W FXD PLUS(1.5T용)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1</v>
          </cell>
          <cell r="W161">
            <v>0</v>
          </cell>
          <cell r="X161">
            <v>-1</v>
          </cell>
          <cell r="Y161">
            <v>0</v>
          </cell>
          <cell r="Z161">
            <v>1</v>
          </cell>
          <cell r="AC161">
            <v>0</v>
          </cell>
          <cell r="AG161">
            <v>0</v>
          </cell>
          <cell r="AJ161">
            <v>0</v>
          </cell>
          <cell r="AN161">
            <v>0</v>
          </cell>
        </row>
        <row r="162">
          <cell r="E162" t="str">
            <v>METROLAB..PROBE 24POINTS,DIAMETER 450M(1.5T용)</v>
          </cell>
          <cell r="G162">
            <v>161</v>
          </cell>
          <cell r="J162" t="str">
            <v>LEAD ASSY 2358 SHIH PSU-WALL</v>
          </cell>
          <cell r="K162">
            <v>567651</v>
          </cell>
          <cell r="N162" t="str">
            <v>BAND PASS FILTER 63.862MHZ BPF (1.5T용)</v>
          </cell>
          <cell r="O162">
            <v>6</v>
          </cell>
          <cell r="P162">
            <v>1519085</v>
          </cell>
          <cell r="Q162">
            <v>6</v>
          </cell>
          <cell r="R162">
            <v>1519085</v>
          </cell>
          <cell r="S162">
            <v>253180.83333333334</v>
          </cell>
          <cell r="T162">
            <v>0</v>
          </cell>
          <cell r="U162">
            <v>0</v>
          </cell>
          <cell r="V162">
            <v>6</v>
          </cell>
          <cell r="W162">
            <v>1519085</v>
          </cell>
          <cell r="X162">
            <v>0</v>
          </cell>
          <cell r="Y162">
            <v>0</v>
          </cell>
          <cell r="AC162">
            <v>0</v>
          </cell>
          <cell r="AG162">
            <v>0</v>
          </cell>
          <cell r="AJ162">
            <v>0</v>
          </cell>
          <cell r="AN162">
            <v>0</v>
          </cell>
        </row>
        <row r="163">
          <cell r="E163" t="str">
            <v>구리서울 VIDEO INTERFACE KIT</v>
          </cell>
          <cell r="F163" t="str">
            <v>기타</v>
          </cell>
          <cell r="G163">
            <v>162</v>
          </cell>
          <cell r="J163" t="str">
            <v>METROLAB..PROBE 24POINTS,DIAMETER 450M(1.5T용)</v>
          </cell>
          <cell r="K163">
            <v>6117351</v>
          </cell>
          <cell r="N163" t="str">
            <v>CONN AMP CIRCULAR 37WAY FXD</v>
          </cell>
          <cell r="O163">
            <v>1</v>
          </cell>
          <cell r="P163">
            <v>28238</v>
          </cell>
          <cell r="Q163">
            <v>1</v>
          </cell>
          <cell r="R163">
            <v>28238</v>
          </cell>
          <cell r="S163">
            <v>28238</v>
          </cell>
          <cell r="T163">
            <v>0</v>
          </cell>
          <cell r="U163">
            <v>0</v>
          </cell>
          <cell r="V163">
            <v>1</v>
          </cell>
          <cell r="W163">
            <v>28238</v>
          </cell>
          <cell r="X163">
            <v>0</v>
          </cell>
          <cell r="Y163">
            <v>0</v>
          </cell>
          <cell r="AC163">
            <v>0</v>
          </cell>
          <cell r="AG163">
            <v>0</v>
          </cell>
          <cell r="AJ163">
            <v>0</v>
          </cell>
          <cell r="AN163">
            <v>0</v>
          </cell>
        </row>
        <row r="164">
          <cell r="E164" t="str">
            <v>구리서울 VIEW BOX(X-RAY ILUMINATOR)</v>
          </cell>
          <cell r="F164" t="str">
            <v>기타</v>
          </cell>
          <cell r="G164">
            <v>163</v>
          </cell>
          <cell r="J164" t="str">
            <v>구리서울 VIDEO INTERFACE KIT</v>
          </cell>
          <cell r="K164">
            <v>8200000</v>
          </cell>
          <cell r="N164" t="str">
            <v>GRADIENT AMP (1.5T용)</v>
          </cell>
          <cell r="O164">
            <v>1</v>
          </cell>
          <cell r="P164">
            <v>130972072</v>
          </cell>
          <cell r="Q164">
            <v>1</v>
          </cell>
          <cell r="R164">
            <v>130972072</v>
          </cell>
          <cell r="S164">
            <v>130972072</v>
          </cell>
          <cell r="T164">
            <v>0</v>
          </cell>
          <cell r="U164">
            <v>0</v>
          </cell>
          <cell r="V164">
            <v>1</v>
          </cell>
          <cell r="W164">
            <v>130972072</v>
          </cell>
          <cell r="X164">
            <v>0</v>
          </cell>
          <cell r="Y164">
            <v>0</v>
          </cell>
          <cell r="AC164">
            <v>0</v>
          </cell>
          <cell r="AG164">
            <v>0</v>
          </cell>
          <cell r="AJ164">
            <v>0</v>
          </cell>
          <cell r="AN164">
            <v>0</v>
          </cell>
        </row>
        <row r="165">
          <cell r="E165" t="str">
            <v>신천연합 CT VICOM CONVERTER설치</v>
          </cell>
          <cell r="F165" t="str">
            <v>기타</v>
          </cell>
          <cell r="G165">
            <v>164</v>
          </cell>
          <cell r="J165" t="str">
            <v>구리서울 VIEW BOX(X-RAY ILUMINATOR)</v>
          </cell>
          <cell r="K165">
            <v>820000</v>
          </cell>
          <cell r="N165" t="str">
            <v>LEAD ASSY 2358 SHIH PSU-WALL</v>
          </cell>
          <cell r="O165">
            <v>1</v>
          </cell>
          <cell r="P165">
            <v>567651</v>
          </cell>
          <cell r="Q165">
            <v>1</v>
          </cell>
          <cell r="R165">
            <v>567651</v>
          </cell>
          <cell r="S165">
            <v>567651</v>
          </cell>
          <cell r="T165">
            <v>0</v>
          </cell>
          <cell r="U165">
            <v>0</v>
          </cell>
          <cell r="V165">
            <v>1</v>
          </cell>
          <cell r="W165">
            <v>567651</v>
          </cell>
          <cell r="X165">
            <v>0</v>
          </cell>
          <cell r="Y165">
            <v>0</v>
          </cell>
          <cell r="AC165">
            <v>0</v>
          </cell>
          <cell r="AG165">
            <v>0</v>
          </cell>
          <cell r="AJ165">
            <v>0</v>
          </cell>
          <cell r="AN165">
            <v>0</v>
          </cell>
        </row>
        <row r="166">
          <cell r="E166" t="str">
            <v>신천연합 M9410 PACSLINK PSC OUS</v>
          </cell>
          <cell r="F166" t="str">
            <v>기타</v>
          </cell>
          <cell r="G166">
            <v>165</v>
          </cell>
          <cell r="J166" t="str">
            <v>신천연합 CT VICOM CONVERTER설치</v>
          </cell>
          <cell r="K166">
            <v>7000000</v>
          </cell>
          <cell r="N166" t="str">
            <v>METROLAB..PROBE 24POINTS,DIAMETER 450M(1.5T용)</v>
          </cell>
          <cell r="O166">
            <v>1</v>
          </cell>
          <cell r="P166">
            <v>6117351</v>
          </cell>
          <cell r="Q166">
            <v>1</v>
          </cell>
          <cell r="R166">
            <v>6117351</v>
          </cell>
          <cell r="S166">
            <v>6117351</v>
          </cell>
          <cell r="T166">
            <v>0</v>
          </cell>
          <cell r="U166">
            <v>0</v>
          </cell>
          <cell r="V166">
            <v>1</v>
          </cell>
          <cell r="W166">
            <v>6117351</v>
          </cell>
          <cell r="X166">
            <v>0</v>
          </cell>
          <cell r="Y166">
            <v>0</v>
          </cell>
          <cell r="AC166">
            <v>0</v>
          </cell>
          <cell r="AG166">
            <v>0</v>
          </cell>
          <cell r="AJ166">
            <v>0</v>
          </cell>
          <cell r="AN166">
            <v>0</v>
          </cell>
        </row>
        <row r="167">
          <cell r="E167" t="str">
            <v>온양공립 ISOLATION TRANS/NOISE FILTER</v>
          </cell>
          <cell r="F167" t="str">
            <v>기타</v>
          </cell>
          <cell r="G167">
            <v>166</v>
          </cell>
          <cell r="J167" t="str">
            <v>신천연합 M9410 PACSLINK PSC OUS</v>
          </cell>
          <cell r="K167">
            <v>12200000</v>
          </cell>
          <cell r="N167" t="str">
            <v>구리서울 VIDEO INTERFACE KIT</v>
          </cell>
          <cell r="O167">
            <v>1</v>
          </cell>
          <cell r="P167">
            <v>8200000</v>
          </cell>
          <cell r="Q167">
            <v>1</v>
          </cell>
          <cell r="R167">
            <v>8200000</v>
          </cell>
          <cell r="S167">
            <v>8200000</v>
          </cell>
          <cell r="T167">
            <v>1</v>
          </cell>
          <cell r="U167">
            <v>8200000</v>
          </cell>
          <cell r="W167">
            <v>0</v>
          </cell>
          <cell r="X167">
            <v>0</v>
          </cell>
          <cell r="Y167">
            <v>0</v>
          </cell>
          <cell r="AC167">
            <v>0</v>
          </cell>
          <cell r="AG167">
            <v>0</v>
          </cell>
          <cell r="AJ167">
            <v>0</v>
          </cell>
          <cell r="AN167">
            <v>0</v>
          </cell>
        </row>
        <row r="168">
          <cell r="E168" t="str">
            <v>CAB-M10(스펙트로미터캐비닛)</v>
          </cell>
          <cell r="F168" t="str">
            <v>기타</v>
          </cell>
          <cell r="G168">
            <v>167</v>
          </cell>
          <cell r="J168" t="str">
            <v>온양공립 ISOLATION TRANS/NOISE FILTER</v>
          </cell>
          <cell r="K168">
            <v>2600000</v>
          </cell>
          <cell r="N168" t="str">
            <v>구리서울 VIEW BOX(X-RAY ILUMINATOR)</v>
          </cell>
          <cell r="O168">
            <v>1</v>
          </cell>
          <cell r="P168">
            <v>820000</v>
          </cell>
          <cell r="Q168">
            <v>1</v>
          </cell>
          <cell r="R168">
            <v>820000</v>
          </cell>
          <cell r="S168">
            <v>820000</v>
          </cell>
          <cell r="T168">
            <v>1</v>
          </cell>
          <cell r="U168">
            <v>820000</v>
          </cell>
          <cell r="W168">
            <v>0</v>
          </cell>
          <cell r="X168">
            <v>0</v>
          </cell>
          <cell r="Y168">
            <v>0</v>
          </cell>
          <cell r="AC168">
            <v>0</v>
          </cell>
          <cell r="AG168">
            <v>0</v>
          </cell>
          <cell r="AJ168">
            <v>0</v>
          </cell>
          <cell r="AN168">
            <v>0</v>
          </cell>
        </row>
        <row r="169">
          <cell r="E169" t="str">
            <v>FAN-M10</v>
          </cell>
          <cell r="F169" t="str">
            <v>기타</v>
          </cell>
          <cell r="G169">
            <v>168</v>
          </cell>
          <cell r="J169" t="str">
            <v>CAB-M10(스펙트로미터캐비닛)</v>
          </cell>
          <cell r="K169">
            <v>3028872.7272727271</v>
          </cell>
          <cell r="N169" t="str">
            <v>신천연합 CT VICOM CONVERTER설치</v>
          </cell>
          <cell r="O169">
            <v>1</v>
          </cell>
          <cell r="P169">
            <v>7000000</v>
          </cell>
          <cell r="Q169">
            <v>1</v>
          </cell>
          <cell r="R169">
            <v>7000000</v>
          </cell>
          <cell r="S169">
            <v>7000000</v>
          </cell>
          <cell r="T169">
            <v>1</v>
          </cell>
          <cell r="U169">
            <v>7000000</v>
          </cell>
          <cell r="W169">
            <v>0</v>
          </cell>
          <cell r="X169">
            <v>0</v>
          </cell>
          <cell r="Y169">
            <v>0</v>
          </cell>
          <cell r="AC169">
            <v>0</v>
          </cell>
          <cell r="AG169">
            <v>0</v>
          </cell>
          <cell r="AJ169">
            <v>0</v>
          </cell>
          <cell r="AN169">
            <v>0</v>
          </cell>
        </row>
        <row r="170">
          <cell r="E170" t="str">
            <v>GRADIENT CABLE 고정 BRAKET</v>
          </cell>
          <cell r="F170" t="str">
            <v>기타</v>
          </cell>
          <cell r="G170">
            <v>169</v>
          </cell>
          <cell r="J170" t="str">
            <v>FAN-M10</v>
          </cell>
          <cell r="K170">
            <v>114000</v>
          </cell>
          <cell r="N170" t="str">
            <v>신천연합 M9410 PACSLINK PSC OUS</v>
          </cell>
          <cell r="O170">
            <v>1</v>
          </cell>
          <cell r="P170">
            <v>12200000</v>
          </cell>
          <cell r="Q170">
            <v>1</v>
          </cell>
          <cell r="R170">
            <v>12200000</v>
          </cell>
          <cell r="S170">
            <v>12200000</v>
          </cell>
          <cell r="T170">
            <v>1</v>
          </cell>
          <cell r="U170">
            <v>12200000</v>
          </cell>
          <cell r="W170">
            <v>0</v>
          </cell>
          <cell r="X170">
            <v>0</v>
          </cell>
          <cell r="Y170">
            <v>0</v>
          </cell>
          <cell r="AC170">
            <v>0</v>
          </cell>
          <cell r="AG170">
            <v>0</v>
          </cell>
          <cell r="AJ170">
            <v>0</v>
          </cell>
          <cell r="AN170">
            <v>0</v>
          </cell>
        </row>
        <row r="171">
          <cell r="E171" t="str">
            <v>INS-FTP-M10</v>
          </cell>
          <cell r="F171" t="str">
            <v>기타</v>
          </cell>
          <cell r="G171">
            <v>170</v>
          </cell>
          <cell r="J171" t="str">
            <v>GRADIENT CABLE 고정 BRAKET</v>
          </cell>
          <cell r="K171">
            <v>239246.15384615384</v>
          </cell>
          <cell r="N171" t="str">
            <v>온양공립 ISOLATION TRANS/NOISE FILTER</v>
          </cell>
          <cell r="O171">
            <v>1</v>
          </cell>
          <cell r="P171">
            <v>2600000</v>
          </cell>
          <cell r="Q171">
            <v>1</v>
          </cell>
          <cell r="R171">
            <v>2600000</v>
          </cell>
          <cell r="S171">
            <v>2600000</v>
          </cell>
          <cell r="T171">
            <v>1</v>
          </cell>
          <cell r="U171">
            <v>2600000</v>
          </cell>
          <cell r="W171">
            <v>0</v>
          </cell>
          <cell r="X171">
            <v>0</v>
          </cell>
          <cell r="Y171">
            <v>0</v>
          </cell>
          <cell r="AC171">
            <v>0</v>
          </cell>
          <cell r="AG171">
            <v>0</v>
          </cell>
          <cell r="AJ171">
            <v>0</v>
          </cell>
          <cell r="AN171">
            <v>0</v>
          </cell>
        </row>
        <row r="172">
          <cell r="E172" t="str">
            <v>INS-PCR-M10</v>
          </cell>
          <cell r="F172" t="str">
            <v>기타</v>
          </cell>
          <cell r="G172">
            <v>171</v>
          </cell>
          <cell r="J172" t="str">
            <v>INS-FTP-M10</v>
          </cell>
          <cell r="K172">
            <v>750000</v>
          </cell>
          <cell r="N172" t="str">
            <v>CAB-M10(스펙트로미터캐비닛)</v>
          </cell>
          <cell r="O172">
            <v>11</v>
          </cell>
          <cell r="P172">
            <v>33317600</v>
          </cell>
          <cell r="Q172">
            <v>13</v>
          </cell>
          <cell r="R172">
            <v>44624171</v>
          </cell>
          <cell r="S172">
            <v>3432628.5384615385</v>
          </cell>
          <cell r="T172">
            <v>8</v>
          </cell>
          <cell r="U172">
            <v>27461028</v>
          </cell>
          <cell r="V172">
            <v>1</v>
          </cell>
          <cell r="W172">
            <v>3432629</v>
          </cell>
          <cell r="X172">
            <v>4</v>
          </cell>
          <cell r="Y172">
            <v>13730514</v>
          </cell>
          <cell r="AC172">
            <v>4</v>
          </cell>
          <cell r="AE172">
            <v>4</v>
          </cell>
          <cell r="AG172">
            <v>4</v>
          </cell>
          <cell r="AI172">
            <v>1</v>
          </cell>
          <cell r="AJ172">
            <v>1</v>
          </cell>
          <cell r="AL172">
            <v>1</v>
          </cell>
          <cell r="AN172">
            <v>1</v>
          </cell>
        </row>
        <row r="173">
          <cell r="E173" t="str">
            <v>INS-PPD-M10</v>
          </cell>
          <cell r="F173" t="str">
            <v>기타</v>
          </cell>
          <cell r="G173">
            <v>172</v>
          </cell>
          <cell r="J173" t="str">
            <v>INS-PCR-M10</v>
          </cell>
          <cell r="K173" t="e">
            <v>#DIV/0!</v>
          </cell>
          <cell r="N173" t="str">
            <v>FAN-M10</v>
          </cell>
          <cell r="O173">
            <v>10</v>
          </cell>
          <cell r="P173">
            <v>1140000</v>
          </cell>
          <cell r="Q173">
            <v>15</v>
          </cell>
          <cell r="R173">
            <v>1755594</v>
          </cell>
          <cell r="S173">
            <v>117039.6</v>
          </cell>
          <cell r="T173">
            <v>8</v>
          </cell>
          <cell r="U173">
            <v>936317</v>
          </cell>
          <cell r="W173">
            <v>0</v>
          </cell>
          <cell r="X173">
            <v>7</v>
          </cell>
          <cell r="Y173">
            <v>819277</v>
          </cell>
          <cell r="AC173">
            <v>7</v>
          </cell>
          <cell r="AF173">
            <v>7</v>
          </cell>
          <cell r="AG173">
            <v>7</v>
          </cell>
          <cell r="AI173">
            <v>1</v>
          </cell>
          <cell r="AJ173">
            <v>1</v>
          </cell>
          <cell r="AM173">
            <v>1</v>
          </cell>
          <cell r="AN173">
            <v>1</v>
          </cell>
        </row>
        <row r="174">
          <cell r="E174" t="str">
            <v>INS-STL-M10</v>
          </cell>
          <cell r="F174" t="str">
            <v>기타</v>
          </cell>
          <cell r="G174">
            <v>173</v>
          </cell>
          <cell r="J174" t="str">
            <v>INS-PPD-M10</v>
          </cell>
          <cell r="K174">
            <v>270000</v>
          </cell>
          <cell r="N174" t="str">
            <v>GRADIENT CABLE 고정 BRAKET</v>
          </cell>
          <cell r="O174">
            <v>26</v>
          </cell>
          <cell r="P174">
            <v>6220400</v>
          </cell>
          <cell r="Q174">
            <v>26</v>
          </cell>
          <cell r="R174">
            <v>6220400</v>
          </cell>
          <cell r="S174">
            <v>239246.15384615384</v>
          </cell>
          <cell r="T174">
            <v>8</v>
          </cell>
          <cell r="U174">
            <v>1913969</v>
          </cell>
          <cell r="W174">
            <v>0</v>
          </cell>
          <cell r="X174">
            <v>18</v>
          </cell>
          <cell r="Y174">
            <v>4306431</v>
          </cell>
          <cell r="AC174">
            <v>18</v>
          </cell>
          <cell r="AF174">
            <v>18</v>
          </cell>
          <cell r="AG174">
            <v>18</v>
          </cell>
          <cell r="AI174">
            <v>1</v>
          </cell>
          <cell r="AJ174">
            <v>1</v>
          </cell>
          <cell r="AM174">
            <v>1</v>
          </cell>
          <cell r="AN174">
            <v>1</v>
          </cell>
        </row>
        <row r="175">
          <cell r="E175" t="str">
            <v>IVP-M10</v>
          </cell>
          <cell r="F175" t="str">
            <v>기타</v>
          </cell>
          <cell r="G175">
            <v>174</v>
          </cell>
          <cell r="J175" t="str">
            <v>INS-STL-M10</v>
          </cell>
          <cell r="K175">
            <v>70000</v>
          </cell>
          <cell r="N175" t="str">
            <v>INS-FTP-M10</v>
          </cell>
          <cell r="O175">
            <v>7</v>
          </cell>
          <cell r="P175">
            <v>5250000</v>
          </cell>
          <cell r="Q175">
            <v>12</v>
          </cell>
          <cell r="R175">
            <v>5978164</v>
          </cell>
          <cell r="S175">
            <v>498180.33333333331</v>
          </cell>
          <cell r="T175">
            <v>5</v>
          </cell>
          <cell r="U175">
            <v>2490902</v>
          </cell>
          <cell r="W175">
            <v>0</v>
          </cell>
          <cell r="X175">
            <v>7</v>
          </cell>
          <cell r="Y175">
            <v>3487262</v>
          </cell>
          <cell r="AC175">
            <v>7</v>
          </cell>
          <cell r="AE175">
            <v>1</v>
          </cell>
          <cell r="AF175">
            <v>6</v>
          </cell>
          <cell r="AG175">
            <v>7</v>
          </cell>
          <cell r="AI175">
            <v>1</v>
          </cell>
          <cell r="AJ175">
            <v>1</v>
          </cell>
          <cell r="AL175">
            <v>1</v>
          </cell>
          <cell r="AN175">
            <v>1</v>
          </cell>
        </row>
        <row r="176">
          <cell r="E176" t="str">
            <v>LSC-M10</v>
          </cell>
          <cell r="F176" t="str">
            <v>기타</v>
          </cell>
          <cell r="G176">
            <v>175</v>
          </cell>
          <cell r="J176" t="str">
            <v>IVP-M10</v>
          </cell>
          <cell r="K176">
            <v>210000</v>
          </cell>
          <cell r="N176" t="str">
            <v>INS-PCR-M10</v>
          </cell>
          <cell r="O176">
            <v>0</v>
          </cell>
          <cell r="P176">
            <v>0</v>
          </cell>
          <cell r="Q176">
            <v>2</v>
          </cell>
          <cell r="R176">
            <v>600000</v>
          </cell>
          <cell r="S176">
            <v>300000</v>
          </cell>
          <cell r="T176">
            <v>2</v>
          </cell>
          <cell r="U176">
            <v>600000</v>
          </cell>
          <cell r="W176">
            <v>0</v>
          </cell>
          <cell r="X176">
            <v>0</v>
          </cell>
          <cell r="Y176">
            <v>0</v>
          </cell>
          <cell r="AC176">
            <v>0</v>
          </cell>
          <cell r="AG176">
            <v>0</v>
          </cell>
          <cell r="AJ176">
            <v>0</v>
          </cell>
          <cell r="AN176">
            <v>0</v>
          </cell>
        </row>
        <row r="177">
          <cell r="E177" t="str">
            <v>LSS-M10</v>
          </cell>
          <cell r="F177" t="str">
            <v>기타</v>
          </cell>
          <cell r="G177">
            <v>176</v>
          </cell>
          <cell r="J177" t="str">
            <v>LSC-M10</v>
          </cell>
          <cell r="K177" t="e">
            <v>#DIV/0!</v>
          </cell>
          <cell r="N177" t="str">
            <v>INS-PPD-M10</v>
          </cell>
          <cell r="O177">
            <v>20</v>
          </cell>
          <cell r="P177">
            <v>5400000</v>
          </cell>
          <cell r="Q177">
            <v>22</v>
          </cell>
          <cell r="R177">
            <v>5902299</v>
          </cell>
          <cell r="S177">
            <v>268286.31818181818</v>
          </cell>
          <cell r="T177">
            <v>5</v>
          </cell>
          <cell r="U177">
            <v>1341432</v>
          </cell>
          <cell r="V177">
            <v>1</v>
          </cell>
          <cell r="W177">
            <v>268286</v>
          </cell>
          <cell r="X177">
            <v>16</v>
          </cell>
          <cell r="Y177">
            <v>4292581</v>
          </cell>
          <cell r="AC177">
            <v>16</v>
          </cell>
          <cell r="AF177">
            <v>16</v>
          </cell>
          <cell r="AG177">
            <v>16</v>
          </cell>
          <cell r="AI177">
            <v>1</v>
          </cell>
          <cell r="AJ177">
            <v>1</v>
          </cell>
          <cell r="AM177">
            <v>1</v>
          </cell>
          <cell r="AN177">
            <v>1</v>
          </cell>
        </row>
        <row r="178">
          <cell r="E178" t="str">
            <v>MAU-M10</v>
          </cell>
          <cell r="F178" t="str">
            <v>기타</v>
          </cell>
          <cell r="G178">
            <v>177</v>
          </cell>
          <cell r="J178" t="str">
            <v>LSS-M10</v>
          </cell>
          <cell r="K178">
            <v>306000</v>
          </cell>
          <cell r="N178" t="str">
            <v>INS-STL-M10</v>
          </cell>
          <cell r="O178">
            <v>10</v>
          </cell>
          <cell r="P178">
            <v>700000</v>
          </cell>
          <cell r="Q178">
            <v>16</v>
          </cell>
          <cell r="R178">
            <v>1125803</v>
          </cell>
          <cell r="S178">
            <v>70362.6875</v>
          </cell>
          <cell r="T178">
            <v>11</v>
          </cell>
          <cell r="U178">
            <v>773990</v>
          </cell>
          <cell r="V178">
            <v>1</v>
          </cell>
          <cell r="W178">
            <v>70363</v>
          </cell>
          <cell r="X178">
            <v>4</v>
          </cell>
          <cell r="Y178">
            <v>281450</v>
          </cell>
          <cell r="AC178">
            <v>4</v>
          </cell>
          <cell r="AE178">
            <v>4</v>
          </cell>
          <cell r="AG178">
            <v>4</v>
          </cell>
          <cell r="AI178">
            <v>1</v>
          </cell>
          <cell r="AJ178">
            <v>1</v>
          </cell>
          <cell r="AL178">
            <v>1</v>
          </cell>
          <cell r="AN178">
            <v>1</v>
          </cell>
        </row>
        <row r="179">
          <cell r="E179" t="str">
            <v>MRI COIL PAD</v>
          </cell>
          <cell r="F179" t="str">
            <v>기타</v>
          </cell>
          <cell r="G179">
            <v>178</v>
          </cell>
          <cell r="J179" t="str">
            <v>MAU-M10</v>
          </cell>
          <cell r="K179" t="e">
            <v>#DIV/0!</v>
          </cell>
          <cell r="N179" t="str">
            <v>IVP-M10</v>
          </cell>
          <cell r="O179">
            <v>5</v>
          </cell>
          <cell r="P179">
            <v>1050000</v>
          </cell>
          <cell r="Q179">
            <v>9</v>
          </cell>
          <cell r="R179">
            <v>1689080</v>
          </cell>
          <cell r="S179">
            <v>187675.55555555556</v>
          </cell>
          <cell r="T179">
            <v>9</v>
          </cell>
          <cell r="U179">
            <v>1689080</v>
          </cell>
          <cell r="W179">
            <v>0</v>
          </cell>
          <cell r="X179">
            <v>0</v>
          </cell>
          <cell r="Y179">
            <v>0</v>
          </cell>
          <cell r="AA179">
            <v>10</v>
          </cell>
          <cell r="AC179">
            <v>10</v>
          </cell>
          <cell r="AE179">
            <v>10</v>
          </cell>
          <cell r="AG179">
            <v>10</v>
          </cell>
          <cell r="AI179">
            <v>1</v>
          </cell>
          <cell r="AJ179">
            <v>1</v>
          </cell>
          <cell r="AL179">
            <v>1</v>
          </cell>
          <cell r="AN179">
            <v>1</v>
          </cell>
        </row>
        <row r="180">
          <cell r="E180" t="str">
            <v>MTD-M10</v>
          </cell>
          <cell r="F180" t="str">
            <v>기타</v>
          </cell>
          <cell r="G180">
            <v>179</v>
          </cell>
          <cell r="J180" t="str">
            <v>MRI COIL PAD</v>
          </cell>
          <cell r="K180" t="e">
            <v>#DIV/0!</v>
          </cell>
          <cell r="N180" t="str">
            <v>LSC-M10</v>
          </cell>
          <cell r="O180">
            <v>0</v>
          </cell>
          <cell r="P180">
            <v>0</v>
          </cell>
          <cell r="Q180">
            <v>8</v>
          </cell>
          <cell r="R180">
            <v>24000000</v>
          </cell>
          <cell r="S180">
            <v>3000000</v>
          </cell>
          <cell r="T180">
            <v>8</v>
          </cell>
          <cell r="U180">
            <v>24000000</v>
          </cell>
          <cell r="W180">
            <v>0</v>
          </cell>
          <cell r="X180">
            <v>0</v>
          </cell>
          <cell r="Y180">
            <v>0</v>
          </cell>
          <cell r="AC180">
            <v>0</v>
          </cell>
          <cell r="AG180">
            <v>0</v>
          </cell>
          <cell r="AJ180">
            <v>0</v>
          </cell>
          <cell r="AN180">
            <v>0</v>
          </cell>
        </row>
        <row r="181">
          <cell r="E181" t="str">
            <v>PDB-M10(스펙트로미터)</v>
          </cell>
          <cell r="F181" t="str">
            <v>기타</v>
          </cell>
          <cell r="G181">
            <v>180</v>
          </cell>
          <cell r="J181" t="str">
            <v>MTD-M10</v>
          </cell>
          <cell r="K181">
            <v>321743.2</v>
          </cell>
          <cell r="N181" t="str">
            <v>LSS-M10</v>
          </cell>
          <cell r="O181">
            <v>14</v>
          </cell>
          <cell r="P181">
            <v>4284000</v>
          </cell>
          <cell r="Q181">
            <v>30</v>
          </cell>
          <cell r="R181">
            <v>9244704</v>
          </cell>
          <cell r="S181">
            <v>308156.79999999999</v>
          </cell>
          <cell r="T181">
            <v>21</v>
          </cell>
          <cell r="U181">
            <v>6471293</v>
          </cell>
          <cell r="W181">
            <v>0</v>
          </cell>
          <cell r="X181">
            <v>9</v>
          </cell>
          <cell r="Y181">
            <v>2773411</v>
          </cell>
          <cell r="AC181">
            <v>9</v>
          </cell>
          <cell r="AF181">
            <v>9</v>
          </cell>
          <cell r="AG181">
            <v>9</v>
          </cell>
          <cell r="AI181">
            <v>1</v>
          </cell>
          <cell r="AJ181">
            <v>1</v>
          </cell>
          <cell r="AM181">
            <v>1</v>
          </cell>
          <cell r="AN181">
            <v>1</v>
          </cell>
        </row>
        <row r="182">
          <cell r="E182" t="str">
            <v>PTM-M10-10</v>
          </cell>
          <cell r="F182" t="str">
            <v>기타</v>
          </cell>
          <cell r="G182">
            <v>181</v>
          </cell>
          <cell r="J182" t="str">
            <v>PDB-M10(스펙트로미터)</v>
          </cell>
          <cell r="K182" t="e">
            <v>#DIV/0!</v>
          </cell>
          <cell r="N182" t="str">
            <v>MAU-M10</v>
          </cell>
          <cell r="O182">
            <v>0</v>
          </cell>
          <cell r="P182">
            <v>0</v>
          </cell>
          <cell r="Q182">
            <v>5</v>
          </cell>
          <cell r="R182">
            <v>50000</v>
          </cell>
          <cell r="S182">
            <v>10000</v>
          </cell>
          <cell r="T182">
            <v>5</v>
          </cell>
          <cell r="U182">
            <v>50000</v>
          </cell>
          <cell r="W182">
            <v>0</v>
          </cell>
          <cell r="X182">
            <v>0</v>
          </cell>
          <cell r="Y182">
            <v>0</v>
          </cell>
          <cell r="AC182">
            <v>0</v>
          </cell>
          <cell r="AG182">
            <v>0</v>
          </cell>
          <cell r="AJ182">
            <v>0</v>
          </cell>
          <cell r="AN182">
            <v>0</v>
          </cell>
        </row>
        <row r="183">
          <cell r="E183" t="str">
            <v>STI-WARP</v>
          </cell>
          <cell r="F183" t="str">
            <v>기타</v>
          </cell>
          <cell r="G183">
            <v>182</v>
          </cell>
          <cell r="J183" t="str">
            <v>PTM-M10-10</v>
          </cell>
          <cell r="K183">
            <v>1960814.5</v>
          </cell>
          <cell r="N183" t="str">
            <v>MRI COIL PAD</v>
          </cell>
          <cell r="O183">
            <v>0</v>
          </cell>
          <cell r="P183">
            <v>0</v>
          </cell>
          <cell r="Q183">
            <v>10</v>
          </cell>
          <cell r="R183">
            <v>3150000</v>
          </cell>
          <cell r="S183">
            <v>315000</v>
          </cell>
          <cell r="T183">
            <v>10</v>
          </cell>
          <cell r="U183">
            <v>3150000</v>
          </cell>
          <cell r="W183">
            <v>0</v>
          </cell>
          <cell r="X183">
            <v>0</v>
          </cell>
          <cell r="Y183">
            <v>0</v>
          </cell>
          <cell r="AC183">
            <v>0</v>
          </cell>
          <cell r="AG183">
            <v>0</v>
          </cell>
          <cell r="AI183">
            <v>1</v>
          </cell>
          <cell r="AJ183">
            <v>1</v>
          </cell>
          <cell r="AM183">
            <v>1</v>
          </cell>
          <cell r="AN183">
            <v>1</v>
          </cell>
        </row>
        <row r="184">
          <cell r="E184" t="str">
            <v>TAP-J1200</v>
          </cell>
          <cell r="F184" t="str">
            <v>기타</v>
          </cell>
          <cell r="G184">
            <v>183</v>
          </cell>
          <cell r="J184" t="str">
            <v>STI-WARP</v>
          </cell>
          <cell r="K184" t="e">
            <v>#DIV/0!</v>
          </cell>
          <cell r="N184" t="str">
            <v>MTD-M10</v>
          </cell>
          <cell r="O184">
            <v>10</v>
          </cell>
          <cell r="P184">
            <v>3217432</v>
          </cell>
          <cell r="Q184">
            <v>19</v>
          </cell>
          <cell r="R184">
            <v>6727486</v>
          </cell>
          <cell r="S184">
            <v>354078.21052631579</v>
          </cell>
          <cell r="T184">
            <v>10</v>
          </cell>
          <cell r="U184">
            <v>3540782</v>
          </cell>
          <cell r="W184">
            <v>0</v>
          </cell>
          <cell r="X184">
            <v>9</v>
          </cell>
          <cell r="Y184">
            <v>3186704</v>
          </cell>
          <cell r="AC184">
            <v>9</v>
          </cell>
          <cell r="AD184">
            <v>9</v>
          </cell>
          <cell r="AG184">
            <v>9</v>
          </cell>
          <cell r="AJ184">
            <v>0</v>
          </cell>
          <cell r="AN184">
            <v>0</v>
          </cell>
        </row>
        <row r="185">
          <cell r="E185" t="str">
            <v>T-BIAS CASE</v>
          </cell>
          <cell r="F185" t="str">
            <v>기타</v>
          </cell>
          <cell r="G185">
            <v>184</v>
          </cell>
          <cell r="J185" t="str">
            <v>TAP-J1200</v>
          </cell>
          <cell r="K185" t="e">
            <v>#DIV/0!</v>
          </cell>
          <cell r="N185" t="str">
            <v>PDB-M10(스펙트로미터)</v>
          </cell>
          <cell r="O185">
            <v>0</v>
          </cell>
          <cell r="P185">
            <v>0</v>
          </cell>
          <cell r="Q185">
            <v>12</v>
          </cell>
          <cell r="R185">
            <v>2735530</v>
          </cell>
          <cell r="S185">
            <v>227960.83333333334</v>
          </cell>
          <cell r="T185">
            <v>11</v>
          </cell>
          <cell r="U185">
            <v>2507569</v>
          </cell>
          <cell r="W185">
            <v>0</v>
          </cell>
          <cell r="X185">
            <v>1</v>
          </cell>
          <cell r="Y185">
            <v>227961</v>
          </cell>
          <cell r="AC185">
            <v>1</v>
          </cell>
          <cell r="AE185">
            <v>1</v>
          </cell>
          <cell r="AG185">
            <v>1</v>
          </cell>
          <cell r="AI185">
            <v>1</v>
          </cell>
          <cell r="AJ185">
            <v>1</v>
          </cell>
          <cell r="AL185">
            <v>1</v>
          </cell>
          <cell r="AN185">
            <v>1</v>
          </cell>
        </row>
        <row r="186">
          <cell r="E186" t="str">
            <v>환자 감시용 카메라</v>
          </cell>
          <cell r="F186" t="str">
            <v>카메라</v>
          </cell>
          <cell r="G186">
            <v>185</v>
          </cell>
          <cell r="J186" t="str">
            <v>T-BIAS CASE</v>
          </cell>
          <cell r="K186" t="e">
            <v>#DIV/0!</v>
          </cell>
          <cell r="N186" t="str">
            <v>PTM-M10-10</v>
          </cell>
          <cell r="O186">
            <v>12</v>
          </cell>
          <cell r="P186">
            <v>23529774</v>
          </cell>
          <cell r="Q186">
            <v>16</v>
          </cell>
          <cell r="R186">
            <v>32234247</v>
          </cell>
          <cell r="S186">
            <v>2014640.4375</v>
          </cell>
          <cell r="T186">
            <v>8</v>
          </cell>
          <cell r="U186">
            <v>16117124</v>
          </cell>
          <cell r="W186">
            <v>0</v>
          </cell>
          <cell r="X186">
            <v>8</v>
          </cell>
          <cell r="Y186">
            <v>16117123</v>
          </cell>
          <cell r="AC186">
            <v>8</v>
          </cell>
          <cell r="AD186">
            <v>8</v>
          </cell>
          <cell r="AG186">
            <v>8</v>
          </cell>
          <cell r="AI186">
            <v>1</v>
          </cell>
          <cell r="AJ186">
            <v>1</v>
          </cell>
          <cell r="AK186">
            <v>1</v>
          </cell>
          <cell r="AN186">
            <v>1</v>
          </cell>
        </row>
        <row r="187">
          <cell r="J187" t="str">
            <v>환자 감시용 카메라</v>
          </cell>
          <cell r="K187">
            <v>800000</v>
          </cell>
          <cell r="N187" t="str">
            <v>STI-WARP</v>
          </cell>
          <cell r="O187">
            <v>0</v>
          </cell>
          <cell r="P187">
            <v>0</v>
          </cell>
          <cell r="Q187">
            <v>7</v>
          </cell>
          <cell r="R187">
            <v>105000</v>
          </cell>
          <cell r="S187">
            <v>15000</v>
          </cell>
          <cell r="T187">
            <v>7</v>
          </cell>
          <cell r="U187">
            <v>105000</v>
          </cell>
          <cell r="W187">
            <v>0</v>
          </cell>
          <cell r="X187">
            <v>0</v>
          </cell>
          <cell r="Y187">
            <v>0</v>
          </cell>
          <cell r="AC187">
            <v>0</v>
          </cell>
          <cell r="AG187">
            <v>0</v>
          </cell>
          <cell r="AJ187">
            <v>0</v>
          </cell>
          <cell r="AN187">
            <v>0</v>
          </cell>
        </row>
        <row r="188">
          <cell r="K188" t="e">
            <v>#DIV/0!</v>
          </cell>
          <cell r="N188" t="str">
            <v>TAP-J1200</v>
          </cell>
          <cell r="O188">
            <v>0</v>
          </cell>
          <cell r="P188">
            <v>0</v>
          </cell>
          <cell r="Q188">
            <v>1</v>
          </cell>
          <cell r="R188">
            <v>10675</v>
          </cell>
          <cell r="S188">
            <v>10675</v>
          </cell>
          <cell r="T188">
            <v>1</v>
          </cell>
          <cell r="U188">
            <v>10675</v>
          </cell>
          <cell r="W188">
            <v>0</v>
          </cell>
          <cell r="X188">
            <v>0</v>
          </cell>
          <cell r="Y188">
            <v>0</v>
          </cell>
          <cell r="AC188">
            <v>0</v>
          </cell>
          <cell r="AG188">
            <v>0</v>
          </cell>
          <cell r="AJ188">
            <v>0</v>
          </cell>
          <cell r="AN188">
            <v>0</v>
          </cell>
        </row>
        <row r="189">
          <cell r="J189" t="str">
            <v>AUDIO VIDEO SYSTEM ARATUS PART(CMC)</v>
          </cell>
          <cell r="K189">
            <v>30943817</v>
          </cell>
          <cell r="N189" t="str">
            <v>T-BIAS CASE</v>
          </cell>
          <cell r="O189">
            <v>0</v>
          </cell>
          <cell r="P189">
            <v>0</v>
          </cell>
          <cell r="Q189">
            <v>20</v>
          </cell>
          <cell r="R189">
            <v>3000000</v>
          </cell>
          <cell r="S189">
            <v>150000</v>
          </cell>
          <cell r="T189">
            <v>20</v>
          </cell>
          <cell r="U189">
            <v>3000000</v>
          </cell>
          <cell r="W189">
            <v>0</v>
          </cell>
          <cell r="X189">
            <v>0</v>
          </cell>
          <cell r="Y189">
            <v>0</v>
          </cell>
          <cell r="AC189">
            <v>0</v>
          </cell>
          <cell r="AG189">
            <v>0</v>
          </cell>
          <cell r="AJ189">
            <v>0</v>
          </cell>
          <cell r="AN189">
            <v>0</v>
          </cell>
        </row>
        <row r="190">
          <cell r="J190" t="str">
            <v>ZD STEREOTACTIC SYSTEM(신천연합)</v>
          </cell>
          <cell r="K190">
            <v>69046364</v>
          </cell>
          <cell r="N190" t="str">
            <v>환자 감시용 카메라</v>
          </cell>
          <cell r="O190">
            <v>1</v>
          </cell>
          <cell r="P190">
            <v>800000</v>
          </cell>
          <cell r="Q190">
            <v>1</v>
          </cell>
          <cell r="R190">
            <v>800000</v>
          </cell>
          <cell r="S190">
            <v>800000</v>
          </cell>
          <cell r="T190">
            <v>1</v>
          </cell>
          <cell r="U190">
            <v>800000</v>
          </cell>
          <cell r="W190">
            <v>0</v>
          </cell>
          <cell r="X190">
            <v>0</v>
          </cell>
          <cell r="Y190">
            <v>0</v>
          </cell>
          <cell r="AC190">
            <v>0</v>
          </cell>
          <cell r="AG190">
            <v>0</v>
          </cell>
          <cell r="AJ190">
            <v>0</v>
          </cell>
          <cell r="AN190">
            <v>0</v>
          </cell>
        </row>
        <row r="191">
          <cell r="K191" t="e">
            <v>#DIV/0!</v>
          </cell>
        </row>
        <row r="192">
          <cell r="J192" t="str">
            <v>CBL-BELDEN</v>
          </cell>
          <cell r="K192" t="e">
            <v>#DIV/0!</v>
          </cell>
          <cell r="N192" t="str">
            <v>AUDIO VIDEO SYSTEM ARATUS PART(CMC)</v>
          </cell>
          <cell r="O192">
            <v>1</v>
          </cell>
          <cell r="P192">
            <v>30943817</v>
          </cell>
          <cell r="Q192">
            <v>1</v>
          </cell>
          <cell r="R192">
            <v>30943817</v>
          </cell>
          <cell r="S192">
            <v>30943817</v>
          </cell>
          <cell r="V192">
            <v>1</v>
          </cell>
          <cell r="W192">
            <v>30943817</v>
          </cell>
          <cell r="X192">
            <v>0</v>
          </cell>
          <cell r="Y192">
            <v>0</v>
          </cell>
          <cell r="AC192">
            <v>0</v>
          </cell>
          <cell r="AG192">
            <v>0</v>
          </cell>
          <cell r="AJ192">
            <v>0</v>
          </cell>
          <cell r="AN192">
            <v>0</v>
          </cell>
        </row>
        <row r="193">
          <cell r="J193" t="str">
            <v>CBL-RG223</v>
          </cell>
          <cell r="K193" t="e">
            <v>#DIV/0!</v>
          </cell>
          <cell r="N193" t="str">
            <v>ZD STEREOTACTIC SYSTEM(신천연합)</v>
          </cell>
          <cell r="O193">
            <v>1</v>
          </cell>
          <cell r="P193">
            <v>69046364</v>
          </cell>
          <cell r="Q193">
            <v>1</v>
          </cell>
          <cell r="R193">
            <v>69046364</v>
          </cell>
          <cell r="S193">
            <v>69046364</v>
          </cell>
          <cell r="V193">
            <v>1</v>
          </cell>
          <cell r="W193">
            <v>69046364</v>
          </cell>
          <cell r="X193">
            <v>0</v>
          </cell>
          <cell r="Y193">
            <v>0</v>
          </cell>
          <cell r="AC193">
            <v>0</v>
          </cell>
          <cell r="AG193">
            <v>0</v>
          </cell>
          <cell r="AJ193">
            <v>0</v>
          </cell>
          <cell r="AN193">
            <v>0</v>
          </cell>
        </row>
        <row r="194">
          <cell r="J194" t="str">
            <v>CBL-RG58</v>
          </cell>
          <cell r="K194" t="e">
            <v>#DIV/0!</v>
          </cell>
        </row>
        <row r="195">
          <cell r="J195" t="str">
            <v>CBL-SPT-PWRS</v>
          </cell>
          <cell r="K195" t="e">
            <v>#DIV/0!</v>
          </cell>
          <cell r="N195" t="str">
            <v>CBL-BELDEN</v>
          </cell>
          <cell r="O195">
            <v>0</v>
          </cell>
          <cell r="P195">
            <v>0</v>
          </cell>
          <cell r="Q195">
            <v>2832</v>
          </cell>
          <cell r="R195">
            <v>5667025</v>
          </cell>
          <cell r="S195">
            <v>2001.0681497175142</v>
          </cell>
          <cell r="V195">
            <v>2832</v>
          </cell>
          <cell r="W195">
            <v>5667025</v>
          </cell>
          <cell r="X195">
            <v>0</v>
          </cell>
          <cell r="Y195">
            <v>0</v>
          </cell>
          <cell r="AC195">
            <v>0</v>
          </cell>
          <cell r="AG195">
            <v>0</v>
          </cell>
          <cell r="AJ195">
            <v>0</v>
          </cell>
          <cell r="AN195">
            <v>0</v>
          </cell>
        </row>
        <row r="196">
          <cell r="J196" t="str">
            <v>CAP-B104-100C</v>
          </cell>
          <cell r="K196" t="e">
            <v>#DIV/0!</v>
          </cell>
          <cell r="N196" t="str">
            <v>CBL-RG223</v>
          </cell>
          <cell r="O196">
            <v>0</v>
          </cell>
          <cell r="P196">
            <v>0</v>
          </cell>
          <cell r="Q196">
            <v>232</v>
          </cell>
          <cell r="R196">
            <v>232000</v>
          </cell>
          <cell r="S196">
            <v>1000</v>
          </cell>
          <cell r="V196">
            <v>232</v>
          </cell>
          <cell r="W196">
            <v>232000</v>
          </cell>
          <cell r="X196">
            <v>0</v>
          </cell>
          <cell r="Y196">
            <v>0</v>
          </cell>
          <cell r="AC196">
            <v>0</v>
          </cell>
          <cell r="AG196">
            <v>0</v>
          </cell>
          <cell r="AJ196">
            <v>0</v>
          </cell>
          <cell r="AN196">
            <v>0</v>
          </cell>
        </row>
        <row r="197">
          <cell r="J197" t="str">
            <v>CAP-B330-100C</v>
          </cell>
          <cell r="K197" t="e">
            <v>#DIV/0!</v>
          </cell>
          <cell r="N197" t="str">
            <v>CBL-RG58</v>
          </cell>
          <cell r="O197">
            <v>0</v>
          </cell>
          <cell r="P197">
            <v>0</v>
          </cell>
          <cell r="Q197">
            <v>24</v>
          </cell>
          <cell r="R197">
            <v>12000</v>
          </cell>
          <cell r="S197">
            <v>500</v>
          </cell>
          <cell r="V197">
            <v>24</v>
          </cell>
          <cell r="W197">
            <v>12000</v>
          </cell>
          <cell r="X197">
            <v>0</v>
          </cell>
          <cell r="Y197">
            <v>0</v>
          </cell>
          <cell r="AC197">
            <v>0</v>
          </cell>
          <cell r="AG197">
            <v>0</v>
          </cell>
          <cell r="AJ197">
            <v>0</v>
          </cell>
          <cell r="AN197">
            <v>0</v>
          </cell>
        </row>
        <row r="198">
          <cell r="J198" t="str">
            <v>CAP-B512-100C</v>
          </cell>
          <cell r="K198">
            <v>16852.599999999999</v>
          </cell>
          <cell r="N198" t="str">
            <v>CBL-SPT-PWRS</v>
          </cell>
          <cell r="O198">
            <v>0</v>
          </cell>
          <cell r="P198">
            <v>0</v>
          </cell>
          <cell r="Q198">
            <v>13</v>
          </cell>
          <cell r="R198">
            <v>85376</v>
          </cell>
          <cell r="S198">
            <v>6567.3846153846152</v>
          </cell>
          <cell r="V198">
            <v>13</v>
          </cell>
          <cell r="W198">
            <v>85376</v>
          </cell>
          <cell r="X198">
            <v>0</v>
          </cell>
          <cell r="Y198">
            <v>0</v>
          </cell>
          <cell r="AC198">
            <v>0</v>
          </cell>
          <cell r="AG198">
            <v>0</v>
          </cell>
          <cell r="AJ198">
            <v>0</v>
          </cell>
          <cell r="AN198">
            <v>0</v>
          </cell>
        </row>
        <row r="199">
          <cell r="J199" t="str">
            <v>CAP-D102-50</v>
          </cell>
          <cell r="K199" t="e">
            <v>#DIV/0!</v>
          </cell>
          <cell r="N199" t="str">
            <v>CAP-B104-100C</v>
          </cell>
          <cell r="O199">
            <v>0</v>
          </cell>
          <cell r="P199">
            <v>0</v>
          </cell>
          <cell r="Q199">
            <v>84</v>
          </cell>
          <cell r="R199">
            <v>504000</v>
          </cell>
          <cell r="S199">
            <v>6000</v>
          </cell>
          <cell r="V199">
            <v>84</v>
          </cell>
          <cell r="W199">
            <v>504000</v>
          </cell>
          <cell r="X199">
            <v>0</v>
          </cell>
          <cell r="Y199">
            <v>0</v>
          </cell>
          <cell r="AC199">
            <v>0</v>
          </cell>
          <cell r="AG199">
            <v>0</v>
          </cell>
          <cell r="AJ199">
            <v>0</v>
          </cell>
          <cell r="AN199">
            <v>0</v>
          </cell>
        </row>
        <row r="200">
          <cell r="J200" t="str">
            <v>CAP-D103-50</v>
          </cell>
          <cell r="K200" t="e">
            <v>#DIV/0!</v>
          </cell>
          <cell r="N200" t="str">
            <v>CAP-B330-100C</v>
          </cell>
          <cell r="O200">
            <v>0</v>
          </cell>
          <cell r="P200">
            <v>0</v>
          </cell>
          <cell r="Q200">
            <v>15</v>
          </cell>
          <cell r="R200">
            <v>90000</v>
          </cell>
          <cell r="S200">
            <v>6000</v>
          </cell>
          <cell r="V200">
            <v>15</v>
          </cell>
          <cell r="W200">
            <v>90000</v>
          </cell>
          <cell r="X200">
            <v>0</v>
          </cell>
          <cell r="Y200">
            <v>0</v>
          </cell>
          <cell r="AC200">
            <v>0</v>
          </cell>
          <cell r="AG200">
            <v>0</v>
          </cell>
          <cell r="AJ200">
            <v>0</v>
          </cell>
          <cell r="AN200">
            <v>0</v>
          </cell>
        </row>
        <row r="201">
          <cell r="J201" t="str">
            <v>CAP-D104-50</v>
          </cell>
          <cell r="K201" t="e">
            <v>#DIV/0!</v>
          </cell>
          <cell r="N201" t="str">
            <v>CAP-B512-100C</v>
          </cell>
          <cell r="O201">
            <v>20</v>
          </cell>
          <cell r="P201">
            <v>337052</v>
          </cell>
          <cell r="Q201">
            <v>58</v>
          </cell>
          <cell r="R201">
            <v>565052</v>
          </cell>
          <cell r="S201">
            <v>9742.2758620689656</v>
          </cell>
          <cell r="V201">
            <v>58</v>
          </cell>
          <cell r="W201">
            <v>565052</v>
          </cell>
          <cell r="X201">
            <v>0</v>
          </cell>
          <cell r="Y201">
            <v>0</v>
          </cell>
          <cell r="AC201">
            <v>0</v>
          </cell>
          <cell r="AG201">
            <v>0</v>
          </cell>
          <cell r="AJ201">
            <v>0</v>
          </cell>
          <cell r="AN201">
            <v>0</v>
          </cell>
        </row>
        <row r="202">
          <cell r="J202" t="str">
            <v>CBL-CIP-HKP</v>
          </cell>
          <cell r="K202" t="e">
            <v>#DIV/0!</v>
          </cell>
          <cell r="N202" t="str">
            <v>CAP-D102-50</v>
          </cell>
          <cell r="O202">
            <v>0</v>
          </cell>
          <cell r="P202">
            <v>0</v>
          </cell>
          <cell r="Q202">
            <v>296</v>
          </cell>
          <cell r="R202">
            <v>438595</v>
          </cell>
          <cell r="S202">
            <v>1481.7398648648648</v>
          </cell>
          <cell r="V202">
            <v>296</v>
          </cell>
          <cell r="W202">
            <v>438595</v>
          </cell>
          <cell r="X202">
            <v>0</v>
          </cell>
          <cell r="Y202">
            <v>0</v>
          </cell>
          <cell r="AC202">
            <v>0</v>
          </cell>
          <cell r="AG202">
            <v>0</v>
          </cell>
          <cell r="AJ202">
            <v>0</v>
          </cell>
          <cell r="AN202">
            <v>0</v>
          </cell>
        </row>
        <row r="203">
          <cell r="J203" t="str">
            <v>CBL-CIP-SRC</v>
          </cell>
          <cell r="K203" t="e">
            <v>#DIV/0!</v>
          </cell>
          <cell r="N203" t="str">
            <v>CAP-D103-50</v>
          </cell>
          <cell r="O203">
            <v>0</v>
          </cell>
          <cell r="P203">
            <v>0</v>
          </cell>
          <cell r="Q203">
            <v>4490</v>
          </cell>
          <cell r="R203">
            <v>8997058</v>
          </cell>
          <cell r="S203">
            <v>2003.7991091314032</v>
          </cell>
          <cell r="V203">
            <v>4490</v>
          </cell>
          <cell r="W203">
            <v>8997058</v>
          </cell>
          <cell r="X203">
            <v>0</v>
          </cell>
          <cell r="Y203">
            <v>0</v>
          </cell>
          <cell r="AC203">
            <v>0</v>
          </cell>
          <cell r="AG203">
            <v>0</v>
          </cell>
          <cell r="AJ203">
            <v>0</v>
          </cell>
          <cell r="AN203">
            <v>0</v>
          </cell>
        </row>
        <row r="204">
          <cell r="J204" t="str">
            <v>CBL-MIC-195</v>
          </cell>
          <cell r="K204" t="e">
            <v>#DIV/0!</v>
          </cell>
          <cell r="N204" t="str">
            <v>CAP-D104-50</v>
          </cell>
          <cell r="O204">
            <v>0</v>
          </cell>
          <cell r="P204">
            <v>0</v>
          </cell>
          <cell r="Q204">
            <v>3992</v>
          </cell>
          <cell r="R204">
            <v>190181</v>
          </cell>
          <cell r="S204">
            <v>47.640531062124246</v>
          </cell>
          <cell r="V204">
            <v>3992</v>
          </cell>
          <cell r="W204">
            <v>190181</v>
          </cell>
          <cell r="X204">
            <v>0</v>
          </cell>
          <cell r="Y204">
            <v>0</v>
          </cell>
          <cell r="AC204">
            <v>0</v>
          </cell>
          <cell r="AG204">
            <v>0</v>
          </cell>
          <cell r="AJ204">
            <v>0</v>
          </cell>
          <cell r="AN204">
            <v>0</v>
          </cell>
        </row>
        <row r="205">
          <cell r="J205" t="str">
            <v>CIS-M10</v>
          </cell>
          <cell r="K205" t="e">
            <v>#DIV/0!</v>
          </cell>
          <cell r="N205" t="str">
            <v>CBL-CIP-HKP</v>
          </cell>
          <cell r="O205">
            <v>0</v>
          </cell>
          <cell r="P205">
            <v>0</v>
          </cell>
          <cell r="Q205">
            <v>20</v>
          </cell>
          <cell r="R205">
            <v>53550</v>
          </cell>
          <cell r="S205">
            <v>2677.5</v>
          </cell>
          <cell r="V205">
            <v>20</v>
          </cell>
          <cell r="W205">
            <v>53550</v>
          </cell>
          <cell r="X205">
            <v>0</v>
          </cell>
          <cell r="Y205">
            <v>0</v>
          </cell>
          <cell r="AC205">
            <v>0</v>
          </cell>
          <cell r="AG205">
            <v>0</v>
          </cell>
          <cell r="AJ205">
            <v>0</v>
          </cell>
          <cell r="AN205">
            <v>0</v>
          </cell>
        </row>
        <row r="206">
          <cell r="J206" t="str">
            <v>CON-BNC</v>
          </cell>
          <cell r="K206" t="e">
            <v>#DIV/0!</v>
          </cell>
          <cell r="N206" t="str">
            <v>CBL-CIP-SRC</v>
          </cell>
          <cell r="O206">
            <v>0</v>
          </cell>
          <cell r="P206">
            <v>0</v>
          </cell>
          <cell r="Q206">
            <v>2.6</v>
          </cell>
          <cell r="R206">
            <v>7792</v>
          </cell>
          <cell r="S206">
            <v>2996.9230769230767</v>
          </cell>
          <cell r="V206">
            <v>2.6</v>
          </cell>
          <cell r="W206">
            <v>7792</v>
          </cell>
          <cell r="X206">
            <v>0</v>
          </cell>
          <cell r="Y206">
            <v>0</v>
          </cell>
          <cell r="AC206">
            <v>0</v>
          </cell>
          <cell r="AG206">
            <v>0</v>
          </cell>
          <cell r="AJ206">
            <v>0</v>
          </cell>
          <cell r="AN206">
            <v>0</v>
          </cell>
        </row>
        <row r="207">
          <cell r="J207" t="str">
            <v>CON-BNC-405</v>
          </cell>
          <cell r="K207" t="e">
            <v>#DIV/0!</v>
          </cell>
          <cell r="N207" t="str">
            <v>CBL-MIC-195</v>
          </cell>
          <cell r="O207">
            <v>0</v>
          </cell>
          <cell r="P207">
            <v>0</v>
          </cell>
          <cell r="Q207">
            <v>4.5999999999999996</v>
          </cell>
          <cell r="R207">
            <v>4537</v>
          </cell>
          <cell r="S207">
            <v>986.304347826087</v>
          </cell>
          <cell r="V207">
            <v>4.5999999999999996</v>
          </cell>
          <cell r="W207">
            <v>4537</v>
          </cell>
          <cell r="X207">
            <v>0</v>
          </cell>
          <cell r="Y207">
            <v>0</v>
          </cell>
          <cell r="AC207">
            <v>0</v>
          </cell>
          <cell r="AG207">
            <v>0</v>
          </cell>
          <cell r="AJ207">
            <v>0</v>
          </cell>
          <cell r="AN207">
            <v>0</v>
          </cell>
        </row>
        <row r="208">
          <cell r="J208" t="str">
            <v>CON-BNC-BUF</v>
          </cell>
          <cell r="K208" t="e">
            <v>#DIV/0!</v>
          </cell>
          <cell r="N208" t="str">
            <v>CIS-M10</v>
          </cell>
          <cell r="O208">
            <v>0</v>
          </cell>
          <cell r="P208">
            <v>0</v>
          </cell>
          <cell r="Q208">
            <v>10</v>
          </cell>
          <cell r="R208">
            <v>6759</v>
          </cell>
          <cell r="S208">
            <v>675.9</v>
          </cell>
          <cell r="V208">
            <v>10</v>
          </cell>
          <cell r="W208">
            <v>6759</v>
          </cell>
          <cell r="X208">
            <v>0</v>
          </cell>
          <cell r="Y208">
            <v>0</v>
          </cell>
          <cell r="AC208">
            <v>0</v>
          </cell>
          <cell r="AG208">
            <v>0</v>
          </cell>
          <cell r="AJ208">
            <v>0</v>
          </cell>
          <cell r="AN208">
            <v>0</v>
          </cell>
        </row>
        <row r="209">
          <cell r="J209" t="str">
            <v>CON-BNC-SLP</v>
          </cell>
          <cell r="K209" t="e">
            <v>#DIV/0!</v>
          </cell>
          <cell r="N209" t="str">
            <v>CON-BNC</v>
          </cell>
          <cell r="O209">
            <v>0</v>
          </cell>
          <cell r="P209">
            <v>0</v>
          </cell>
          <cell r="Q209">
            <v>215</v>
          </cell>
          <cell r="R209">
            <v>740185</v>
          </cell>
          <cell r="S209">
            <v>3442.7209302325582</v>
          </cell>
          <cell r="V209">
            <v>215</v>
          </cell>
          <cell r="W209">
            <v>740185</v>
          </cell>
          <cell r="X209">
            <v>0</v>
          </cell>
          <cell r="Y209">
            <v>0</v>
          </cell>
          <cell r="AC209">
            <v>0</v>
          </cell>
          <cell r="AG209">
            <v>0</v>
          </cell>
          <cell r="AJ209">
            <v>0</v>
          </cell>
          <cell r="AN209">
            <v>0</v>
          </cell>
        </row>
        <row r="210">
          <cell r="J210" t="str">
            <v>CON-BNC-SMA</v>
          </cell>
          <cell r="K210" t="e">
            <v>#DIV/0!</v>
          </cell>
          <cell r="N210" t="str">
            <v>CON-BNC-405</v>
          </cell>
          <cell r="O210">
            <v>0</v>
          </cell>
          <cell r="P210">
            <v>0</v>
          </cell>
          <cell r="Q210">
            <v>58</v>
          </cell>
          <cell r="R210">
            <v>121118</v>
          </cell>
          <cell r="S210">
            <v>2088.2413793103447</v>
          </cell>
          <cell r="V210">
            <v>58</v>
          </cell>
          <cell r="W210">
            <v>121118</v>
          </cell>
          <cell r="X210">
            <v>0</v>
          </cell>
          <cell r="Y210">
            <v>0</v>
          </cell>
          <cell r="AC210">
            <v>0</v>
          </cell>
          <cell r="AG210">
            <v>0</v>
          </cell>
          <cell r="AJ210">
            <v>0</v>
          </cell>
          <cell r="AN210">
            <v>0</v>
          </cell>
        </row>
        <row r="211">
          <cell r="J211" t="str">
            <v>CON-BUL-402-N</v>
          </cell>
          <cell r="K211" t="e">
            <v>#DIV/0!</v>
          </cell>
          <cell r="N211" t="str">
            <v>CON-BNC-BUF</v>
          </cell>
          <cell r="O211">
            <v>0</v>
          </cell>
          <cell r="P211">
            <v>0</v>
          </cell>
          <cell r="Q211">
            <v>28</v>
          </cell>
          <cell r="R211">
            <v>45720</v>
          </cell>
          <cell r="S211">
            <v>1632.8571428571429</v>
          </cell>
          <cell r="V211">
            <v>28</v>
          </cell>
          <cell r="W211">
            <v>45720</v>
          </cell>
          <cell r="X211">
            <v>0</v>
          </cell>
          <cell r="Y211">
            <v>0</v>
          </cell>
          <cell r="AC211">
            <v>0</v>
          </cell>
          <cell r="AG211">
            <v>0</v>
          </cell>
          <cell r="AJ211">
            <v>0</v>
          </cell>
          <cell r="AN211">
            <v>0</v>
          </cell>
        </row>
        <row r="212">
          <cell r="J212" t="str">
            <v>CON-CMC-802</v>
          </cell>
          <cell r="K212">
            <v>17308.54</v>
          </cell>
          <cell r="N212" t="str">
            <v>CON-BNC-SLP</v>
          </cell>
          <cell r="O212">
            <v>0</v>
          </cell>
          <cell r="P212">
            <v>0</v>
          </cell>
          <cell r="Q212">
            <v>342</v>
          </cell>
          <cell r="R212">
            <v>351912</v>
          </cell>
          <cell r="S212">
            <v>1028.9824561403509</v>
          </cell>
          <cell r="V212">
            <v>342</v>
          </cell>
          <cell r="W212">
            <v>351912</v>
          </cell>
          <cell r="X212">
            <v>0</v>
          </cell>
          <cell r="Y212">
            <v>0</v>
          </cell>
          <cell r="AC212">
            <v>0</v>
          </cell>
          <cell r="AG212">
            <v>0</v>
          </cell>
          <cell r="AJ212">
            <v>0</v>
          </cell>
          <cell r="AN212">
            <v>0</v>
          </cell>
        </row>
        <row r="213">
          <cell r="J213" t="str">
            <v>CON-CMC-811</v>
          </cell>
          <cell r="K213" t="e">
            <v>#DIV/0!</v>
          </cell>
          <cell r="N213" t="str">
            <v>CON-BNC-SMA</v>
          </cell>
          <cell r="O213">
            <v>0</v>
          </cell>
          <cell r="P213">
            <v>0</v>
          </cell>
          <cell r="Q213">
            <v>24</v>
          </cell>
          <cell r="R213">
            <v>31483</v>
          </cell>
          <cell r="S213">
            <v>1311.7916666666667</v>
          </cell>
          <cell r="V213">
            <v>24</v>
          </cell>
          <cell r="W213">
            <v>31483</v>
          </cell>
          <cell r="X213">
            <v>0</v>
          </cell>
          <cell r="Y213">
            <v>0</v>
          </cell>
          <cell r="AC213">
            <v>0</v>
          </cell>
          <cell r="AG213">
            <v>0</v>
          </cell>
          <cell r="AJ213">
            <v>0</v>
          </cell>
          <cell r="AN213">
            <v>0</v>
          </cell>
        </row>
        <row r="214">
          <cell r="J214" t="str">
            <v>CON-CMC-891</v>
          </cell>
          <cell r="K214" t="e">
            <v>#DIV/0!</v>
          </cell>
          <cell r="N214" t="str">
            <v>CON-BUL-402-N</v>
          </cell>
          <cell r="O214">
            <v>0</v>
          </cell>
          <cell r="P214">
            <v>0</v>
          </cell>
          <cell r="Q214">
            <v>16</v>
          </cell>
          <cell r="R214">
            <v>38043</v>
          </cell>
          <cell r="S214">
            <v>2377.6875</v>
          </cell>
          <cell r="V214">
            <v>16</v>
          </cell>
          <cell r="W214">
            <v>38043</v>
          </cell>
          <cell r="X214">
            <v>0</v>
          </cell>
          <cell r="Y214">
            <v>0</v>
          </cell>
          <cell r="AC214">
            <v>0</v>
          </cell>
          <cell r="AG214">
            <v>0</v>
          </cell>
          <cell r="AJ214">
            <v>0</v>
          </cell>
          <cell r="AN214">
            <v>0</v>
          </cell>
        </row>
        <row r="215">
          <cell r="J215" t="str">
            <v>CON-DSB-F37</v>
          </cell>
          <cell r="K215" t="e">
            <v>#DIV/0!</v>
          </cell>
          <cell r="N215" t="str">
            <v>CON-CMC-802</v>
          </cell>
          <cell r="O215">
            <v>50</v>
          </cell>
          <cell r="P215">
            <v>865427</v>
          </cell>
          <cell r="Q215">
            <v>126</v>
          </cell>
          <cell r="R215">
            <v>1001475</v>
          </cell>
          <cell r="S215">
            <v>7948.2142857142853</v>
          </cell>
          <cell r="V215">
            <v>126</v>
          </cell>
          <cell r="W215">
            <v>1001475</v>
          </cell>
          <cell r="X215">
            <v>0</v>
          </cell>
          <cell r="Y215">
            <v>0</v>
          </cell>
          <cell r="AC215">
            <v>0</v>
          </cell>
          <cell r="AG215">
            <v>0</v>
          </cell>
          <cell r="AJ215">
            <v>0</v>
          </cell>
          <cell r="AN215">
            <v>0</v>
          </cell>
        </row>
        <row r="216">
          <cell r="J216" t="str">
            <v>CON-DSB-M37</v>
          </cell>
          <cell r="K216" t="e">
            <v>#DIV/0!</v>
          </cell>
          <cell r="N216" t="str">
            <v>CON-CMC-811</v>
          </cell>
          <cell r="O216">
            <v>0</v>
          </cell>
          <cell r="P216">
            <v>0</v>
          </cell>
          <cell r="Q216">
            <v>20</v>
          </cell>
          <cell r="R216">
            <v>186059</v>
          </cell>
          <cell r="S216">
            <v>9302.9500000000007</v>
          </cell>
          <cell r="V216">
            <v>20</v>
          </cell>
          <cell r="W216">
            <v>186059</v>
          </cell>
          <cell r="X216">
            <v>0</v>
          </cell>
          <cell r="Y216">
            <v>0</v>
          </cell>
          <cell r="AC216">
            <v>0</v>
          </cell>
          <cell r="AG216">
            <v>0</v>
          </cell>
          <cell r="AJ216">
            <v>0</v>
          </cell>
          <cell r="AN216">
            <v>0</v>
          </cell>
        </row>
        <row r="217">
          <cell r="J217" t="str">
            <v>CON-HOO-50P</v>
          </cell>
          <cell r="K217" t="e">
            <v>#DIV/0!</v>
          </cell>
          <cell r="N217" t="str">
            <v>CON-CMC-891</v>
          </cell>
          <cell r="O217">
            <v>0</v>
          </cell>
          <cell r="P217">
            <v>0</v>
          </cell>
          <cell r="Q217">
            <v>832</v>
          </cell>
          <cell r="R217">
            <v>128625</v>
          </cell>
          <cell r="S217">
            <v>154.59735576923077</v>
          </cell>
          <cell r="V217">
            <v>832</v>
          </cell>
          <cell r="W217">
            <v>128625</v>
          </cell>
          <cell r="X217">
            <v>0</v>
          </cell>
          <cell r="Y217">
            <v>0</v>
          </cell>
          <cell r="AC217">
            <v>0</v>
          </cell>
          <cell r="AG217">
            <v>0</v>
          </cell>
          <cell r="AJ217">
            <v>0</v>
          </cell>
          <cell r="AN217">
            <v>0</v>
          </cell>
        </row>
        <row r="218">
          <cell r="J218" t="str">
            <v>CON-N-SRI</v>
          </cell>
          <cell r="K218" t="e">
            <v>#DIV/0!</v>
          </cell>
          <cell r="N218" t="str">
            <v>CON-DSB-F37</v>
          </cell>
          <cell r="O218">
            <v>0</v>
          </cell>
          <cell r="P218">
            <v>0</v>
          </cell>
          <cell r="Q218">
            <v>24</v>
          </cell>
          <cell r="R218">
            <v>76853</v>
          </cell>
          <cell r="S218">
            <v>3202.2083333333335</v>
          </cell>
          <cell r="V218">
            <v>24</v>
          </cell>
          <cell r="W218">
            <v>76853</v>
          </cell>
          <cell r="X218">
            <v>0</v>
          </cell>
          <cell r="Y218">
            <v>0</v>
          </cell>
          <cell r="AC218">
            <v>0</v>
          </cell>
          <cell r="AG218">
            <v>0</v>
          </cell>
          <cell r="AJ218">
            <v>0</v>
          </cell>
          <cell r="AN218">
            <v>0</v>
          </cell>
        </row>
        <row r="219">
          <cell r="J219" t="str">
            <v>CON-POT-F</v>
          </cell>
          <cell r="K219" t="e">
            <v>#DIV/0!</v>
          </cell>
          <cell r="N219" t="str">
            <v>CON-DSB-M37</v>
          </cell>
          <cell r="O219">
            <v>0</v>
          </cell>
          <cell r="P219">
            <v>0</v>
          </cell>
          <cell r="Q219">
            <v>46</v>
          </cell>
          <cell r="R219">
            <v>135969</v>
          </cell>
          <cell r="S219">
            <v>2955.8478260869565</v>
          </cell>
          <cell r="V219">
            <v>46</v>
          </cell>
          <cell r="W219">
            <v>135969</v>
          </cell>
          <cell r="X219">
            <v>0</v>
          </cell>
          <cell r="Y219">
            <v>0</v>
          </cell>
          <cell r="AC219">
            <v>0</v>
          </cell>
          <cell r="AG219">
            <v>0</v>
          </cell>
          <cell r="AJ219">
            <v>0</v>
          </cell>
          <cell r="AN219">
            <v>0</v>
          </cell>
        </row>
        <row r="220">
          <cell r="J220" t="str">
            <v>DIO-1N4148</v>
          </cell>
          <cell r="K220" t="e">
            <v>#DIV/0!</v>
          </cell>
          <cell r="N220" t="str">
            <v>CON-HOO-50P</v>
          </cell>
          <cell r="O220">
            <v>0</v>
          </cell>
          <cell r="P220">
            <v>0</v>
          </cell>
          <cell r="Q220">
            <v>46</v>
          </cell>
          <cell r="R220">
            <v>449142</v>
          </cell>
          <cell r="S220">
            <v>9763.95652173913</v>
          </cell>
          <cell r="V220">
            <v>46</v>
          </cell>
          <cell r="W220">
            <v>449142</v>
          </cell>
          <cell r="X220">
            <v>0</v>
          </cell>
          <cell r="Y220">
            <v>0</v>
          </cell>
          <cell r="AC220">
            <v>0</v>
          </cell>
          <cell r="AG220">
            <v>0</v>
          </cell>
          <cell r="AJ220">
            <v>0</v>
          </cell>
          <cell r="AN220">
            <v>0</v>
          </cell>
        </row>
        <row r="221">
          <cell r="J221" t="str">
            <v>DIO-1N4689</v>
          </cell>
          <cell r="K221" t="e">
            <v>#DIV/0!</v>
          </cell>
          <cell r="N221" t="str">
            <v>CON-N-SRI</v>
          </cell>
          <cell r="O221">
            <v>0</v>
          </cell>
          <cell r="P221">
            <v>0</v>
          </cell>
          <cell r="Q221">
            <v>38</v>
          </cell>
          <cell r="R221">
            <v>104625</v>
          </cell>
          <cell r="S221">
            <v>2753.2894736842104</v>
          </cell>
          <cell r="V221">
            <v>38</v>
          </cell>
          <cell r="W221">
            <v>104625</v>
          </cell>
          <cell r="X221">
            <v>0</v>
          </cell>
          <cell r="Y221">
            <v>0</v>
          </cell>
          <cell r="AC221">
            <v>0</v>
          </cell>
          <cell r="AG221">
            <v>0</v>
          </cell>
          <cell r="AJ221">
            <v>0</v>
          </cell>
          <cell r="AN221">
            <v>0</v>
          </cell>
        </row>
        <row r="222">
          <cell r="J222" t="str">
            <v>DIO-MS2822</v>
          </cell>
          <cell r="K222" t="e">
            <v>#DIV/0!</v>
          </cell>
          <cell r="N222" t="str">
            <v>CON-POT-F</v>
          </cell>
          <cell r="O222">
            <v>0</v>
          </cell>
          <cell r="P222">
            <v>0</v>
          </cell>
          <cell r="Q222">
            <v>34</v>
          </cell>
          <cell r="R222">
            <v>78675</v>
          </cell>
          <cell r="S222">
            <v>2313.9705882352941</v>
          </cell>
          <cell r="V222">
            <v>34</v>
          </cell>
          <cell r="W222">
            <v>78675</v>
          </cell>
          <cell r="X222">
            <v>0</v>
          </cell>
          <cell r="Y222">
            <v>0</v>
          </cell>
          <cell r="AC222">
            <v>0</v>
          </cell>
          <cell r="AG222">
            <v>0</v>
          </cell>
          <cell r="AJ222">
            <v>0</v>
          </cell>
          <cell r="AN222">
            <v>0</v>
          </cell>
        </row>
        <row r="223">
          <cell r="J223" t="str">
            <v>IC-74HC04</v>
          </cell>
          <cell r="K223" t="e">
            <v>#DIV/0!</v>
          </cell>
          <cell r="N223" t="str">
            <v>DIO-1N4148</v>
          </cell>
          <cell r="O223">
            <v>0</v>
          </cell>
          <cell r="P223">
            <v>0</v>
          </cell>
          <cell r="Q223">
            <v>8</v>
          </cell>
          <cell r="R223">
            <v>117</v>
          </cell>
          <cell r="S223">
            <v>14.625</v>
          </cell>
          <cell r="V223">
            <v>8</v>
          </cell>
          <cell r="W223">
            <v>117</v>
          </cell>
          <cell r="X223">
            <v>0</v>
          </cell>
          <cell r="Y223">
            <v>0</v>
          </cell>
          <cell r="AC223">
            <v>0</v>
          </cell>
          <cell r="AG223">
            <v>0</v>
          </cell>
          <cell r="AJ223">
            <v>0</v>
          </cell>
          <cell r="AN223">
            <v>0</v>
          </cell>
        </row>
        <row r="224">
          <cell r="J224" t="str">
            <v xml:space="preserve">IC-74HCT00 </v>
          </cell>
          <cell r="K224" t="e">
            <v>#DIV/0!</v>
          </cell>
          <cell r="N224" t="str">
            <v>DIO-1N4689</v>
          </cell>
          <cell r="O224">
            <v>0</v>
          </cell>
          <cell r="P224">
            <v>0</v>
          </cell>
          <cell r="Q224">
            <v>992</v>
          </cell>
          <cell r="R224">
            <v>153678</v>
          </cell>
          <cell r="S224">
            <v>154.91733870967741</v>
          </cell>
          <cell r="V224">
            <v>992</v>
          </cell>
          <cell r="W224">
            <v>153678</v>
          </cell>
          <cell r="X224">
            <v>0</v>
          </cell>
          <cell r="Y224">
            <v>0</v>
          </cell>
          <cell r="AC224">
            <v>0</v>
          </cell>
          <cell r="AG224">
            <v>0</v>
          </cell>
          <cell r="AJ224">
            <v>0</v>
          </cell>
          <cell r="AN224">
            <v>0</v>
          </cell>
        </row>
        <row r="225">
          <cell r="J225" t="str">
            <v>IC-75ALS193</v>
          </cell>
          <cell r="K225" t="e">
            <v>#DIV/0!</v>
          </cell>
          <cell r="N225" t="str">
            <v>DIO-MS2822</v>
          </cell>
          <cell r="O225">
            <v>0</v>
          </cell>
          <cell r="P225">
            <v>0</v>
          </cell>
          <cell r="Q225">
            <v>76</v>
          </cell>
          <cell r="R225">
            <v>45487</v>
          </cell>
          <cell r="S225">
            <v>598.51315789473688</v>
          </cell>
          <cell r="V225">
            <v>76</v>
          </cell>
          <cell r="W225">
            <v>45487</v>
          </cell>
          <cell r="X225">
            <v>0</v>
          </cell>
          <cell r="Y225">
            <v>0</v>
          </cell>
          <cell r="AC225">
            <v>0</v>
          </cell>
          <cell r="AG225">
            <v>0</v>
          </cell>
          <cell r="AJ225">
            <v>0</v>
          </cell>
          <cell r="AN225">
            <v>0</v>
          </cell>
        </row>
        <row r="226">
          <cell r="J226" t="str">
            <v>IC-MC3399</v>
          </cell>
          <cell r="K226" t="e">
            <v>#DIV/0!</v>
          </cell>
          <cell r="N226" t="str">
            <v>IC-74HC04</v>
          </cell>
          <cell r="O226">
            <v>0</v>
          </cell>
          <cell r="P226">
            <v>0</v>
          </cell>
          <cell r="Q226">
            <v>64</v>
          </cell>
          <cell r="R226">
            <v>65296</v>
          </cell>
          <cell r="S226">
            <v>1020.25</v>
          </cell>
          <cell r="V226">
            <v>64</v>
          </cell>
          <cell r="W226">
            <v>65296</v>
          </cell>
          <cell r="X226">
            <v>0</v>
          </cell>
          <cell r="Y226">
            <v>0</v>
          </cell>
          <cell r="AC226">
            <v>0</v>
          </cell>
          <cell r="AG226">
            <v>0</v>
          </cell>
          <cell r="AJ226">
            <v>0</v>
          </cell>
          <cell r="AN226">
            <v>0</v>
          </cell>
        </row>
        <row r="227">
          <cell r="J227" t="str">
            <v>IC-MC7808</v>
          </cell>
          <cell r="K227" t="e">
            <v>#DIV/0!</v>
          </cell>
          <cell r="N227" t="str">
            <v xml:space="preserve">IC-74HCT00 </v>
          </cell>
          <cell r="O227">
            <v>0</v>
          </cell>
          <cell r="P227">
            <v>0</v>
          </cell>
          <cell r="Q227">
            <v>22</v>
          </cell>
          <cell r="R227">
            <v>13344</v>
          </cell>
          <cell r="S227">
            <v>606.5454545454545</v>
          </cell>
          <cell r="V227">
            <v>22</v>
          </cell>
          <cell r="W227">
            <v>13344</v>
          </cell>
          <cell r="X227">
            <v>0</v>
          </cell>
          <cell r="Y227">
            <v>0</v>
          </cell>
          <cell r="AC227">
            <v>0</v>
          </cell>
          <cell r="AG227">
            <v>0</v>
          </cell>
          <cell r="AJ227">
            <v>0</v>
          </cell>
          <cell r="AN227">
            <v>0</v>
          </cell>
        </row>
        <row r="228">
          <cell r="J228" t="str">
            <v>L-22A</v>
          </cell>
          <cell r="K228" t="e">
            <v>#DIV/0!</v>
          </cell>
          <cell r="N228" t="str">
            <v>IC-75ALS193</v>
          </cell>
          <cell r="O228">
            <v>0</v>
          </cell>
          <cell r="P228">
            <v>0</v>
          </cell>
          <cell r="Q228">
            <v>55</v>
          </cell>
          <cell r="R228">
            <v>88953</v>
          </cell>
          <cell r="S228">
            <v>1617.3272727272727</v>
          </cell>
          <cell r="V228">
            <v>55</v>
          </cell>
          <cell r="W228">
            <v>88953</v>
          </cell>
          <cell r="X228">
            <v>0</v>
          </cell>
          <cell r="Y228">
            <v>0</v>
          </cell>
          <cell r="AC228">
            <v>0</v>
          </cell>
          <cell r="AG228">
            <v>0</v>
          </cell>
          <cell r="AJ228">
            <v>0</v>
          </cell>
          <cell r="AN228">
            <v>0</v>
          </cell>
        </row>
        <row r="229">
          <cell r="J229" t="str">
            <v>RF-COK-22</v>
          </cell>
          <cell r="K229" t="e">
            <v>#DIV/0!</v>
          </cell>
          <cell r="N229" t="str">
            <v>IC-MC3399</v>
          </cell>
          <cell r="O229">
            <v>0</v>
          </cell>
          <cell r="P229">
            <v>0</v>
          </cell>
          <cell r="Q229">
            <v>40</v>
          </cell>
          <cell r="R229">
            <v>207494</v>
          </cell>
          <cell r="S229">
            <v>5187.3500000000004</v>
          </cell>
          <cell r="V229">
            <v>40</v>
          </cell>
          <cell r="W229">
            <v>207494</v>
          </cell>
          <cell r="X229">
            <v>0</v>
          </cell>
          <cell r="Y229">
            <v>0</v>
          </cell>
          <cell r="AC229">
            <v>0</v>
          </cell>
          <cell r="AG229">
            <v>0</v>
          </cell>
          <cell r="AJ229">
            <v>0</v>
          </cell>
          <cell r="AN229">
            <v>0</v>
          </cell>
        </row>
        <row r="230">
          <cell r="J230" t="str">
            <v>RF-COK-68</v>
          </cell>
          <cell r="K230" t="e">
            <v>#DIV/0!</v>
          </cell>
          <cell r="N230" t="str">
            <v>IC-MC7808</v>
          </cell>
          <cell r="O230">
            <v>0</v>
          </cell>
          <cell r="P230">
            <v>0</v>
          </cell>
          <cell r="Q230">
            <v>496</v>
          </cell>
          <cell r="R230">
            <v>298716</v>
          </cell>
          <cell r="S230">
            <v>602.25</v>
          </cell>
          <cell r="V230">
            <v>496</v>
          </cell>
          <cell r="W230">
            <v>298716</v>
          </cell>
          <cell r="X230">
            <v>0</v>
          </cell>
          <cell r="Y230">
            <v>0</v>
          </cell>
          <cell r="AC230">
            <v>0</v>
          </cell>
          <cell r="AG230">
            <v>0</v>
          </cell>
          <cell r="AJ230">
            <v>0</v>
          </cell>
          <cell r="AN230">
            <v>0</v>
          </cell>
        </row>
        <row r="231">
          <cell r="J231" t="str">
            <v>RF-PRA-14M</v>
          </cell>
          <cell r="K231" t="e">
            <v>#DIV/0!</v>
          </cell>
          <cell r="N231" t="str">
            <v>L-22A</v>
          </cell>
          <cell r="O231">
            <v>0</v>
          </cell>
          <cell r="P231">
            <v>0</v>
          </cell>
          <cell r="Q231">
            <v>88</v>
          </cell>
          <cell r="R231">
            <v>127070</v>
          </cell>
          <cell r="S231">
            <v>1443.9772727272727</v>
          </cell>
          <cell r="V231">
            <v>88</v>
          </cell>
          <cell r="W231">
            <v>127070</v>
          </cell>
          <cell r="X231">
            <v>0</v>
          </cell>
          <cell r="Y231">
            <v>0</v>
          </cell>
          <cell r="AC231">
            <v>0</v>
          </cell>
          <cell r="AG231">
            <v>0</v>
          </cell>
          <cell r="AJ231">
            <v>0</v>
          </cell>
          <cell r="AN231">
            <v>0</v>
          </cell>
        </row>
        <row r="232">
          <cell r="J232" t="str">
            <v>RS-1035-14</v>
          </cell>
          <cell r="K232" t="e">
            <v>#DIV/0!</v>
          </cell>
          <cell r="N232" t="str">
            <v>RF-COK-22</v>
          </cell>
          <cell r="O232">
            <v>0</v>
          </cell>
          <cell r="P232">
            <v>0</v>
          </cell>
          <cell r="Q232">
            <v>80</v>
          </cell>
          <cell r="R232">
            <v>122479</v>
          </cell>
          <cell r="S232">
            <v>1530.9875</v>
          </cell>
          <cell r="V232">
            <v>80</v>
          </cell>
          <cell r="W232">
            <v>122479</v>
          </cell>
          <cell r="X232">
            <v>0</v>
          </cell>
          <cell r="Y232">
            <v>0</v>
          </cell>
          <cell r="AC232">
            <v>0</v>
          </cell>
          <cell r="AG232">
            <v>0</v>
          </cell>
          <cell r="AJ232">
            <v>0</v>
          </cell>
          <cell r="AN232">
            <v>0</v>
          </cell>
        </row>
        <row r="233">
          <cell r="J233" t="str">
            <v>RS-499B1-14</v>
          </cell>
          <cell r="K233" t="e">
            <v>#DIV/0!</v>
          </cell>
          <cell r="N233" t="str">
            <v>RF-COK-68</v>
          </cell>
          <cell r="O233">
            <v>0</v>
          </cell>
          <cell r="P233">
            <v>0</v>
          </cell>
          <cell r="Q233">
            <v>46</v>
          </cell>
          <cell r="R233">
            <v>67900</v>
          </cell>
          <cell r="S233">
            <v>1476.0869565217392</v>
          </cell>
          <cell r="V233">
            <v>46</v>
          </cell>
          <cell r="W233">
            <v>67900</v>
          </cell>
          <cell r="X233">
            <v>0</v>
          </cell>
          <cell r="Y233">
            <v>0</v>
          </cell>
          <cell r="AC233">
            <v>0</v>
          </cell>
          <cell r="AG233">
            <v>0</v>
          </cell>
          <cell r="AJ233">
            <v>0</v>
          </cell>
          <cell r="AN233">
            <v>0</v>
          </cell>
        </row>
        <row r="234">
          <cell r="J234" t="str">
            <v>CON-LAN-8P</v>
          </cell>
          <cell r="K234" t="e">
            <v>#DIV/0!</v>
          </cell>
          <cell r="N234" t="str">
            <v>RF-PRA-14M</v>
          </cell>
          <cell r="O234">
            <v>0</v>
          </cell>
          <cell r="P234">
            <v>0</v>
          </cell>
          <cell r="Q234">
            <v>20</v>
          </cell>
          <cell r="R234">
            <v>134669</v>
          </cell>
          <cell r="S234">
            <v>6733.45</v>
          </cell>
          <cell r="V234">
            <v>20</v>
          </cell>
          <cell r="W234">
            <v>134669</v>
          </cell>
          <cell r="X234">
            <v>0</v>
          </cell>
          <cell r="Y234">
            <v>0</v>
          </cell>
          <cell r="AC234">
            <v>0</v>
          </cell>
          <cell r="AG234">
            <v>0</v>
          </cell>
          <cell r="AJ234">
            <v>0</v>
          </cell>
          <cell r="AN234">
            <v>0</v>
          </cell>
        </row>
        <row r="235">
          <cell r="J235" t="str">
            <v>CAP-E100-50</v>
          </cell>
          <cell r="K235" t="e">
            <v>#DIV/0!</v>
          </cell>
          <cell r="N235" t="str">
            <v>RS-1035-14</v>
          </cell>
          <cell r="O235">
            <v>0</v>
          </cell>
          <cell r="P235">
            <v>0</v>
          </cell>
          <cell r="Q235">
            <v>3992</v>
          </cell>
          <cell r="R235">
            <v>47495</v>
          </cell>
          <cell r="S235">
            <v>11.89754509018036</v>
          </cell>
          <cell r="V235">
            <v>3992</v>
          </cell>
          <cell r="W235">
            <v>47495</v>
          </cell>
          <cell r="X235">
            <v>0</v>
          </cell>
          <cell r="Y235">
            <v>0</v>
          </cell>
          <cell r="AC235">
            <v>0</v>
          </cell>
          <cell r="AG235">
            <v>0</v>
          </cell>
          <cell r="AJ235">
            <v>0</v>
          </cell>
          <cell r="AN235">
            <v>0</v>
          </cell>
        </row>
        <row r="236">
          <cell r="J236" t="str">
            <v>CAP-S102-100</v>
          </cell>
          <cell r="K236" t="e">
            <v>#DIV/0!</v>
          </cell>
          <cell r="N236" t="str">
            <v>RS-499B1-14</v>
          </cell>
          <cell r="O236">
            <v>0</v>
          </cell>
          <cell r="P236">
            <v>0</v>
          </cell>
          <cell r="Q236">
            <v>136</v>
          </cell>
          <cell r="R236">
            <v>4981</v>
          </cell>
          <cell r="S236">
            <v>36.625</v>
          </cell>
          <cell r="V236">
            <v>136</v>
          </cell>
          <cell r="W236">
            <v>4981</v>
          </cell>
          <cell r="X236">
            <v>0</v>
          </cell>
          <cell r="Y236">
            <v>0</v>
          </cell>
          <cell r="AC236">
            <v>0</v>
          </cell>
          <cell r="AG236">
            <v>0</v>
          </cell>
          <cell r="AJ236">
            <v>0</v>
          </cell>
          <cell r="AN236">
            <v>0</v>
          </cell>
        </row>
        <row r="237">
          <cell r="J237" t="str">
            <v>CAP-S104-100</v>
          </cell>
          <cell r="K237" t="e">
            <v>#DIV/0!</v>
          </cell>
          <cell r="N237" t="str">
            <v>CON-LAN-8P</v>
          </cell>
          <cell r="O237">
            <v>0</v>
          </cell>
          <cell r="P237">
            <v>0</v>
          </cell>
          <cell r="Q237">
            <v>104</v>
          </cell>
          <cell r="R237">
            <v>11062</v>
          </cell>
          <cell r="S237">
            <v>106.36538461538461</v>
          </cell>
          <cell r="V237">
            <v>104</v>
          </cell>
          <cell r="W237">
            <v>11062</v>
          </cell>
          <cell r="X237">
            <v>0</v>
          </cell>
          <cell r="Y237">
            <v>0</v>
          </cell>
          <cell r="AC237">
            <v>0</v>
          </cell>
          <cell r="AG237">
            <v>0</v>
          </cell>
          <cell r="AJ237">
            <v>0</v>
          </cell>
          <cell r="AN237">
            <v>0</v>
          </cell>
        </row>
        <row r="238">
          <cell r="J238" t="str">
            <v>CBL-FLA-26P-N</v>
          </cell>
          <cell r="K238" t="e">
            <v>#DIV/0!</v>
          </cell>
          <cell r="N238" t="str">
            <v>CAP-E100-50</v>
          </cell>
          <cell r="O238">
            <v>0</v>
          </cell>
          <cell r="P238">
            <v>0</v>
          </cell>
          <cell r="Q238">
            <v>21</v>
          </cell>
          <cell r="R238">
            <v>1470</v>
          </cell>
          <cell r="S238">
            <v>70</v>
          </cell>
          <cell r="V238">
            <v>21</v>
          </cell>
          <cell r="W238">
            <v>1470</v>
          </cell>
          <cell r="X238">
            <v>0</v>
          </cell>
          <cell r="Y238">
            <v>0</v>
          </cell>
          <cell r="AC238">
            <v>0</v>
          </cell>
          <cell r="AG238">
            <v>0</v>
          </cell>
          <cell r="AJ238">
            <v>0</v>
          </cell>
          <cell r="AN238">
            <v>0</v>
          </cell>
        </row>
        <row r="239">
          <cell r="J239" t="str">
            <v>CBL-FLA-3P-N</v>
          </cell>
          <cell r="K239" t="e">
            <v>#DIV/0!</v>
          </cell>
          <cell r="N239" t="str">
            <v>CAP-S102-100</v>
          </cell>
          <cell r="O239">
            <v>0</v>
          </cell>
          <cell r="P239">
            <v>0</v>
          </cell>
          <cell r="Q239">
            <v>82</v>
          </cell>
          <cell r="R239">
            <v>2050</v>
          </cell>
          <cell r="S239">
            <v>25</v>
          </cell>
          <cell r="V239">
            <v>82</v>
          </cell>
          <cell r="W239">
            <v>2050</v>
          </cell>
          <cell r="X239">
            <v>0</v>
          </cell>
          <cell r="Y239">
            <v>0</v>
          </cell>
          <cell r="AC239">
            <v>0</v>
          </cell>
          <cell r="AG239">
            <v>0</v>
          </cell>
          <cell r="AJ239">
            <v>0</v>
          </cell>
          <cell r="AN239">
            <v>0</v>
          </cell>
        </row>
        <row r="240">
          <cell r="J240" t="str">
            <v>CON-DSB-SLB-37F</v>
          </cell>
          <cell r="K240" t="e">
            <v>#DIV/0!</v>
          </cell>
          <cell r="N240" t="str">
            <v>CAP-S104-100</v>
          </cell>
          <cell r="O240">
            <v>0</v>
          </cell>
          <cell r="P240">
            <v>0</v>
          </cell>
          <cell r="Q240">
            <v>123</v>
          </cell>
          <cell r="R240">
            <v>3313</v>
          </cell>
          <cell r="S240">
            <v>26.934959349593495</v>
          </cell>
          <cell r="V240">
            <v>123</v>
          </cell>
          <cell r="W240">
            <v>3313</v>
          </cell>
          <cell r="X240">
            <v>0</v>
          </cell>
          <cell r="Y240">
            <v>0</v>
          </cell>
          <cell r="AC240">
            <v>0</v>
          </cell>
          <cell r="AG240">
            <v>0</v>
          </cell>
          <cell r="AJ240">
            <v>0</v>
          </cell>
          <cell r="AN240">
            <v>0</v>
          </cell>
        </row>
        <row r="241">
          <cell r="J241" t="str">
            <v>CON-DSF-WIR-25M</v>
          </cell>
          <cell r="K241" t="e">
            <v>#DIV/0!</v>
          </cell>
          <cell r="N241" t="str">
            <v>CBL-FLA-26P-N</v>
          </cell>
          <cell r="O241">
            <v>0</v>
          </cell>
          <cell r="P241">
            <v>0</v>
          </cell>
          <cell r="Q241">
            <v>91</v>
          </cell>
          <cell r="R241">
            <v>91000</v>
          </cell>
          <cell r="S241">
            <v>1000</v>
          </cell>
          <cell r="V241">
            <v>91</v>
          </cell>
          <cell r="W241">
            <v>91000</v>
          </cell>
          <cell r="X241">
            <v>0</v>
          </cell>
          <cell r="Y241">
            <v>0</v>
          </cell>
          <cell r="AC241">
            <v>0</v>
          </cell>
          <cell r="AG241">
            <v>0</v>
          </cell>
          <cell r="AJ241">
            <v>0</v>
          </cell>
          <cell r="AN241">
            <v>0</v>
          </cell>
        </row>
        <row r="242">
          <cell r="J242" t="str">
            <v>CON-FLA-SLB-26M</v>
          </cell>
          <cell r="K242" t="e">
            <v>#DIV/0!</v>
          </cell>
          <cell r="N242" t="str">
            <v>CBL-FLA-3P-N</v>
          </cell>
          <cell r="O242">
            <v>0</v>
          </cell>
          <cell r="P242">
            <v>0</v>
          </cell>
          <cell r="Q242">
            <v>91</v>
          </cell>
          <cell r="R242">
            <v>91000</v>
          </cell>
          <cell r="S242">
            <v>1000</v>
          </cell>
          <cell r="V242">
            <v>91</v>
          </cell>
          <cell r="W242">
            <v>91000</v>
          </cell>
          <cell r="X242">
            <v>0</v>
          </cell>
          <cell r="Y242">
            <v>0</v>
          </cell>
          <cell r="AC242">
            <v>0</v>
          </cell>
          <cell r="AG242">
            <v>0</v>
          </cell>
          <cell r="AJ242">
            <v>0</v>
          </cell>
          <cell r="AN242">
            <v>0</v>
          </cell>
        </row>
        <row r="243">
          <cell r="J243" t="str">
            <v>CON-FLA-WIR-26F</v>
          </cell>
          <cell r="K243" t="e">
            <v>#DIV/0!</v>
          </cell>
          <cell r="N243" t="str">
            <v>CON-DSB-SLB-37F</v>
          </cell>
          <cell r="O243">
            <v>0</v>
          </cell>
          <cell r="P243">
            <v>0</v>
          </cell>
          <cell r="Q243">
            <v>11</v>
          </cell>
          <cell r="R243">
            <v>19800</v>
          </cell>
          <cell r="S243">
            <v>1800</v>
          </cell>
          <cell r="V243">
            <v>11</v>
          </cell>
          <cell r="W243">
            <v>19800</v>
          </cell>
          <cell r="X243">
            <v>0</v>
          </cell>
          <cell r="Y243">
            <v>0</v>
          </cell>
          <cell r="AC243">
            <v>0</v>
          </cell>
          <cell r="AG243">
            <v>0</v>
          </cell>
          <cell r="AJ243">
            <v>0</v>
          </cell>
          <cell r="AN243">
            <v>0</v>
          </cell>
        </row>
        <row r="244">
          <cell r="J244" t="str">
            <v>CON-MXS-3PF</v>
          </cell>
          <cell r="K244" t="e">
            <v>#DIV/0!</v>
          </cell>
          <cell r="N244" t="str">
            <v>CON-DSF-WIR-25M</v>
          </cell>
          <cell r="O244">
            <v>0</v>
          </cell>
          <cell r="P244">
            <v>0</v>
          </cell>
          <cell r="Q244">
            <v>11</v>
          </cell>
          <cell r="R244">
            <v>20660</v>
          </cell>
          <cell r="S244">
            <v>1878.1818181818182</v>
          </cell>
          <cell r="V244">
            <v>11</v>
          </cell>
          <cell r="W244">
            <v>20660</v>
          </cell>
          <cell r="X244">
            <v>0</v>
          </cell>
          <cell r="Y244">
            <v>0</v>
          </cell>
          <cell r="AC244">
            <v>0</v>
          </cell>
          <cell r="AG244">
            <v>0</v>
          </cell>
          <cell r="AJ244">
            <v>0</v>
          </cell>
          <cell r="AN244">
            <v>0</v>
          </cell>
        </row>
        <row r="245">
          <cell r="J245" t="str">
            <v>CON-MXS-3PM</v>
          </cell>
          <cell r="K245" t="e">
            <v>#DIV/0!</v>
          </cell>
          <cell r="N245" t="str">
            <v>CON-FLA-SLB-26M</v>
          </cell>
          <cell r="O245">
            <v>0</v>
          </cell>
          <cell r="P245">
            <v>0</v>
          </cell>
          <cell r="Q245">
            <v>11</v>
          </cell>
          <cell r="R245">
            <v>16500</v>
          </cell>
          <cell r="S245">
            <v>1500</v>
          </cell>
          <cell r="V245">
            <v>11</v>
          </cell>
          <cell r="W245">
            <v>16500</v>
          </cell>
          <cell r="X245">
            <v>0</v>
          </cell>
          <cell r="Y245">
            <v>0</v>
          </cell>
          <cell r="AC245">
            <v>0</v>
          </cell>
          <cell r="AG245">
            <v>0</v>
          </cell>
          <cell r="AJ245">
            <v>0</v>
          </cell>
          <cell r="AN245">
            <v>0</v>
          </cell>
        </row>
        <row r="246">
          <cell r="J246" t="str">
            <v>IC-26LS31</v>
          </cell>
          <cell r="K246" t="e">
            <v>#DIV/0!</v>
          </cell>
          <cell r="N246" t="str">
            <v>CON-FLA-WIR-26F</v>
          </cell>
          <cell r="O246">
            <v>0</v>
          </cell>
          <cell r="P246">
            <v>0</v>
          </cell>
          <cell r="Q246">
            <v>11</v>
          </cell>
          <cell r="R246">
            <v>19800</v>
          </cell>
          <cell r="S246">
            <v>1800</v>
          </cell>
          <cell r="V246">
            <v>11</v>
          </cell>
          <cell r="W246">
            <v>19800</v>
          </cell>
          <cell r="X246">
            <v>0</v>
          </cell>
          <cell r="Y246">
            <v>0</v>
          </cell>
          <cell r="AC246">
            <v>0</v>
          </cell>
          <cell r="AG246">
            <v>0</v>
          </cell>
          <cell r="AJ246">
            <v>0</v>
          </cell>
          <cell r="AN246">
            <v>0</v>
          </cell>
        </row>
        <row r="247">
          <cell r="J247" t="str">
            <v>IC-26LS32</v>
          </cell>
          <cell r="K247" t="e">
            <v>#DIV/0!</v>
          </cell>
          <cell r="N247" t="str">
            <v>CON-MXS-3PF</v>
          </cell>
          <cell r="O247">
            <v>0</v>
          </cell>
          <cell r="P247">
            <v>0</v>
          </cell>
          <cell r="Q247">
            <v>22</v>
          </cell>
          <cell r="R247">
            <v>220</v>
          </cell>
          <cell r="S247">
            <v>10</v>
          </cell>
          <cell r="V247">
            <v>22</v>
          </cell>
          <cell r="W247">
            <v>220</v>
          </cell>
          <cell r="X247">
            <v>0</v>
          </cell>
          <cell r="Y247">
            <v>0</v>
          </cell>
          <cell r="AC247">
            <v>0</v>
          </cell>
          <cell r="AG247">
            <v>0</v>
          </cell>
          <cell r="AJ247">
            <v>0</v>
          </cell>
          <cell r="AN247">
            <v>0</v>
          </cell>
        </row>
        <row r="248">
          <cell r="J248" t="str">
            <v>IC-LS7404</v>
          </cell>
          <cell r="K248" t="e">
            <v>#DIV/0!</v>
          </cell>
          <cell r="N248" t="str">
            <v>CON-MXS-3PM</v>
          </cell>
          <cell r="O248">
            <v>0</v>
          </cell>
          <cell r="P248">
            <v>0</v>
          </cell>
          <cell r="Q248">
            <v>22</v>
          </cell>
          <cell r="R248">
            <v>2640</v>
          </cell>
          <cell r="S248">
            <v>120</v>
          </cell>
          <cell r="V248">
            <v>22</v>
          </cell>
          <cell r="W248">
            <v>2640</v>
          </cell>
          <cell r="X248">
            <v>0</v>
          </cell>
          <cell r="Y248">
            <v>0</v>
          </cell>
          <cell r="AC248">
            <v>0</v>
          </cell>
          <cell r="AG248">
            <v>0</v>
          </cell>
          <cell r="AJ248">
            <v>0</v>
          </cell>
          <cell r="AN248">
            <v>0</v>
          </cell>
        </row>
        <row r="249">
          <cell r="J249" t="str">
            <v>LED-2RB</v>
          </cell>
          <cell r="K249" t="e">
            <v>#DIV/0!</v>
          </cell>
          <cell r="N249" t="str">
            <v>IC-26LS31</v>
          </cell>
          <cell r="O249">
            <v>0</v>
          </cell>
          <cell r="P249">
            <v>0</v>
          </cell>
          <cell r="Q249">
            <v>33</v>
          </cell>
          <cell r="R249">
            <v>21031</v>
          </cell>
          <cell r="S249">
            <v>637.30303030303025</v>
          </cell>
          <cell r="V249">
            <v>33</v>
          </cell>
          <cell r="W249">
            <v>21031</v>
          </cell>
          <cell r="X249">
            <v>0</v>
          </cell>
          <cell r="Y249">
            <v>0</v>
          </cell>
          <cell r="AC249">
            <v>0</v>
          </cell>
          <cell r="AG249">
            <v>0</v>
          </cell>
          <cell r="AJ249">
            <v>0</v>
          </cell>
          <cell r="AN249">
            <v>0</v>
          </cell>
        </row>
        <row r="250">
          <cell r="J250" t="str">
            <v>MT4-M10</v>
          </cell>
          <cell r="K250" t="e">
            <v>#DIV/0!</v>
          </cell>
          <cell r="N250" t="str">
            <v>IC-26LS32</v>
          </cell>
          <cell r="O250">
            <v>0</v>
          </cell>
          <cell r="P250">
            <v>0</v>
          </cell>
          <cell r="Q250">
            <v>13</v>
          </cell>
          <cell r="R250">
            <v>7800</v>
          </cell>
          <cell r="S250">
            <v>600</v>
          </cell>
          <cell r="V250">
            <v>13</v>
          </cell>
          <cell r="W250">
            <v>7800</v>
          </cell>
          <cell r="X250">
            <v>0</v>
          </cell>
          <cell r="Y250">
            <v>0</v>
          </cell>
          <cell r="AC250">
            <v>0</v>
          </cell>
          <cell r="AG250">
            <v>0</v>
          </cell>
          <cell r="AJ250">
            <v>0</v>
          </cell>
          <cell r="AN250">
            <v>0</v>
          </cell>
        </row>
        <row r="251">
          <cell r="J251" t="str">
            <v>MT6-M10</v>
          </cell>
          <cell r="K251" t="e">
            <v>#DIV/0!</v>
          </cell>
          <cell r="N251" t="str">
            <v>IC-LS7404</v>
          </cell>
          <cell r="O251">
            <v>0</v>
          </cell>
          <cell r="P251">
            <v>0</v>
          </cell>
          <cell r="Q251">
            <v>28</v>
          </cell>
          <cell r="R251">
            <v>7681</v>
          </cell>
          <cell r="S251">
            <v>274.32142857142856</v>
          </cell>
          <cell r="V251">
            <v>28</v>
          </cell>
          <cell r="W251">
            <v>7681</v>
          </cell>
          <cell r="X251">
            <v>0</v>
          </cell>
          <cell r="Y251">
            <v>0</v>
          </cell>
          <cell r="AC251">
            <v>0</v>
          </cell>
          <cell r="AG251">
            <v>0</v>
          </cell>
          <cell r="AJ251">
            <v>0</v>
          </cell>
          <cell r="AN251">
            <v>0</v>
          </cell>
        </row>
        <row r="252">
          <cell r="J252" t="str">
            <v>RA-4725-10</v>
          </cell>
          <cell r="K252" t="e">
            <v>#DIV/0!</v>
          </cell>
          <cell r="N252" t="str">
            <v>LED-2RB</v>
          </cell>
          <cell r="O252">
            <v>0</v>
          </cell>
          <cell r="P252">
            <v>0</v>
          </cell>
          <cell r="Q252">
            <v>11</v>
          </cell>
          <cell r="R252">
            <v>1650</v>
          </cell>
          <cell r="S252">
            <v>150</v>
          </cell>
          <cell r="V252">
            <v>11</v>
          </cell>
          <cell r="W252">
            <v>1650</v>
          </cell>
          <cell r="X252">
            <v>0</v>
          </cell>
          <cell r="Y252">
            <v>0</v>
          </cell>
          <cell r="AC252">
            <v>0</v>
          </cell>
          <cell r="AG252">
            <v>0</v>
          </cell>
          <cell r="AJ252">
            <v>0</v>
          </cell>
          <cell r="AN252">
            <v>0</v>
          </cell>
        </row>
        <row r="253">
          <cell r="J253" t="str">
            <v>RG-1011-14</v>
          </cell>
          <cell r="K253" t="e">
            <v>#DIV/0!</v>
          </cell>
          <cell r="N253" t="str">
            <v>MT4-M10</v>
          </cell>
          <cell r="O253">
            <v>0</v>
          </cell>
          <cell r="P253">
            <v>0</v>
          </cell>
          <cell r="Q253">
            <v>5</v>
          </cell>
          <cell r="R253">
            <v>30456</v>
          </cell>
          <cell r="S253">
            <v>6091.2</v>
          </cell>
          <cell r="V253">
            <v>5</v>
          </cell>
          <cell r="W253">
            <v>30456</v>
          </cell>
          <cell r="X253">
            <v>0</v>
          </cell>
          <cell r="Y253">
            <v>0</v>
          </cell>
          <cell r="AC253">
            <v>0</v>
          </cell>
          <cell r="AG253">
            <v>0</v>
          </cell>
          <cell r="AJ253">
            <v>0</v>
          </cell>
          <cell r="AN253">
            <v>0</v>
          </cell>
        </row>
        <row r="254">
          <cell r="J254" t="str">
            <v>RG-3311-14</v>
          </cell>
          <cell r="K254" t="e">
            <v>#DIV/0!</v>
          </cell>
          <cell r="N254" t="str">
            <v>MT6-M10</v>
          </cell>
          <cell r="O254">
            <v>0</v>
          </cell>
          <cell r="P254">
            <v>0</v>
          </cell>
          <cell r="Q254">
            <v>6</v>
          </cell>
          <cell r="R254">
            <v>45622</v>
          </cell>
          <cell r="S254">
            <v>7603.666666666667</v>
          </cell>
          <cell r="V254">
            <v>6</v>
          </cell>
          <cell r="W254">
            <v>45622</v>
          </cell>
          <cell r="X254">
            <v>0</v>
          </cell>
          <cell r="Y254">
            <v>0</v>
          </cell>
          <cell r="AC254">
            <v>0</v>
          </cell>
          <cell r="AG254">
            <v>0</v>
          </cell>
          <cell r="AJ254">
            <v>0</v>
          </cell>
          <cell r="AN254">
            <v>0</v>
          </cell>
        </row>
        <row r="255">
          <cell r="J255" t="str">
            <v>SOK-14</v>
          </cell>
          <cell r="K255" t="e">
            <v>#DIV/0!</v>
          </cell>
          <cell r="N255" t="str">
            <v>RA-4725-10</v>
          </cell>
          <cell r="O255">
            <v>0</v>
          </cell>
          <cell r="P255">
            <v>0</v>
          </cell>
          <cell r="Q255">
            <v>22</v>
          </cell>
          <cell r="R255">
            <v>2297</v>
          </cell>
          <cell r="S255">
            <v>104.40909090909091</v>
          </cell>
          <cell r="V255">
            <v>22</v>
          </cell>
          <cell r="W255">
            <v>2297</v>
          </cell>
          <cell r="X255">
            <v>0</v>
          </cell>
          <cell r="Y255">
            <v>0</v>
          </cell>
          <cell r="AC255">
            <v>0</v>
          </cell>
          <cell r="AG255">
            <v>0</v>
          </cell>
          <cell r="AJ255">
            <v>0</v>
          </cell>
          <cell r="AN255">
            <v>0</v>
          </cell>
        </row>
        <row r="256">
          <cell r="J256" t="str">
            <v>SOK-16</v>
          </cell>
          <cell r="K256" t="e">
            <v>#DIV/0!</v>
          </cell>
          <cell r="N256" t="str">
            <v>RG-1011-14</v>
          </cell>
          <cell r="O256">
            <v>0</v>
          </cell>
          <cell r="P256">
            <v>0</v>
          </cell>
          <cell r="Q256">
            <v>77</v>
          </cell>
          <cell r="R256">
            <v>308</v>
          </cell>
          <cell r="S256">
            <v>4</v>
          </cell>
          <cell r="V256">
            <v>77</v>
          </cell>
          <cell r="W256">
            <v>308</v>
          </cell>
          <cell r="X256">
            <v>0</v>
          </cell>
          <cell r="Y256">
            <v>0</v>
          </cell>
          <cell r="AC256">
            <v>0</v>
          </cell>
          <cell r="AG256">
            <v>0</v>
          </cell>
          <cell r="AJ256">
            <v>0</v>
          </cell>
          <cell r="AN256">
            <v>0</v>
          </cell>
        </row>
        <row r="257">
          <cell r="J257" t="str">
            <v>GAS-37P</v>
          </cell>
          <cell r="K257" t="e">
            <v>#DIV/0!</v>
          </cell>
          <cell r="N257" t="str">
            <v>RG-3311-14</v>
          </cell>
          <cell r="O257">
            <v>0</v>
          </cell>
          <cell r="P257">
            <v>0</v>
          </cell>
          <cell r="Q257">
            <v>48</v>
          </cell>
          <cell r="R257">
            <v>211</v>
          </cell>
          <cell r="S257">
            <v>4.395833333333333</v>
          </cell>
          <cell r="V257">
            <v>48</v>
          </cell>
          <cell r="W257">
            <v>211</v>
          </cell>
          <cell r="X257">
            <v>0</v>
          </cell>
          <cell r="Y257">
            <v>0</v>
          </cell>
          <cell r="AC257">
            <v>0</v>
          </cell>
          <cell r="AG257">
            <v>0</v>
          </cell>
          <cell r="AJ257">
            <v>0</v>
          </cell>
          <cell r="AN257">
            <v>0</v>
          </cell>
        </row>
        <row r="258">
          <cell r="J258" t="str">
            <v>INS-HDM-M10</v>
          </cell>
          <cell r="K258" t="e">
            <v>#DIV/0!</v>
          </cell>
          <cell r="N258" t="str">
            <v>SOK-14</v>
          </cell>
          <cell r="O258">
            <v>0</v>
          </cell>
          <cell r="P258">
            <v>0</v>
          </cell>
          <cell r="Q258">
            <v>129</v>
          </cell>
          <cell r="R258">
            <v>6671</v>
          </cell>
          <cell r="S258">
            <v>51.713178294573645</v>
          </cell>
          <cell r="V258">
            <v>129</v>
          </cell>
          <cell r="W258">
            <v>6671</v>
          </cell>
          <cell r="X258">
            <v>0</v>
          </cell>
          <cell r="Y258">
            <v>0</v>
          </cell>
          <cell r="AC258">
            <v>0</v>
          </cell>
          <cell r="AG258">
            <v>0</v>
          </cell>
          <cell r="AJ258">
            <v>0</v>
          </cell>
          <cell r="AN258">
            <v>0</v>
          </cell>
        </row>
        <row r="259">
          <cell r="J259" t="str">
            <v>CL 3216 33P</v>
          </cell>
          <cell r="K259" t="e">
            <v>#DIV/0!</v>
          </cell>
          <cell r="N259" t="str">
            <v>SOK-16</v>
          </cell>
          <cell r="O259">
            <v>0</v>
          </cell>
          <cell r="P259">
            <v>0</v>
          </cell>
          <cell r="Q259">
            <v>33</v>
          </cell>
          <cell r="R259">
            <v>1730</v>
          </cell>
          <cell r="S259">
            <v>52.424242424242422</v>
          </cell>
          <cell r="V259">
            <v>33</v>
          </cell>
          <cell r="W259">
            <v>1730</v>
          </cell>
          <cell r="X259">
            <v>0</v>
          </cell>
          <cell r="Y259">
            <v>0</v>
          </cell>
          <cell r="AC259">
            <v>0</v>
          </cell>
          <cell r="AG259">
            <v>0</v>
          </cell>
          <cell r="AJ259">
            <v>0</v>
          </cell>
          <cell r="AN259">
            <v>0</v>
          </cell>
        </row>
        <row r="260">
          <cell r="J260" t="str">
            <v>RC 3216F 14K</v>
          </cell>
          <cell r="K260" t="e">
            <v>#DIV/0!</v>
          </cell>
          <cell r="N260" t="str">
            <v>GAS-37P</v>
          </cell>
          <cell r="O260">
            <v>0</v>
          </cell>
          <cell r="P260">
            <v>0</v>
          </cell>
          <cell r="Q260">
            <v>49</v>
          </cell>
          <cell r="R260">
            <v>174826</v>
          </cell>
          <cell r="S260">
            <v>3567.8775510204082</v>
          </cell>
          <cell r="V260">
            <v>49</v>
          </cell>
          <cell r="W260">
            <v>174826</v>
          </cell>
          <cell r="X260">
            <v>0</v>
          </cell>
          <cell r="Y260">
            <v>0</v>
          </cell>
          <cell r="AC260">
            <v>0</v>
          </cell>
          <cell r="AG260">
            <v>0</v>
          </cell>
          <cell r="AJ260">
            <v>0</v>
          </cell>
          <cell r="AN260">
            <v>0</v>
          </cell>
        </row>
        <row r="261">
          <cell r="J261" t="str">
            <v>RC 3216F 392K</v>
          </cell>
          <cell r="K261" t="e">
            <v>#DIV/0!</v>
          </cell>
          <cell r="N261" t="str">
            <v>INS-HDM-M10</v>
          </cell>
          <cell r="O261">
            <v>0</v>
          </cell>
          <cell r="P261">
            <v>0</v>
          </cell>
          <cell r="Q261">
            <v>12</v>
          </cell>
          <cell r="R261">
            <v>28800</v>
          </cell>
          <cell r="S261">
            <v>2400</v>
          </cell>
          <cell r="V261">
            <v>12</v>
          </cell>
          <cell r="W261">
            <v>28800</v>
          </cell>
          <cell r="X261">
            <v>0</v>
          </cell>
          <cell r="Y261">
            <v>0</v>
          </cell>
          <cell r="AC261">
            <v>0</v>
          </cell>
          <cell r="AG261">
            <v>0</v>
          </cell>
          <cell r="AJ261">
            <v>0</v>
          </cell>
          <cell r="AN261">
            <v>0</v>
          </cell>
        </row>
        <row r="262">
          <cell r="J262" t="str">
            <v>RC 3216J 130</v>
          </cell>
          <cell r="K262" t="e">
            <v>#DIV/0!</v>
          </cell>
          <cell r="N262" t="str">
            <v>CL 3216 33P</v>
          </cell>
          <cell r="O262">
            <v>0</v>
          </cell>
          <cell r="P262">
            <v>0</v>
          </cell>
          <cell r="Q262">
            <v>1</v>
          </cell>
          <cell r="R262">
            <v>64000</v>
          </cell>
          <cell r="S262">
            <v>64000</v>
          </cell>
          <cell r="V262">
            <v>1</v>
          </cell>
          <cell r="W262">
            <v>64000</v>
          </cell>
          <cell r="X262">
            <v>0</v>
          </cell>
          <cell r="Y262">
            <v>0</v>
          </cell>
          <cell r="AC262">
            <v>0</v>
          </cell>
          <cell r="AG262">
            <v>0</v>
          </cell>
          <cell r="AJ262">
            <v>0</v>
          </cell>
          <cell r="AN262">
            <v>0</v>
          </cell>
        </row>
        <row r="263">
          <cell r="J263" t="str">
            <v>RC 3216J 24</v>
          </cell>
          <cell r="K263" t="e">
            <v>#DIV/0!</v>
          </cell>
          <cell r="N263" t="str">
            <v>RC 3216F 14K</v>
          </cell>
          <cell r="O263">
            <v>0</v>
          </cell>
          <cell r="P263">
            <v>0</v>
          </cell>
          <cell r="Q263">
            <v>1</v>
          </cell>
          <cell r="R263">
            <v>42500</v>
          </cell>
          <cell r="S263">
            <v>42500</v>
          </cell>
          <cell r="V263">
            <v>1</v>
          </cell>
          <cell r="W263">
            <v>42500</v>
          </cell>
          <cell r="X263">
            <v>0</v>
          </cell>
          <cell r="Y263">
            <v>0</v>
          </cell>
          <cell r="AC263">
            <v>0</v>
          </cell>
          <cell r="AG263">
            <v>0</v>
          </cell>
          <cell r="AJ263">
            <v>0</v>
          </cell>
          <cell r="AN263">
            <v>0</v>
          </cell>
        </row>
        <row r="264">
          <cell r="J264" t="str">
            <v>RC 3216J 3.6K</v>
          </cell>
          <cell r="K264" t="e">
            <v>#DIV/0!</v>
          </cell>
          <cell r="N264" t="str">
            <v>RC 3216F 392K</v>
          </cell>
          <cell r="O264">
            <v>0</v>
          </cell>
          <cell r="P264">
            <v>0</v>
          </cell>
          <cell r="Q264">
            <v>1</v>
          </cell>
          <cell r="R264">
            <v>42500</v>
          </cell>
          <cell r="S264">
            <v>42500</v>
          </cell>
          <cell r="V264">
            <v>1</v>
          </cell>
          <cell r="W264">
            <v>42500</v>
          </cell>
          <cell r="X264">
            <v>0</v>
          </cell>
          <cell r="Y264">
            <v>0</v>
          </cell>
          <cell r="AC264">
            <v>0</v>
          </cell>
          <cell r="AG264">
            <v>0</v>
          </cell>
          <cell r="AJ264">
            <v>0</v>
          </cell>
          <cell r="AN264">
            <v>0</v>
          </cell>
        </row>
        <row r="265">
          <cell r="J265" t="str">
            <v>RC 3216J 47</v>
          </cell>
          <cell r="K265" t="e">
            <v>#DIV/0!</v>
          </cell>
          <cell r="N265" t="str">
            <v>RC 3216J 130</v>
          </cell>
          <cell r="O265">
            <v>0</v>
          </cell>
          <cell r="P265">
            <v>0</v>
          </cell>
          <cell r="Q265">
            <v>1</v>
          </cell>
          <cell r="R265">
            <v>21000</v>
          </cell>
          <cell r="S265">
            <v>21000</v>
          </cell>
          <cell r="V265">
            <v>1</v>
          </cell>
          <cell r="W265">
            <v>21000</v>
          </cell>
          <cell r="X265">
            <v>0</v>
          </cell>
          <cell r="Y265">
            <v>0</v>
          </cell>
          <cell r="AC265">
            <v>0</v>
          </cell>
          <cell r="AG265">
            <v>0</v>
          </cell>
          <cell r="AJ265">
            <v>0</v>
          </cell>
          <cell r="AN265">
            <v>0</v>
          </cell>
        </row>
        <row r="266">
          <cell r="J266" t="str">
            <v>RC 3216J 620</v>
          </cell>
          <cell r="K266" t="e">
            <v>#DIV/0!</v>
          </cell>
          <cell r="N266" t="str">
            <v>RC 3216J 24</v>
          </cell>
          <cell r="O266">
            <v>0</v>
          </cell>
          <cell r="P266">
            <v>0</v>
          </cell>
          <cell r="Q266">
            <v>1</v>
          </cell>
          <cell r="R266">
            <v>21000</v>
          </cell>
          <cell r="S266">
            <v>21000</v>
          </cell>
          <cell r="V266">
            <v>1</v>
          </cell>
          <cell r="W266">
            <v>21000</v>
          </cell>
          <cell r="X266">
            <v>0</v>
          </cell>
          <cell r="Y266">
            <v>0</v>
          </cell>
          <cell r="AC266">
            <v>0</v>
          </cell>
          <cell r="AG266">
            <v>0</v>
          </cell>
          <cell r="AJ266">
            <v>0</v>
          </cell>
          <cell r="AN266">
            <v>0</v>
          </cell>
        </row>
        <row r="267">
          <cell r="J267" t="str">
            <v>RESISTOR ERJ-8ENF1021(5K)</v>
          </cell>
          <cell r="K267" t="e">
            <v>#DIV/0!</v>
          </cell>
          <cell r="N267" t="str">
            <v>RC 3216J 3.6K</v>
          </cell>
          <cell r="O267">
            <v>0</v>
          </cell>
          <cell r="P267">
            <v>0</v>
          </cell>
          <cell r="Q267">
            <v>1</v>
          </cell>
          <cell r="R267">
            <v>21000</v>
          </cell>
          <cell r="S267">
            <v>21000</v>
          </cell>
          <cell r="V267">
            <v>1</v>
          </cell>
          <cell r="W267">
            <v>21000</v>
          </cell>
          <cell r="X267">
            <v>0</v>
          </cell>
          <cell r="Y267">
            <v>0</v>
          </cell>
          <cell r="AC267">
            <v>0</v>
          </cell>
          <cell r="AG267">
            <v>0</v>
          </cell>
          <cell r="AJ267">
            <v>0</v>
          </cell>
          <cell r="AN267">
            <v>0</v>
          </cell>
        </row>
        <row r="268">
          <cell r="J268" t="str">
            <v>RESISTOR ERJ-8ENF1272(5K)</v>
          </cell>
          <cell r="K268" t="e">
            <v>#DIV/0!</v>
          </cell>
          <cell r="N268" t="str">
            <v>RC 3216J 47</v>
          </cell>
          <cell r="O268">
            <v>0</v>
          </cell>
          <cell r="P268">
            <v>0</v>
          </cell>
          <cell r="Q268">
            <v>1</v>
          </cell>
          <cell r="R268">
            <v>21000</v>
          </cell>
          <cell r="S268">
            <v>21000</v>
          </cell>
          <cell r="V268">
            <v>1</v>
          </cell>
          <cell r="W268">
            <v>21000</v>
          </cell>
          <cell r="X268">
            <v>0</v>
          </cell>
          <cell r="Y268">
            <v>0</v>
          </cell>
          <cell r="AC268">
            <v>0</v>
          </cell>
          <cell r="AG268">
            <v>0</v>
          </cell>
          <cell r="AJ268">
            <v>0</v>
          </cell>
          <cell r="AN268">
            <v>0</v>
          </cell>
        </row>
        <row r="269">
          <cell r="J269" t="str">
            <v>RESISTOR ERJ-8ENF1822(5K)</v>
          </cell>
          <cell r="K269" t="e">
            <v>#DIV/0!</v>
          </cell>
          <cell r="N269" t="str">
            <v>RC 3216J 620</v>
          </cell>
          <cell r="O269">
            <v>0</v>
          </cell>
          <cell r="P269">
            <v>0</v>
          </cell>
          <cell r="Q269">
            <v>1</v>
          </cell>
          <cell r="R269">
            <v>21000</v>
          </cell>
          <cell r="S269">
            <v>21000</v>
          </cell>
          <cell r="V269">
            <v>1</v>
          </cell>
          <cell r="W269">
            <v>21000</v>
          </cell>
          <cell r="X269">
            <v>0</v>
          </cell>
          <cell r="Y269">
            <v>0</v>
          </cell>
          <cell r="AC269">
            <v>0</v>
          </cell>
          <cell r="AG269">
            <v>0</v>
          </cell>
          <cell r="AJ269">
            <v>0</v>
          </cell>
          <cell r="AN269">
            <v>0</v>
          </cell>
        </row>
        <row r="270">
          <cell r="J270" t="str">
            <v>RESISTOR ERJ-8ENF1873(5K)</v>
          </cell>
          <cell r="K270" t="e">
            <v>#DIV/0!</v>
          </cell>
          <cell r="N270" t="str">
            <v>RESISTOR ERJ-8ENF1021(5K)</v>
          </cell>
          <cell r="O270">
            <v>0</v>
          </cell>
          <cell r="P270">
            <v>0</v>
          </cell>
          <cell r="Q270">
            <v>1</v>
          </cell>
          <cell r="R270">
            <v>125880</v>
          </cell>
          <cell r="S270">
            <v>125880</v>
          </cell>
          <cell r="V270">
            <v>1</v>
          </cell>
          <cell r="W270">
            <v>125880</v>
          </cell>
          <cell r="X270">
            <v>0</v>
          </cell>
          <cell r="Y270">
            <v>0</v>
          </cell>
          <cell r="AC270">
            <v>0</v>
          </cell>
          <cell r="AG270">
            <v>0</v>
          </cell>
          <cell r="AJ270">
            <v>0</v>
          </cell>
          <cell r="AN270">
            <v>0</v>
          </cell>
        </row>
        <row r="271">
          <cell r="J271" t="str">
            <v>RESISTOR ERJ-8ENF2102(5K)</v>
          </cell>
          <cell r="K271" t="e">
            <v>#DIV/0!</v>
          </cell>
          <cell r="N271" t="str">
            <v>RESISTOR ERJ-8ENF1272(5K)</v>
          </cell>
          <cell r="O271">
            <v>0</v>
          </cell>
          <cell r="P271">
            <v>0</v>
          </cell>
          <cell r="Q271">
            <v>1</v>
          </cell>
          <cell r="R271">
            <v>125880</v>
          </cell>
          <cell r="S271">
            <v>125880</v>
          </cell>
          <cell r="V271">
            <v>1</v>
          </cell>
          <cell r="W271">
            <v>125880</v>
          </cell>
          <cell r="X271">
            <v>0</v>
          </cell>
          <cell r="Y271">
            <v>0</v>
          </cell>
          <cell r="AC271">
            <v>0</v>
          </cell>
          <cell r="AG271">
            <v>0</v>
          </cell>
          <cell r="AJ271">
            <v>0</v>
          </cell>
          <cell r="AN271">
            <v>0</v>
          </cell>
        </row>
        <row r="272">
          <cell r="J272" t="str">
            <v>RESISTOR ERJ-8ENF9311(5K)</v>
          </cell>
          <cell r="K272" t="e">
            <v>#DIV/0!</v>
          </cell>
          <cell r="N272" t="str">
            <v>RESISTOR ERJ-8ENF1822(5K)</v>
          </cell>
          <cell r="O272">
            <v>0</v>
          </cell>
          <cell r="P272">
            <v>0</v>
          </cell>
          <cell r="Q272">
            <v>1</v>
          </cell>
          <cell r="R272">
            <v>125880</v>
          </cell>
          <cell r="S272">
            <v>125880</v>
          </cell>
          <cell r="V272">
            <v>1</v>
          </cell>
          <cell r="W272">
            <v>125880</v>
          </cell>
          <cell r="X272">
            <v>0</v>
          </cell>
          <cell r="Y272">
            <v>0</v>
          </cell>
          <cell r="AC272">
            <v>0</v>
          </cell>
          <cell r="AG272">
            <v>0</v>
          </cell>
          <cell r="AJ272">
            <v>0</v>
          </cell>
          <cell r="AN272">
            <v>0</v>
          </cell>
        </row>
        <row r="273">
          <cell r="J273" t="str">
            <v>RESISTOR MFR-25FBF121R(1K)</v>
          </cell>
          <cell r="K273" t="e">
            <v>#DIV/0!</v>
          </cell>
          <cell r="N273" t="str">
            <v>RESISTOR ERJ-8ENF1873(5K)</v>
          </cell>
          <cell r="O273">
            <v>0</v>
          </cell>
          <cell r="P273">
            <v>0</v>
          </cell>
          <cell r="Q273">
            <v>1</v>
          </cell>
          <cell r="R273">
            <v>125875</v>
          </cell>
          <cell r="S273">
            <v>125875</v>
          </cell>
          <cell r="V273">
            <v>1</v>
          </cell>
          <cell r="W273">
            <v>125875</v>
          </cell>
          <cell r="X273">
            <v>0</v>
          </cell>
          <cell r="Y273">
            <v>0</v>
          </cell>
          <cell r="AC273">
            <v>0</v>
          </cell>
          <cell r="AG273">
            <v>0</v>
          </cell>
          <cell r="AJ273">
            <v>0</v>
          </cell>
          <cell r="AN273">
            <v>0</v>
          </cell>
        </row>
        <row r="274">
          <cell r="J274" t="str">
            <v>RESISTOR MFR-25FBF221R(1K)</v>
          </cell>
          <cell r="K274" t="e">
            <v>#DIV/0!</v>
          </cell>
          <cell r="N274" t="str">
            <v>RESISTOR ERJ-8ENF2102(5K)</v>
          </cell>
          <cell r="O274">
            <v>0</v>
          </cell>
          <cell r="P274">
            <v>0</v>
          </cell>
          <cell r="Q274">
            <v>1</v>
          </cell>
          <cell r="R274">
            <v>125880</v>
          </cell>
          <cell r="S274">
            <v>125880</v>
          </cell>
          <cell r="V274">
            <v>1</v>
          </cell>
          <cell r="W274">
            <v>125880</v>
          </cell>
          <cell r="X274">
            <v>0</v>
          </cell>
          <cell r="Y274">
            <v>0</v>
          </cell>
          <cell r="AC274">
            <v>0</v>
          </cell>
          <cell r="AG274">
            <v>0</v>
          </cell>
          <cell r="AJ274">
            <v>0</v>
          </cell>
          <cell r="AN274">
            <v>0</v>
          </cell>
        </row>
        <row r="275">
          <cell r="J275" t="str">
            <v>볼트/너트 구매</v>
          </cell>
          <cell r="K275" t="e">
            <v>#DIV/0!</v>
          </cell>
          <cell r="N275" t="str">
            <v>RESISTOR ERJ-8ENF9311(5K)</v>
          </cell>
          <cell r="O275">
            <v>0</v>
          </cell>
          <cell r="P275">
            <v>0</v>
          </cell>
          <cell r="Q275">
            <v>1</v>
          </cell>
          <cell r="R275">
            <v>125880</v>
          </cell>
          <cell r="S275">
            <v>125880</v>
          </cell>
          <cell r="V275">
            <v>1</v>
          </cell>
          <cell r="W275">
            <v>125880</v>
          </cell>
          <cell r="X275">
            <v>0</v>
          </cell>
          <cell r="Y275">
            <v>0</v>
          </cell>
          <cell r="AC275">
            <v>0</v>
          </cell>
          <cell r="AG275">
            <v>0</v>
          </cell>
          <cell r="AJ275">
            <v>0</v>
          </cell>
          <cell r="AN275">
            <v>0</v>
          </cell>
        </row>
        <row r="276">
          <cell r="J276" t="str">
            <v>소모품</v>
          </cell>
          <cell r="K276" t="e">
            <v>#DIV/0!</v>
          </cell>
          <cell r="N276" t="str">
            <v>RESISTOR MFR-25FBF121R(1K)</v>
          </cell>
          <cell r="O276">
            <v>0</v>
          </cell>
          <cell r="P276">
            <v>0</v>
          </cell>
          <cell r="Q276">
            <v>1</v>
          </cell>
          <cell r="R276">
            <v>149737</v>
          </cell>
          <cell r="S276">
            <v>149737</v>
          </cell>
          <cell r="V276">
            <v>1</v>
          </cell>
          <cell r="W276">
            <v>149737</v>
          </cell>
          <cell r="X276">
            <v>0</v>
          </cell>
          <cell r="Y276">
            <v>0</v>
          </cell>
          <cell r="AC276">
            <v>0</v>
          </cell>
          <cell r="AG276">
            <v>0</v>
          </cell>
          <cell r="AJ276">
            <v>0</v>
          </cell>
          <cell r="AN276">
            <v>0</v>
          </cell>
        </row>
        <row r="277">
          <cell r="J277" t="str">
            <v>현대방사선과 Displacer 교체용 Heat-Gun 제작</v>
          </cell>
          <cell r="K277">
            <v>350000</v>
          </cell>
          <cell r="N277" t="str">
            <v>RESISTOR MFR-25FBF221R(1K)</v>
          </cell>
          <cell r="O277">
            <v>0</v>
          </cell>
          <cell r="P277">
            <v>0</v>
          </cell>
          <cell r="Q277">
            <v>1</v>
          </cell>
          <cell r="R277">
            <v>149737</v>
          </cell>
          <cell r="S277">
            <v>149737</v>
          </cell>
          <cell r="V277">
            <v>1</v>
          </cell>
          <cell r="W277">
            <v>149737</v>
          </cell>
          <cell r="X277">
            <v>0</v>
          </cell>
          <cell r="Y277">
            <v>0</v>
          </cell>
          <cell r="AC277">
            <v>0</v>
          </cell>
          <cell r="AG277">
            <v>0</v>
          </cell>
          <cell r="AJ277">
            <v>0</v>
          </cell>
          <cell r="AN277">
            <v>0</v>
          </cell>
        </row>
        <row r="278">
          <cell r="J278" t="str">
            <v>Cable Assembly</v>
          </cell>
          <cell r="K278" t="e">
            <v>#DIV/0!</v>
          </cell>
          <cell r="N278" t="str">
            <v>볼트/너트 구매</v>
          </cell>
          <cell r="O278">
            <v>0</v>
          </cell>
          <cell r="P278">
            <v>0</v>
          </cell>
          <cell r="Q278">
            <v>1</v>
          </cell>
          <cell r="R278">
            <v>375570</v>
          </cell>
          <cell r="S278">
            <v>375570</v>
          </cell>
          <cell r="V278">
            <v>1</v>
          </cell>
          <cell r="W278">
            <v>375570</v>
          </cell>
          <cell r="X278">
            <v>0</v>
          </cell>
          <cell r="Y278">
            <v>0</v>
          </cell>
          <cell r="AC278">
            <v>0</v>
          </cell>
          <cell r="AG278">
            <v>0</v>
          </cell>
          <cell r="AJ278">
            <v>0</v>
          </cell>
          <cell r="AN278">
            <v>0</v>
          </cell>
        </row>
        <row r="279">
          <cell r="J279" t="str">
            <v>COPLEY..EMI POWER SUPPLY 부대비용 (M000213)</v>
          </cell>
          <cell r="K279">
            <v>90517</v>
          </cell>
          <cell r="N279" t="str">
            <v>소모품</v>
          </cell>
          <cell r="O279">
            <v>0</v>
          </cell>
          <cell r="P279">
            <v>0</v>
          </cell>
          <cell r="Q279">
            <v>1</v>
          </cell>
          <cell r="R279">
            <v>325000</v>
          </cell>
          <cell r="S279">
            <v>325000</v>
          </cell>
          <cell r="V279">
            <v>1</v>
          </cell>
          <cell r="W279">
            <v>325000</v>
          </cell>
          <cell r="X279">
            <v>0</v>
          </cell>
          <cell r="Y279">
            <v>0</v>
          </cell>
          <cell r="AC279">
            <v>0</v>
          </cell>
          <cell r="AG279">
            <v>0</v>
          </cell>
          <cell r="AJ279">
            <v>0</v>
          </cell>
          <cell r="AN279">
            <v>0</v>
          </cell>
        </row>
        <row r="280">
          <cell r="J280" t="str">
            <v>Gradient Control</v>
          </cell>
          <cell r="K280">
            <v>3000</v>
          </cell>
          <cell r="N280" t="str">
            <v>현대방사선과 Displacer 교체용 Heat-Gun 제작</v>
          </cell>
          <cell r="O280">
            <v>1</v>
          </cell>
          <cell r="P280">
            <v>350000</v>
          </cell>
          <cell r="Q280">
            <v>2</v>
          </cell>
          <cell r="R280">
            <v>600000</v>
          </cell>
          <cell r="S280">
            <v>300000</v>
          </cell>
          <cell r="V280">
            <v>2</v>
          </cell>
          <cell r="W280">
            <v>600000</v>
          </cell>
          <cell r="X280">
            <v>0</v>
          </cell>
          <cell r="Y280">
            <v>0</v>
          </cell>
          <cell r="AC280">
            <v>0</v>
          </cell>
          <cell r="AG280">
            <v>0</v>
          </cell>
          <cell r="AJ280">
            <v>0</v>
          </cell>
          <cell r="AN280">
            <v>0</v>
          </cell>
        </row>
        <row r="281">
          <cell r="J281" t="str">
            <v>Laser Holder</v>
          </cell>
          <cell r="K281" t="e">
            <v>#DIV/0!</v>
          </cell>
          <cell r="N281" t="str">
            <v>Cable Assembly</v>
          </cell>
          <cell r="O281">
            <v>0</v>
          </cell>
          <cell r="P281">
            <v>0</v>
          </cell>
          <cell r="Q281">
            <v>1</v>
          </cell>
          <cell r="R281">
            <v>84000</v>
          </cell>
          <cell r="S281">
            <v>84000</v>
          </cell>
          <cell r="V281">
            <v>1</v>
          </cell>
          <cell r="W281">
            <v>84000</v>
          </cell>
          <cell r="X281">
            <v>0</v>
          </cell>
          <cell r="Y281">
            <v>0</v>
          </cell>
          <cell r="AC281">
            <v>0</v>
          </cell>
          <cell r="AG281">
            <v>0</v>
          </cell>
          <cell r="AJ281">
            <v>0</v>
          </cell>
          <cell r="AN281">
            <v>0</v>
          </cell>
        </row>
        <row r="282">
          <cell r="J282" t="str">
            <v>LEADER TECH..(M000301) P/N 54-CBS-1.5X3.OX5;FOR SPECTROMETER</v>
          </cell>
          <cell r="K282" t="e">
            <v>#DIV/0!</v>
          </cell>
          <cell r="N282" t="str">
            <v>COPLEY..EMI POWER SUPPLY 부대비용 (M000213)</v>
          </cell>
          <cell r="O282">
            <v>1</v>
          </cell>
          <cell r="P282">
            <v>90517</v>
          </cell>
          <cell r="Q282">
            <v>1</v>
          </cell>
          <cell r="R282">
            <v>90517</v>
          </cell>
          <cell r="S282">
            <v>90517</v>
          </cell>
          <cell r="V282">
            <v>1</v>
          </cell>
          <cell r="W282">
            <v>90517</v>
          </cell>
          <cell r="X282">
            <v>0</v>
          </cell>
          <cell r="Y282">
            <v>0</v>
          </cell>
          <cell r="AC282">
            <v>0</v>
          </cell>
          <cell r="AG282">
            <v>0</v>
          </cell>
          <cell r="AJ282">
            <v>0</v>
          </cell>
          <cell r="AN282">
            <v>0</v>
          </cell>
        </row>
        <row r="283">
          <cell r="J283" t="str">
            <v>OSC 33.333MHZ</v>
          </cell>
          <cell r="K283">
            <v>1200</v>
          </cell>
          <cell r="N283" t="str">
            <v>Gradient Control</v>
          </cell>
          <cell r="O283">
            <v>10</v>
          </cell>
          <cell r="P283">
            <v>30000</v>
          </cell>
          <cell r="Q283">
            <v>10</v>
          </cell>
          <cell r="R283">
            <v>30000</v>
          </cell>
          <cell r="S283">
            <v>3000</v>
          </cell>
          <cell r="V283">
            <v>10</v>
          </cell>
          <cell r="W283">
            <v>30000</v>
          </cell>
          <cell r="X283">
            <v>0</v>
          </cell>
          <cell r="Y283">
            <v>0</v>
          </cell>
          <cell r="AC283">
            <v>0</v>
          </cell>
          <cell r="AG283">
            <v>0</v>
          </cell>
          <cell r="AJ283">
            <v>0</v>
          </cell>
          <cell r="AN283">
            <v>0</v>
          </cell>
        </row>
        <row r="284">
          <cell r="J284" t="str">
            <v>RF-Coil 생산 및 AS용 소모품</v>
          </cell>
          <cell r="K284" t="e">
            <v>#DIV/0!</v>
          </cell>
          <cell r="N284" t="str">
            <v>Laser Holder</v>
          </cell>
          <cell r="O284">
            <v>0</v>
          </cell>
          <cell r="P284">
            <v>0</v>
          </cell>
          <cell r="Q284">
            <v>150</v>
          </cell>
          <cell r="R284">
            <v>600000</v>
          </cell>
          <cell r="S284">
            <v>4000</v>
          </cell>
          <cell r="V284">
            <v>150</v>
          </cell>
          <cell r="W284">
            <v>600000</v>
          </cell>
          <cell r="X284">
            <v>0</v>
          </cell>
          <cell r="Y284">
            <v>0</v>
          </cell>
          <cell r="AC284">
            <v>0</v>
          </cell>
          <cell r="AG284">
            <v>0</v>
          </cell>
          <cell r="AJ284">
            <v>0</v>
          </cell>
          <cell r="AN284">
            <v>0</v>
          </cell>
        </row>
        <row r="285">
          <cell r="J285" t="str">
            <v>RG58CIU Cable</v>
          </cell>
          <cell r="K285" t="e">
            <v>#DIV/0!</v>
          </cell>
          <cell r="N285" t="str">
            <v>LEADER TECH..(M000301) P/N 54-CBS-1.5X3.OX5;FOR SPECTROMETER</v>
          </cell>
          <cell r="O285">
            <v>0</v>
          </cell>
          <cell r="P285">
            <v>0</v>
          </cell>
          <cell r="Q285">
            <v>40</v>
          </cell>
          <cell r="R285">
            <v>346339</v>
          </cell>
          <cell r="S285">
            <v>8658.4750000000004</v>
          </cell>
          <cell r="V285">
            <v>40</v>
          </cell>
          <cell r="W285">
            <v>346339</v>
          </cell>
          <cell r="X285">
            <v>0</v>
          </cell>
          <cell r="Y285">
            <v>0</v>
          </cell>
          <cell r="AC285">
            <v>0</v>
          </cell>
          <cell r="AG285">
            <v>0</v>
          </cell>
          <cell r="AJ285">
            <v>0</v>
          </cell>
          <cell r="AN285">
            <v>0</v>
          </cell>
        </row>
        <row r="286">
          <cell r="J286" t="str">
            <v>Spectrometer VXI 생산용 부품</v>
          </cell>
          <cell r="K286" t="e">
            <v>#DIV/0!</v>
          </cell>
          <cell r="N286" t="str">
            <v>OSC 33.333MHZ</v>
          </cell>
          <cell r="O286">
            <v>20</v>
          </cell>
          <cell r="P286">
            <v>24000</v>
          </cell>
          <cell r="Q286">
            <v>20</v>
          </cell>
          <cell r="R286">
            <v>24000</v>
          </cell>
          <cell r="S286">
            <v>1200</v>
          </cell>
          <cell r="V286">
            <v>20</v>
          </cell>
          <cell r="W286">
            <v>24000</v>
          </cell>
          <cell r="X286">
            <v>0</v>
          </cell>
          <cell r="Y286">
            <v>0</v>
          </cell>
          <cell r="AC286">
            <v>0</v>
          </cell>
          <cell r="AG286">
            <v>0</v>
          </cell>
          <cell r="AJ286">
            <v>0</v>
          </cell>
          <cell r="AN286">
            <v>0</v>
          </cell>
        </row>
        <row r="287">
          <cell r="J287" t="str">
            <v>SPECTROMETER생산용 부품 구매</v>
          </cell>
          <cell r="K287" t="e">
            <v>#DIV/0!</v>
          </cell>
          <cell r="N287" t="str">
            <v>RF-Coil 생산 및 AS용 소모품</v>
          </cell>
          <cell r="O287">
            <v>0</v>
          </cell>
          <cell r="P287">
            <v>0</v>
          </cell>
          <cell r="Q287">
            <v>1</v>
          </cell>
          <cell r="R287">
            <v>301000</v>
          </cell>
          <cell r="S287">
            <v>301000</v>
          </cell>
          <cell r="V287">
            <v>1</v>
          </cell>
          <cell r="W287">
            <v>301000</v>
          </cell>
          <cell r="X287">
            <v>0</v>
          </cell>
          <cell r="Y287">
            <v>0</v>
          </cell>
          <cell r="AC287">
            <v>0</v>
          </cell>
          <cell r="AG287">
            <v>0</v>
          </cell>
          <cell r="AJ287">
            <v>0</v>
          </cell>
          <cell r="AN287">
            <v>0</v>
          </cell>
        </row>
        <row r="288">
          <cell r="J288" t="str">
            <v>Sus 2개볼트 M2</v>
          </cell>
          <cell r="K288" t="e">
            <v>#DIV/0!</v>
          </cell>
          <cell r="N288" t="str">
            <v>RG58CIU Cable</v>
          </cell>
          <cell r="O288">
            <v>0</v>
          </cell>
          <cell r="P288">
            <v>0</v>
          </cell>
          <cell r="Q288">
            <v>400</v>
          </cell>
          <cell r="R288">
            <v>88000</v>
          </cell>
          <cell r="S288">
            <v>220</v>
          </cell>
          <cell r="V288">
            <v>400</v>
          </cell>
          <cell r="W288">
            <v>88000</v>
          </cell>
          <cell r="X288">
            <v>0</v>
          </cell>
          <cell r="Y288">
            <v>0</v>
          </cell>
          <cell r="AC288">
            <v>0</v>
          </cell>
          <cell r="AG288">
            <v>0</v>
          </cell>
          <cell r="AJ288">
            <v>0</v>
          </cell>
          <cell r="AN288">
            <v>0</v>
          </cell>
        </row>
        <row r="289">
          <cell r="J289" t="str">
            <v>UEC..MRI PART ($1,286) M000109</v>
          </cell>
          <cell r="K289" t="e">
            <v>#DIV/0!</v>
          </cell>
          <cell r="N289" t="str">
            <v>Spectrometer VXI 생산용 부품</v>
          </cell>
          <cell r="O289">
            <v>0</v>
          </cell>
          <cell r="P289">
            <v>0</v>
          </cell>
          <cell r="Q289">
            <v>1</v>
          </cell>
          <cell r="R289">
            <v>8894140</v>
          </cell>
          <cell r="S289">
            <v>8894140</v>
          </cell>
          <cell r="V289">
            <v>1</v>
          </cell>
          <cell r="W289">
            <v>8894140</v>
          </cell>
          <cell r="X289">
            <v>0</v>
          </cell>
          <cell r="Y289">
            <v>0</v>
          </cell>
          <cell r="AC289">
            <v>0</v>
          </cell>
          <cell r="AG289">
            <v>0</v>
          </cell>
          <cell r="AJ289">
            <v>0</v>
          </cell>
          <cell r="AN289">
            <v>0</v>
          </cell>
        </row>
        <row r="290">
          <cell r="J290" t="str">
            <v>UEC..MRI PART ($110.25) M000210  5693F5.5.5</v>
          </cell>
          <cell r="K290" t="e">
            <v>#DIV/0!</v>
          </cell>
          <cell r="N290" t="str">
            <v>SPECTROMETER생산용 부품 구매</v>
          </cell>
          <cell r="O290">
            <v>0</v>
          </cell>
          <cell r="P290">
            <v>0</v>
          </cell>
          <cell r="Q290">
            <v>1</v>
          </cell>
          <cell r="R290">
            <v>312900</v>
          </cell>
          <cell r="S290">
            <v>312900</v>
          </cell>
          <cell r="V290">
            <v>1</v>
          </cell>
          <cell r="W290">
            <v>312900</v>
          </cell>
          <cell r="X290">
            <v>0</v>
          </cell>
          <cell r="Y290">
            <v>0</v>
          </cell>
          <cell r="AC290">
            <v>0</v>
          </cell>
          <cell r="AG290">
            <v>0</v>
          </cell>
          <cell r="AJ290">
            <v>0</v>
          </cell>
          <cell r="AN290">
            <v>0</v>
          </cell>
        </row>
        <row r="291">
          <cell r="J291" t="str">
            <v>UEC..MRI PART ($225) 991278M</v>
          </cell>
          <cell r="K291" t="e">
            <v>#DIV/0!</v>
          </cell>
          <cell r="N291" t="str">
            <v>Sus 2개볼트 M2</v>
          </cell>
          <cell r="O291">
            <v>0</v>
          </cell>
          <cell r="P291">
            <v>0</v>
          </cell>
          <cell r="Q291">
            <v>1000</v>
          </cell>
          <cell r="R291">
            <v>29250</v>
          </cell>
          <cell r="S291">
            <v>29.25</v>
          </cell>
          <cell r="V291">
            <v>1000</v>
          </cell>
          <cell r="W291">
            <v>29250</v>
          </cell>
          <cell r="X291">
            <v>0</v>
          </cell>
          <cell r="Y291">
            <v>0</v>
          </cell>
          <cell r="AC291">
            <v>0</v>
          </cell>
          <cell r="AG291">
            <v>0</v>
          </cell>
          <cell r="AJ291">
            <v>0</v>
          </cell>
          <cell r="AN291">
            <v>0</v>
          </cell>
        </row>
        <row r="292">
          <cell r="J292" t="str">
            <v>UEC..MRI PART ($565.30) 991236M 1008CS-221XKBB</v>
          </cell>
          <cell r="K292" t="e">
            <v>#DIV/0!</v>
          </cell>
          <cell r="N292" t="str">
            <v>UEC..MRI PART ($1,286) M000109</v>
          </cell>
          <cell r="O292">
            <v>0</v>
          </cell>
          <cell r="P292">
            <v>0</v>
          </cell>
          <cell r="Q292">
            <v>1</v>
          </cell>
          <cell r="R292">
            <v>1585603</v>
          </cell>
          <cell r="S292">
            <v>1585603</v>
          </cell>
          <cell r="V292">
            <v>1</v>
          </cell>
          <cell r="W292">
            <v>1585603</v>
          </cell>
          <cell r="X292">
            <v>0</v>
          </cell>
          <cell r="Y292">
            <v>0</v>
          </cell>
          <cell r="AC292">
            <v>0</v>
          </cell>
          <cell r="AG292">
            <v>0</v>
          </cell>
          <cell r="AJ292">
            <v>0</v>
          </cell>
          <cell r="AN292">
            <v>0</v>
          </cell>
        </row>
        <row r="293">
          <cell r="J293" t="str">
            <v>UEC..MRI PART ($565.30) 991236M 1008CS-472XKBB</v>
          </cell>
          <cell r="K293" t="e">
            <v>#DIV/0!</v>
          </cell>
          <cell r="N293" t="str">
            <v>UEC..MRI PART ($110.25) M000210  5693F5.5.5</v>
          </cell>
          <cell r="O293">
            <v>0</v>
          </cell>
          <cell r="P293">
            <v>0</v>
          </cell>
          <cell r="Q293">
            <v>45</v>
          </cell>
          <cell r="R293">
            <v>244673</v>
          </cell>
          <cell r="S293">
            <v>5437.1777777777779</v>
          </cell>
          <cell r="V293">
            <v>45</v>
          </cell>
          <cell r="W293">
            <v>244673</v>
          </cell>
          <cell r="X293">
            <v>0</v>
          </cell>
          <cell r="Y293">
            <v>0</v>
          </cell>
          <cell r="AC293">
            <v>0</v>
          </cell>
          <cell r="AG293">
            <v>0</v>
          </cell>
          <cell r="AJ293">
            <v>0</v>
          </cell>
          <cell r="AN293">
            <v>0</v>
          </cell>
        </row>
        <row r="294">
          <cell r="J294" t="str">
            <v>UEC..MRI PART ($565.30) 991236M 1008CS-567XKBB</v>
          </cell>
          <cell r="K294" t="e">
            <v>#DIV/0!</v>
          </cell>
          <cell r="N294" t="str">
            <v>UEC..MRI PART ($225) 991278M</v>
          </cell>
          <cell r="O294">
            <v>0</v>
          </cell>
          <cell r="P294">
            <v>0</v>
          </cell>
          <cell r="Q294">
            <v>1</v>
          </cell>
          <cell r="R294">
            <v>382725</v>
          </cell>
          <cell r="S294">
            <v>382725</v>
          </cell>
          <cell r="V294">
            <v>1</v>
          </cell>
          <cell r="W294">
            <v>382725</v>
          </cell>
          <cell r="X294">
            <v>0</v>
          </cell>
          <cell r="Y294">
            <v>0</v>
          </cell>
          <cell r="AC294">
            <v>0</v>
          </cell>
          <cell r="AG294">
            <v>0</v>
          </cell>
          <cell r="AJ294">
            <v>0</v>
          </cell>
          <cell r="AN294">
            <v>0</v>
          </cell>
        </row>
        <row r="295">
          <cell r="J295" t="str">
            <v>UEC..MRI PART ($565.30) 991236M 555140-1</v>
          </cell>
          <cell r="K295" t="e">
            <v>#DIV/0!</v>
          </cell>
          <cell r="N295" t="str">
            <v>UEC..MRI PART ($565.30) 991236M 1008CS-221XKBB</v>
          </cell>
          <cell r="O295">
            <v>0</v>
          </cell>
          <cell r="P295">
            <v>0</v>
          </cell>
          <cell r="Q295">
            <v>100</v>
          </cell>
          <cell r="R295">
            <v>190465</v>
          </cell>
          <cell r="S295">
            <v>1904.65</v>
          </cell>
          <cell r="V295">
            <v>100</v>
          </cell>
          <cell r="W295">
            <v>190465</v>
          </cell>
          <cell r="X295">
            <v>0</v>
          </cell>
          <cell r="Y295">
            <v>0</v>
          </cell>
          <cell r="AC295">
            <v>0</v>
          </cell>
          <cell r="AG295">
            <v>0</v>
          </cell>
          <cell r="AJ295">
            <v>0</v>
          </cell>
          <cell r="AN295">
            <v>0</v>
          </cell>
        </row>
        <row r="296">
          <cell r="J296" t="str">
            <v>UEC..MRI PART ($565.30) 991236M 5693F5.5.5</v>
          </cell>
          <cell r="K296" t="e">
            <v>#DIV/0!</v>
          </cell>
          <cell r="N296" t="str">
            <v>UEC..MRI PART ($565.30) 991236M 1008CS-472XKBB</v>
          </cell>
          <cell r="O296">
            <v>0</v>
          </cell>
          <cell r="P296">
            <v>0</v>
          </cell>
          <cell r="Q296">
            <v>100</v>
          </cell>
          <cell r="R296">
            <v>190465</v>
          </cell>
          <cell r="S296">
            <v>1904.65</v>
          </cell>
          <cell r="V296">
            <v>100</v>
          </cell>
          <cell r="W296">
            <v>190465</v>
          </cell>
          <cell r="X296">
            <v>0</v>
          </cell>
          <cell r="Y296">
            <v>0</v>
          </cell>
          <cell r="AC296">
            <v>0</v>
          </cell>
          <cell r="AG296">
            <v>0</v>
          </cell>
          <cell r="AJ296">
            <v>0</v>
          </cell>
          <cell r="AN296">
            <v>0</v>
          </cell>
        </row>
        <row r="297">
          <cell r="J297" t="str">
            <v>UEC..MRI PART ($577.50) 991277M</v>
          </cell>
          <cell r="K297" t="e">
            <v>#DIV/0!</v>
          </cell>
          <cell r="N297" t="str">
            <v>UEC..MRI PART ($565.30) 991236M 1008CS-567XKBB</v>
          </cell>
          <cell r="O297">
            <v>0</v>
          </cell>
          <cell r="P297">
            <v>0</v>
          </cell>
          <cell r="Q297">
            <v>100</v>
          </cell>
          <cell r="R297">
            <v>190465</v>
          </cell>
          <cell r="S297">
            <v>1904.65</v>
          </cell>
          <cell r="V297">
            <v>100</v>
          </cell>
          <cell r="W297">
            <v>190465</v>
          </cell>
          <cell r="X297">
            <v>0</v>
          </cell>
          <cell r="Y297">
            <v>0</v>
          </cell>
          <cell r="AC297">
            <v>0</v>
          </cell>
          <cell r="AG297">
            <v>0</v>
          </cell>
          <cell r="AJ297">
            <v>0</v>
          </cell>
          <cell r="AN297">
            <v>0</v>
          </cell>
        </row>
        <row r="298">
          <cell r="J298" t="str">
            <v>UEC..MRI PART ($580) M000207  87879-7</v>
          </cell>
          <cell r="K298" t="e">
            <v>#DIV/0!</v>
          </cell>
          <cell r="N298" t="str">
            <v>UEC..MRI PART ($565.30) 991236M 555140-1</v>
          </cell>
          <cell r="O298">
            <v>0</v>
          </cell>
          <cell r="P298">
            <v>0</v>
          </cell>
          <cell r="Q298">
            <v>60</v>
          </cell>
          <cell r="R298">
            <v>44210</v>
          </cell>
          <cell r="S298">
            <v>736.83333333333337</v>
          </cell>
          <cell r="V298">
            <v>60</v>
          </cell>
          <cell r="W298">
            <v>44210</v>
          </cell>
          <cell r="X298">
            <v>0</v>
          </cell>
          <cell r="Y298">
            <v>0</v>
          </cell>
          <cell r="AC298">
            <v>0</v>
          </cell>
          <cell r="AG298">
            <v>0</v>
          </cell>
          <cell r="AJ298">
            <v>0</v>
          </cell>
          <cell r="AN298">
            <v>0</v>
          </cell>
        </row>
        <row r="299">
          <cell r="J299" t="str">
            <v>UEC..MRI PART ($6,620) M000111</v>
          </cell>
          <cell r="K299" t="e">
            <v>#DIV/0!</v>
          </cell>
          <cell r="N299" t="str">
            <v>UEC..MRI PART ($565.30) 991236M 5693F5.5.5</v>
          </cell>
          <cell r="O299">
            <v>0</v>
          </cell>
          <cell r="P299">
            <v>0</v>
          </cell>
          <cell r="Q299">
            <v>50</v>
          </cell>
          <cell r="R299">
            <v>170308</v>
          </cell>
          <cell r="S299">
            <v>3406.16</v>
          </cell>
          <cell r="V299">
            <v>50</v>
          </cell>
          <cell r="W299">
            <v>170308</v>
          </cell>
          <cell r="X299">
            <v>0</v>
          </cell>
          <cell r="Y299">
            <v>0</v>
          </cell>
          <cell r="AC299">
            <v>0</v>
          </cell>
          <cell r="AG299">
            <v>0</v>
          </cell>
          <cell r="AJ299">
            <v>0</v>
          </cell>
          <cell r="AN299">
            <v>0</v>
          </cell>
        </row>
        <row r="300">
          <cell r="J300" t="str">
            <v>UEC..MRI PART ($680.30) M000205</v>
          </cell>
          <cell r="K300" t="e">
            <v>#DIV/0!</v>
          </cell>
          <cell r="N300" t="str">
            <v>UEC..MRI PART ($577.50) 991277M</v>
          </cell>
          <cell r="O300">
            <v>0</v>
          </cell>
          <cell r="P300">
            <v>0</v>
          </cell>
          <cell r="Q300">
            <v>1</v>
          </cell>
          <cell r="R300">
            <v>759183</v>
          </cell>
          <cell r="S300">
            <v>759183</v>
          </cell>
          <cell r="V300">
            <v>1</v>
          </cell>
          <cell r="W300">
            <v>759183</v>
          </cell>
          <cell r="X300">
            <v>0</v>
          </cell>
          <cell r="Y300">
            <v>0</v>
          </cell>
          <cell r="AC300">
            <v>0</v>
          </cell>
          <cell r="AG300">
            <v>0</v>
          </cell>
          <cell r="AJ300">
            <v>0</v>
          </cell>
          <cell r="AN300">
            <v>0</v>
          </cell>
        </row>
        <row r="301">
          <cell r="J301" t="str">
            <v>UEC..MRI PART ($720) 991275M 기타</v>
          </cell>
          <cell r="K301" t="e">
            <v>#DIV/0!</v>
          </cell>
          <cell r="N301" t="str">
            <v>UEC..MRI PART ($580) M000207  87879-7</v>
          </cell>
          <cell r="O301">
            <v>0</v>
          </cell>
          <cell r="P301">
            <v>0</v>
          </cell>
          <cell r="Q301">
            <v>100</v>
          </cell>
          <cell r="R301">
            <v>817590</v>
          </cell>
          <cell r="S301">
            <v>8175.9</v>
          </cell>
          <cell r="V301">
            <v>100</v>
          </cell>
          <cell r="W301">
            <v>817590</v>
          </cell>
          <cell r="X301">
            <v>0</v>
          </cell>
          <cell r="Y301">
            <v>0</v>
          </cell>
          <cell r="AC301">
            <v>0</v>
          </cell>
          <cell r="AG301">
            <v>0</v>
          </cell>
          <cell r="AJ301">
            <v>0</v>
          </cell>
          <cell r="AN301">
            <v>0</v>
          </cell>
        </row>
        <row r="302">
          <cell r="J302" t="str">
            <v>UEC..MRI PART ($84) M000204</v>
          </cell>
          <cell r="K302" t="e">
            <v>#DIV/0!</v>
          </cell>
          <cell r="N302" t="str">
            <v>UEC..MRI PART ($6,620) M000111</v>
          </cell>
          <cell r="O302">
            <v>0</v>
          </cell>
          <cell r="P302">
            <v>0</v>
          </cell>
          <cell r="Q302">
            <v>1</v>
          </cell>
          <cell r="R302">
            <v>7597443</v>
          </cell>
          <cell r="S302">
            <v>7597443</v>
          </cell>
          <cell r="V302">
            <v>1</v>
          </cell>
          <cell r="W302">
            <v>7597443</v>
          </cell>
          <cell r="X302">
            <v>0</v>
          </cell>
          <cell r="Y302">
            <v>0</v>
          </cell>
          <cell r="AC302">
            <v>0</v>
          </cell>
          <cell r="AG302">
            <v>0</v>
          </cell>
          <cell r="AJ302">
            <v>0</v>
          </cell>
          <cell r="AN302">
            <v>0</v>
          </cell>
        </row>
        <row r="303">
          <cell r="J303" t="str">
            <v>VME CIK Panel</v>
          </cell>
          <cell r="K303" t="e">
            <v>#DIV/0!</v>
          </cell>
          <cell r="N303" t="str">
            <v>UEC..MRI PART ($680.30) M000205</v>
          </cell>
          <cell r="O303">
            <v>0</v>
          </cell>
          <cell r="P303">
            <v>0</v>
          </cell>
          <cell r="Q303">
            <v>220</v>
          </cell>
          <cell r="R303">
            <v>398414</v>
          </cell>
          <cell r="S303">
            <v>1810.9727272727273</v>
          </cell>
          <cell r="V303">
            <v>220</v>
          </cell>
          <cell r="W303">
            <v>398414</v>
          </cell>
          <cell r="X303">
            <v>0</v>
          </cell>
          <cell r="Y303">
            <v>0</v>
          </cell>
          <cell r="AC303">
            <v>0</v>
          </cell>
          <cell r="AG303">
            <v>0</v>
          </cell>
          <cell r="AJ303">
            <v>0</v>
          </cell>
          <cell r="AN303">
            <v>0</v>
          </cell>
        </row>
        <row r="304">
          <cell r="J304" t="str">
            <v>VME CPC-D Panel</v>
          </cell>
          <cell r="K304" t="e">
            <v>#DIV/0!</v>
          </cell>
          <cell r="N304" t="str">
            <v>UEC..MRI PART ($720) 991275M 기타</v>
          </cell>
          <cell r="O304">
            <v>0</v>
          </cell>
          <cell r="P304">
            <v>0</v>
          </cell>
          <cell r="Q304">
            <v>1</v>
          </cell>
          <cell r="R304">
            <v>304244</v>
          </cell>
          <cell r="S304">
            <v>304244</v>
          </cell>
          <cell r="V304">
            <v>1</v>
          </cell>
          <cell r="W304">
            <v>304244</v>
          </cell>
          <cell r="X304">
            <v>0</v>
          </cell>
          <cell r="Y304">
            <v>0</v>
          </cell>
          <cell r="AC304">
            <v>0</v>
          </cell>
          <cell r="AG304">
            <v>0</v>
          </cell>
          <cell r="AJ304">
            <v>0</v>
          </cell>
          <cell r="AN304">
            <v>0</v>
          </cell>
        </row>
        <row r="305">
          <cell r="J305" t="str">
            <v>VME CPC-P Panel</v>
          </cell>
          <cell r="K305" t="e">
            <v>#DIV/0!</v>
          </cell>
          <cell r="N305" t="str">
            <v>UEC..MRI PART ($84) M000204</v>
          </cell>
          <cell r="O305">
            <v>0</v>
          </cell>
          <cell r="P305">
            <v>0</v>
          </cell>
          <cell r="Q305">
            <v>30</v>
          </cell>
          <cell r="R305">
            <v>209420</v>
          </cell>
          <cell r="S305">
            <v>6980.666666666667</v>
          </cell>
          <cell r="V305">
            <v>30</v>
          </cell>
          <cell r="W305">
            <v>209420</v>
          </cell>
          <cell r="X305">
            <v>0</v>
          </cell>
          <cell r="Y305">
            <v>0</v>
          </cell>
          <cell r="AC305">
            <v>0</v>
          </cell>
          <cell r="AG305">
            <v>0</v>
          </cell>
          <cell r="AJ305">
            <v>0</v>
          </cell>
          <cell r="AN305">
            <v>0</v>
          </cell>
        </row>
        <row r="306">
          <cell r="K306" t="e">
            <v>#DIV/0!</v>
          </cell>
          <cell r="N306" t="str">
            <v>VME CIK Panel</v>
          </cell>
          <cell r="O306">
            <v>0</v>
          </cell>
          <cell r="P306">
            <v>0</v>
          </cell>
          <cell r="Q306">
            <v>5</v>
          </cell>
          <cell r="R306">
            <v>45000</v>
          </cell>
          <cell r="S306">
            <v>9000</v>
          </cell>
          <cell r="V306">
            <v>5</v>
          </cell>
          <cell r="W306">
            <v>45000</v>
          </cell>
          <cell r="X306">
            <v>0</v>
          </cell>
          <cell r="Y306">
            <v>0</v>
          </cell>
          <cell r="AC306">
            <v>0</v>
          </cell>
          <cell r="AG306">
            <v>0</v>
          </cell>
          <cell r="AJ306">
            <v>0</v>
          </cell>
          <cell r="AN306">
            <v>0</v>
          </cell>
        </row>
        <row r="307">
          <cell r="J307" t="str">
            <v>SPECTROMETOR 생산 자재 구매</v>
          </cell>
          <cell r="K307" t="e">
            <v>#DIV/0!</v>
          </cell>
          <cell r="N307" t="str">
            <v>VME CPC-D Panel</v>
          </cell>
          <cell r="O307">
            <v>0</v>
          </cell>
          <cell r="P307">
            <v>0</v>
          </cell>
          <cell r="Q307">
            <v>10</v>
          </cell>
          <cell r="R307">
            <v>90000</v>
          </cell>
          <cell r="S307">
            <v>9000</v>
          </cell>
          <cell r="V307">
            <v>10</v>
          </cell>
          <cell r="W307">
            <v>90000</v>
          </cell>
          <cell r="X307">
            <v>0</v>
          </cell>
          <cell r="Y307">
            <v>0</v>
          </cell>
          <cell r="AC307">
            <v>0</v>
          </cell>
          <cell r="AG307">
            <v>0</v>
          </cell>
          <cell r="AJ307">
            <v>0</v>
          </cell>
          <cell r="AN307">
            <v>0</v>
          </cell>
        </row>
        <row r="308">
          <cell r="J308" t="str">
            <v>SPECTROMETER 부품 SERIAL EXTENSION FRAME 구매</v>
          </cell>
          <cell r="K308" t="e">
            <v>#DIV/0!</v>
          </cell>
          <cell r="N308" t="str">
            <v>VME CPC-P Panel</v>
          </cell>
          <cell r="O308">
            <v>0</v>
          </cell>
          <cell r="P308">
            <v>0</v>
          </cell>
          <cell r="Q308">
            <v>10</v>
          </cell>
          <cell r="R308">
            <v>90000</v>
          </cell>
          <cell r="S308">
            <v>9000</v>
          </cell>
          <cell r="V308">
            <v>10</v>
          </cell>
          <cell r="W308">
            <v>90000</v>
          </cell>
          <cell r="X308">
            <v>0</v>
          </cell>
          <cell r="Y308">
            <v>0</v>
          </cell>
          <cell r="AC308">
            <v>0</v>
          </cell>
          <cell r="AG308">
            <v>0</v>
          </cell>
          <cell r="AJ308">
            <v>0</v>
          </cell>
          <cell r="AN308">
            <v>0</v>
          </cell>
        </row>
        <row r="309">
          <cell r="J309" t="str">
            <v>TMJ COIL제작 용 PAD 구매</v>
          </cell>
          <cell r="K309" t="e">
            <v>#DIV/0!</v>
          </cell>
        </row>
        <row r="310">
          <cell r="J310" t="str">
            <v>CPC-P.D BOARD 컨넥터 구입</v>
          </cell>
          <cell r="K310" t="e">
            <v>#DIV/0!</v>
          </cell>
          <cell r="N310" t="str">
            <v>SPECTROMETOR 생산 자재 구매</v>
          </cell>
          <cell r="O310">
            <v>0</v>
          </cell>
          <cell r="P310">
            <v>0</v>
          </cell>
          <cell r="Q310">
            <v>1</v>
          </cell>
          <cell r="R310">
            <v>1537600</v>
          </cell>
          <cell r="S310">
            <v>1537600</v>
          </cell>
          <cell r="V310">
            <v>1</v>
          </cell>
          <cell r="W310">
            <v>1537600</v>
          </cell>
          <cell r="X310">
            <v>0</v>
          </cell>
          <cell r="Y310">
            <v>0</v>
          </cell>
          <cell r="AC310">
            <v>0</v>
          </cell>
          <cell r="AG310">
            <v>0</v>
          </cell>
          <cell r="AJ310">
            <v>0</v>
          </cell>
          <cell r="AN310">
            <v>0</v>
          </cell>
        </row>
        <row r="311">
          <cell r="J311" t="str">
            <v>연구용 자재 구매(MULTI METER,공구 SET)</v>
          </cell>
          <cell r="K311" t="e">
            <v>#DIV/0!</v>
          </cell>
          <cell r="N311" t="str">
            <v>SPECTROMETER 부품 SERIAL EXTENSION FRAME 구매</v>
          </cell>
          <cell r="O311">
            <v>0</v>
          </cell>
          <cell r="P311">
            <v>0</v>
          </cell>
          <cell r="Q311">
            <v>1</v>
          </cell>
          <cell r="R311">
            <v>380000</v>
          </cell>
          <cell r="S311">
            <v>380000</v>
          </cell>
          <cell r="V311">
            <v>1</v>
          </cell>
          <cell r="W311">
            <v>380000</v>
          </cell>
          <cell r="X311">
            <v>0</v>
          </cell>
          <cell r="Y311">
            <v>0</v>
          </cell>
          <cell r="AC311">
            <v>0</v>
          </cell>
          <cell r="AG311">
            <v>0</v>
          </cell>
          <cell r="AJ311">
            <v>0</v>
          </cell>
          <cell r="AN311">
            <v>0</v>
          </cell>
        </row>
        <row r="312">
          <cell r="J312" t="str">
            <v>RF-MAP EVALUATION을 위한 DOWN TRANSFORMER 구매</v>
          </cell>
          <cell r="K312" t="e">
            <v>#DIV/0!</v>
          </cell>
          <cell r="N312" t="str">
            <v>TMJ COIL제작 용 PAD 구매</v>
          </cell>
          <cell r="O312">
            <v>0</v>
          </cell>
          <cell r="P312">
            <v>0</v>
          </cell>
          <cell r="Q312">
            <v>1</v>
          </cell>
          <cell r="R312">
            <v>3200000</v>
          </cell>
          <cell r="S312">
            <v>3200000</v>
          </cell>
          <cell r="V312">
            <v>1</v>
          </cell>
          <cell r="W312">
            <v>3200000</v>
          </cell>
          <cell r="X312">
            <v>0</v>
          </cell>
          <cell r="Y312">
            <v>0</v>
          </cell>
          <cell r="AC312">
            <v>0</v>
          </cell>
          <cell r="AG312">
            <v>0</v>
          </cell>
          <cell r="AJ312">
            <v>0</v>
          </cell>
          <cell r="AN312">
            <v>0</v>
          </cell>
        </row>
        <row r="313">
          <cell r="J313" t="str">
            <v>연구용 부품 RES 1/8WF 333외 3종 구매</v>
          </cell>
          <cell r="K313" t="e">
            <v>#DIV/0!</v>
          </cell>
          <cell r="N313" t="str">
            <v>CPC-P.D BOARD 컨넥터 구입</v>
          </cell>
          <cell r="O313">
            <v>0</v>
          </cell>
          <cell r="P313">
            <v>0</v>
          </cell>
          <cell r="Q313">
            <v>1</v>
          </cell>
          <cell r="R313">
            <v>30500</v>
          </cell>
          <cell r="S313">
            <v>30500</v>
          </cell>
          <cell r="V313">
            <v>1</v>
          </cell>
          <cell r="W313">
            <v>30500</v>
          </cell>
          <cell r="X313">
            <v>0</v>
          </cell>
          <cell r="Y313">
            <v>0</v>
          </cell>
          <cell r="AC313">
            <v>0</v>
          </cell>
          <cell r="AG313">
            <v>0</v>
          </cell>
          <cell r="AJ313">
            <v>0</v>
          </cell>
          <cell r="AN313">
            <v>0</v>
          </cell>
        </row>
        <row r="314">
          <cell r="J314" t="str">
            <v>CMC G-AMP TEST 용  DUMMY INDUCTOR 구매</v>
          </cell>
          <cell r="K314" t="e">
            <v>#DIV/0!</v>
          </cell>
          <cell r="N314" t="str">
            <v>연구용 자재 구매(MULTI METER,공구 SET)</v>
          </cell>
          <cell r="O314">
            <v>0</v>
          </cell>
          <cell r="P314">
            <v>0</v>
          </cell>
          <cell r="Q314">
            <v>1</v>
          </cell>
          <cell r="R314">
            <v>123000</v>
          </cell>
          <cell r="S314">
            <v>123000</v>
          </cell>
          <cell r="V314">
            <v>1</v>
          </cell>
          <cell r="W314">
            <v>123000</v>
          </cell>
          <cell r="X314">
            <v>0</v>
          </cell>
          <cell r="Y314">
            <v>0</v>
          </cell>
          <cell r="AC314">
            <v>0</v>
          </cell>
          <cell r="AG314">
            <v>0</v>
          </cell>
          <cell r="AJ314">
            <v>0</v>
          </cell>
          <cell r="AN314">
            <v>0</v>
          </cell>
        </row>
        <row r="315">
          <cell r="J315" t="str">
            <v>FLEXIBLE COIL 생산을 위한 FORMER 구매</v>
          </cell>
          <cell r="K315" t="e">
            <v>#DIV/0!</v>
          </cell>
          <cell r="N315" t="str">
            <v>RF-MAP EVALUATION을 위한 DOWN TRANSFORMER 구매</v>
          </cell>
          <cell r="O315">
            <v>0</v>
          </cell>
          <cell r="P315">
            <v>0</v>
          </cell>
          <cell r="Q315">
            <v>1</v>
          </cell>
          <cell r="R315">
            <v>620000</v>
          </cell>
          <cell r="S315">
            <v>620000</v>
          </cell>
          <cell r="V315">
            <v>1</v>
          </cell>
          <cell r="W315">
            <v>620000</v>
          </cell>
          <cell r="X315">
            <v>0</v>
          </cell>
          <cell r="Y315">
            <v>0</v>
          </cell>
          <cell r="AC315">
            <v>0</v>
          </cell>
          <cell r="AG315">
            <v>0</v>
          </cell>
          <cell r="AJ315">
            <v>0</v>
          </cell>
          <cell r="AN315">
            <v>0</v>
          </cell>
        </row>
        <row r="316">
          <cell r="J316" t="str">
            <v>RF COIL 개발을 위한 소모품 구매</v>
          </cell>
          <cell r="K316" t="e">
            <v>#DIV/0!</v>
          </cell>
          <cell r="N316" t="str">
            <v>연구용 부품 RES 1/8WF 333외 3종 구매</v>
          </cell>
          <cell r="O316">
            <v>0</v>
          </cell>
          <cell r="P316">
            <v>0</v>
          </cell>
          <cell r="Q316">
            <v>1</v>
          </cell>
          <cell r="R316">
            <v>61500</v>
          </cell>
          <cell r="S316">
            <v>61500</v>
          </cell>
          <cell r="V316">
            <v>1</v>
          </cell>
          <cell r="W316">
            <v>61500</v>
          </cell>
          <cell r="X316">
            <v>0</v>
          </cell>
          <cell r="Y316">
            <v>0</v>
          </cell>
          <cell r="AC316">
            <v>0</v>
          </cell>
          <cell r="AG316">
            <v>0</v>
          </cell>
          <cell r="AJ316">
            <v>0</v>
          </cell>
          <cell r="AN316">
            <v>0</v>
          </cell>
        </row>
        <row r="317">
          <cell r="J317" t="str">
            <v>SPECTROMETER VME PART 부품 구입</v>
          </cell>
          <cell r="K317" t="e">
            <v>#DIV/0!</v>
          </cell>
          <cell r="N317" t="str">
            <v>CMC G-AMP TEST 용  DUMMY INDUCTOR 구매</v>
          </cell>
          <cell r="O317">
            <v>0</v>
          </cell>
          <cell r="P317">
            <v>0</v>
          </cell>
          <cell r="Q317">
            <v>1</v>
          </cell>
          <cell r="R317">
            <v>260000</v>
          </cell>
          <cell r="S317">
            <v>260000</v>
          </cell>
          <cell r="V317">
            <v>1</v>
          </cell>
          <cell r="W317">
            <v>260000</v>
          </cell>
          <cell r="X317">
            <v>0</v>
          </cell>
          <cell r="Y317">
            <v>0</v>
          </cell>
          <cell r="AC317">
            <v>0</v>
          </cell>
          <cell r="AG317">
            <v>0</v>
          </cell>
          <cell r="AJ317">
            <v>0</v>
          </cell>
          <cell r="AN317">
            <v>0</v>
          </cell>
        </row>
        <row r="318">
          <cell r="J318" t="str">
            <v>연구용 부품 316 CABLE,SMA 316CON 구입</v>
          </cell>
          <cell r="K318" t="e">
            <v>#DIV/0!</v>
          </cell>
          <cell r="N318" t="str">
            <v>FLEXIBLE COIL 생산을 위한 FORMER 구매</v>
          </cell>
          <cell r="O318">
            <v>0</v>
          </cell>
          <cell r="P318">
            <v>0</v>
          </cell>
          <cell r="Q318">
            <v>1</v>
          </cell>
          <cell r="R318">
            <v>4140000</v>
          </cell>
          <cell r="S318">
            <v>4140000</v>
          </cell>
          <cell r="V318">
            <v>1</v>
          </cell>
          <cell r="W318">
            <v>4140000</v>
          </cell>
          <cell r="X318">
            <v>0</v>
          </cell>
          <cell r="Y318">
            <v>0</v>
          </cell>
          <cell r="AC318">
            <v>0</v>
          </cell>
          <cell r="AG318">
            <v>0</v>
          </cell>
          <cell r="AJ318">
            <v>0</v>
          </cell>
          <cell r="AN318">
            <v>0</v>
          </cell>
        </row>
        <row r="319">
          <cell r="N319" t="str">
            <v>RF COIL 개발을 위한 소모품 구매</v>
          </cell>
          <cell r="O319">
            <v>0</v>
          </cell>
          <cell r="P319">
            <v>0</v>
          </cell>
          <cell r="Q319">
            <v>1</v>
          </cell>
          <cell r="R319">
            <v>287100</v>
          </cell>
          <cell r="S319">
            <v>287100</v>
          </cell>
          <cell r="V319">
            <v>1</v>
          </cell>
          <cell r="W319">
            <v>287100</v>
          </cell>
          <cell r="X319">
            <v>0</v>
          </cell>
          <cell r="Y319">
            <v>0</v>
          </cell>
          <cell r="AC319">
            <v>0</v>
          </cell>
          <cell r="AG319">
            <v>0</v>
          </cell>
          <cell r="AJ319">
            <v>0</v>
          </cell>
          <cell r="AN319">
            <v>0</v>
          </cell>
        </row>
        <row r="320">
          <cell r="N320" t="str">
            <v>SPECTROMETER VME PART 부품 구입</v>
          </cell>
          <cell r="O320">
            <v>0</v>
          </cell>
          <cell r="P320">
            <v>0</v>
          </cell>
          <cell r="Q320">
            <v>1</v>
          </cell>
          <cell r="R320">
            <v>3769450</v>
          </cell>
          <cell r="S320">
            <v>3769450</v>
          </cell>
          <cell r="V320">
            <v>1</v>
          </cell>
          <cell r="W320">
            <v>3769450</v>
          </cell>
          <cell r="X320">
            <v>0</v>
          </cell>
          <cell r="Y320">
            <v>0</v>
          </cell>
          <cell r="AC320">
            <v>0</v>
          </cell>
          <cell r="AG320">
            <v>0</v>
          </cell>
          <cell r="AJ320">
            <v>0</v>
          </cell>
          <cell r="AN320">
            <v>0</v>
          </cell>
        </row>
        <row r="321">
          <cell r="N321" t="str">
            <v>연구용 부품 316 CABLE,SMA 316CON 구입</v>
          </cell>
          <cell r="O321">
            <v>0</v>
          </cell>
          <cell r="P321">
            <v>0</v>
          </cell>
          <cell r="Q321">
            <v>1</v>
          </cell>
          <cell r="R321">
            <v>130000</v>
          </cell>
          <cell r="S321">
            <v>130000</v>
          </cell>
          <cell r="V321">
            <v>1</v>
          </cell>
          <cell r="W321">
            <v>130000</v>
          </cell>
          <cell r="X321">
            <v>0</v>
          </cell>
          <cell r="Y321">
            <v>0</v>
          </cell>
          <cell r="AC321">
            <v>0</v>
          </cell>
          <cell r="AG321">
            <v>0</v>
          </cell>
          <cell r="AJ321">
            <v>0</v>
          </cell>
          <cell r="AN321">
            <v>0</v>
          </cell>
        </row>
      </sheetData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To-do list"/>
      <sheetName val="L 1"/>
      <sheetName val="L 1-1"/>
      <sheetName val="L 1-2"/>
      <sheetName val="L 1-3"/>
      <sheetName val="L1-4"/>
      <sheetName val="L1-5"/>
      <sheetName val="I2"/>
      <sheetName val="I2-1"/>
      <sheetName val="I2-2"/>
      <sheetName val="원_VL"/>
      <sheetName val="차입금"/>
      <sheetName val="한계원가"/>
      <sheetName val="업무분장(현행)"/>
      <sheetName val="BS"/>
      <sheetName val="2001Org"/>
      <sheetName val="98실적"/>
      <sheetName val="보험료"/>
      <sheetName val="36기상반기자금실적"/>
      <sheetName val="비교손익계산서"/>
      <sheetName val="회사정보"/>
      <sheetName val="뒤차축소"/>
      <sheetName val="금융리스"/>
      <sheetName val="마감장"/>
      <sheetName val="누계실적6"/>
      <sheetName val="붙임2-1  지급조서명세서(2001년분)"/>
      <sheetName val="기획1"/>
      <sheetName val="작업불가"/>
      <sheetName val="시뮬레이션정보"/>
      <sheetName val="controll"/>
      <sheetName val="HSA"/>
      <sheetName val="Formula Headcount Detail"/>
      <sheetName val="Validation"/>
      <sheetName val="금융소득종합과세"/>
      <sheetName val="근로소득세2001"/>
      <sheetName val="법인구분"/>
      <sheetName val="기초코드"/>
      <sheetName val="XREF"/>
      <sheetName val="업무분장 "/>
      <sheetName val="3-31"/>
      <sheetName val="basic_info"/>
      <sheetName val="35~37기추정손익계산서"/>
      <sheetName val="외화평가"/>
      <sheetName val="재공품"/>
      <sheetName val="Sheet1"/>
      <sheetName val="유형자산증감"/>
      <sheetName val="Asset9809CAK"/>
      <sheetName val="CAUDIT"/>
      <sheetName val="세액계산"/>
      <sheetName val="Links"/>
      <sheetName val="자재,노무CODE"/>
      <sheetName val="Intro2"/>
      <sheetName val="손익계산서 raw data"/>
      <sheetName val="25.보증금(임차보증금외)"/>
      <sheetName val="손익내역전년"/>
      <sheetName val="회사제시"/>
      <sheetName val="FS-Consol"/>
      <sheetName val="현금흐름표"/>
      <sheetName val="검산금액"/>
      <sheetName val="5월경비_영업외비용"/>
      <sheetName val="신제품지원"/>
      <sheetName val="외주현황.wq1"/>
      <sheetName val="경영비율 "/>
      <sheetName val="Index"/>
      <sheetName val="comm"/>
      <sheetName val="수정시산표"/>
      <sheetName val="Indoor Disposer"/>
      <sheetName val="INFG1198"/>
      <sheetName val="SCF"/>
      <sheetName val="무형"/>
      <sheetName val="#REF!"/>
      <sheetName val="신기술(비상장)0412"/>
      <sheetName val="리드"/>
      <sheetName val="후순위채05.01.20"/>
      <sheetName val="계획"/>
      <sheetName val="운용미수"/>
      <sheetName val="7.31 (2)"/>
      <sheetName val="总逐年报表"/>
      <sheetName val="대차대조표"/>
      <sheetName val="99퇴직"/>
      <sheetName val="Assumptions"/>
      <sheetName val="차액보증"/>
      <sheetName val="Working"/>
      <sheetName val="FA-LISTING"/>
      <sheetName val="JT3.0견적-구1"/>
      <sheetName val="0-Basics"/>
      <sheetName val="laporan96"/>
      <sheetName val="data2004"/>
      <sheetName val="Parameters"/>
      <sheetName val="분류표"/>
      <sheetName val="CIP-final"/>
      <sheetName val="PPE-Pre"/>
      <sheetName val="기초해지2"/>
      <sheetName val="기초해지"/>
      <sheetName val="매출(영업 VS 경리)"/>
      <sheetName val="간주기안"/>
      <sheetName val="의제기안"/>
      <sheetName val="comparables"/>
      <sheetName val="Deduction"/>
      <sheetName val="other"/>
      <sheetName val="conclusion"/>
      <sheetName val="반품"/>
      <sheetName val="정상"/>
      <sheetName val="폐기-090831"/>
      <sheetName val="FAB별"/>
      <sheetName val="NetCostFC 2009"/>
      <sheetName val="Serial Support"/>
    </sheetNames>
    <sheetDataSet>
      <sheetData sheetId="0">
        <row r="6">
          <cell r="B6">
            <v>39721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감가상각"/>
      <sheetName val="공기구"/>
      <sheetName val="Intro"/>
      <sheetName val="원_VL"/>
      <sheetName val="MRS세부"/>
      <sheetName val="유통망계획"/>
      <sheetName val="목표대비실적(R)"/>
      <sheetName val="원자재(LGP SPL)"/>
      <sheetName val="원재료 수불현황"/>
      <sheetName val="DD10"/>
      <sheetName val="2_IR"/>
      <sheetName val="전체실적"/>
      <sheetName val="WBS98"/>
      <sheetName val="ST"/>
      <sheetName val="외화"/>
      <sheetName val="자금동향"/>
      <sheetName val="Bang_ke_TT"/>
      <sheetName val="Köpfe"/>
      <sheetName val="받check"/>
      <sheetName val="118.세금과공과"/>
      <sheetName val="대차"/>
      <sheetName val="손익"/>
      <sheetName val="0608 _Fnl_"/>
      <sheetName val="BS(4)"/>
      <sheetName val="CAUDIT"/>
      <sheetName val="창원외상매출금(원)"/>
      <sheetName val="SalesMYP"/>
      <sheetName val="금융리스"/>
      <sheetName val="퇴충98"/>
      <sheetName val="실적"/>
      <sheetName val="TEMP1"/>
      <sheetName val="TEMP2"/>
      <sheetName val="시뮬레이션정보"/>
      <sheetName val="재공품"/>
      <sheetName val="Intro2"/>
      <sheetName val="비교손익계산서"/>
      <sheetName val="연체리스료"/>
      <sheetName val="BS"/>
      <sheetName val="2001Org"/>
      <sheetName val="보험료"/>
      <sheetName val="98실적"/>
      <sheetName val="底稿01"/>
      <sheetName val="会企03表"/>
      <sheetName val="세무서코드"/>
      <sheetName val="MAT"/>
      <sheetName val="basic_info"/>
      <sheetName val="작업불가"/>
      <sheetName val="Sheet2"/>
      <sheetName val="마감장"/>
      <sheetName val="수정시산표"/>
      <sheetName val="comparables"/>
      <sheetName val="Deduction"/>
      <sheetName val="conclusion"/>
      <sheetName val="매출(영업 VS 경리)"/>
      <sheetName val="회수내역"/>
      <sheetName val="Revised PEGS98"/>
      <sheetName val="기초해지2"/>
      <sheetName val="기초해지"/>
      <sheetName val="계획"/>
      <sheetName val="리드"/>
      <sheetName val="대차대조표"/>
      <sheetName val="99퇴직"/>
      <sheetName val="기초코드"/>
      <sheetName val="#REF"/>
      <sheetName val="XREF"/>
      <sheetName val="A1"/>
      <sheetName val="building"/>
      <sheetName val="Sheet3"/>
      <sheetName val="유형자산증감"/>
      <sheetName val="Sheet1"/>
      <sheetName val="참조"/>
      <sheetName val="회사정보"/>
      <sheetName val="신기술(비상장)0412"/>
      <sheetName val="후순위채05.01.20"/>
      <sheetName val="별표 "/>
      <sheetName val="SLa"/>
      <sheetName val="Summary"/>
      <sheetName val="TBclosing"/>
      <sheetName val="RR Allocation"/>
      <sheetName val="현금흐름표"/>
      <sheetName val="수정분개"/>
      <sheetName val="索引"/>
      <sheetName val="25.보증금(임차보증금외)"/>
      <sheetName val="Master"/>
      <sheetName val="신제품지원"/>
      <sheetName val="97년추정손익계산서"/>
      <sheetName val="Indoor Disposer"/>
      <sheetName val="채권"/>
      <sheetName val="손익계산서 raw data"/>
      <sheetName val="손익내역전년"/>
      <sheetName val="Pinjaman"/>
      <sheetName val="Simpanan"/>
      <sheetName val="대손검토"/>
      <sheetName val="주요제품"/>
      <sheetName val="INFG1198"/>
      <sheetName val="FINALPHP"/>
      <sheetName val="Results"/>
      <sheetName val="SHEET"/>
      <sheetName val="LeadSchedule"/>
      <sheetName val="부서별"/>
      <sheetName val="차수"/>
      <sheetName val="Attachement"/>
      <sheetName val="Revisi"/>
      <sheetName val="TBM"/>
      <sheetName val="재료비"/>
      <sheetName val="경비"/>
      <sheetName val="参数表"/>
      <sheetName val="B"/>
      <sheetName val="배서어음명세서"/>
      <sheetName val="坏账核销"/>
      <sheetName val="F1"/>
      <sheetName val="AR_final_zhengyan"/>
      <sheetName val="금융소득종합과세"/>
      <sheetName val="근로소득세2001"/>
      <sheetName val="검산금액"/>
      <sheetName val="선수보증금"/>
      <sheetName val="Sheet5"/>
      <sheetName val="연체일수"/>
      <sheetName val="잔가합계"/>
      <sheetName val="Sheet6"/>
      <sheetName val="중도해지진행업체"/>
      <sheetName val="5월경비_영업외비용"/>
      <sheetName val="시산표"/>
      <sheetName val="WI"/>
      <sheetName val="36기상반기자금실적"/>
      <sheetName val="1.외주공사"/>
      <sheetName val="2.직영공사"/>
      <sheetName val="외화평가"/>
      <sheetName val="3.2"/>
    </sheetNames>
    <sheetDataSet>
      <sheetData sheetId="0">
        <row r="1">
          <cell r="A1" t="str">
            <v>1996년 5월 감가상각비 명세서(기계장치)</v>
          </cell>
        </row>
        <row r="2">
          <cell r="A2" t="str">
            <v>━━━━━━━━━━━━━━━━━━━</v>
          </cell>
        </row>
        <row r="4">
          <cell r="A4" t="str">
            <v>번호</v>
          </cell>
          <cell r="B4" t="str">
            <v>자   산   명</v>
          </cell>
          <cell r="C4" t="str">
            <v>취득년월</v>
          </cell>
          <cell r="D4" t="str">
            <v>수량</v>
          </cell>
          <cell r="E4" t="str">
            <v>취득금액</v>
          </cell>
          <cell r="F4" t="str">
            <v>사용부서</v>
          </cell>
          <cell r="G4" t="str">
            <v>당기증가액</v>
          </cell>
          <cell r="H4" t="str">
            <v>당기감소액</v>
          </cell>
          <cell r="I4" t="str">
            <v>기말가액</v>
          </cell>
          <cell r="J4" t="str">
            <v>최종잔존가액</v>
          </cell>
          <cell r="K4" t="str">
            <v>감가상각대상액</v>
          </cell>
          <cell r="L4" t="str">
            <v>내용년수</v>
          </cell>
          <cell r="M4" t="str">
            <v>상각율</v>
          </cell>
          <cell r="N4" t="str">
            <v>전기충당금누계</v>
          </cell>
          <cell r="O4" t="str">
            <v>월상각액</v>
          </cell>
          <cell r="P4" t="str">
            <v>당기충당금누계</v>
          </cell>
          <cell r="Q4" t="str">
            <v>미상각잔액</v>
          </cell>
          <cell r="R4" t="str">
            <v>비  고</v>
          </cell>
        </row>
        <row r="5">
          <cell r="A5">
            <v>1</v>
          </cell>
          <cell r="B5" t="str">
            <v xml:space="preserve"> PRESS</v>
          </cell>
          <cell r="C5" t="str">
            <v>1991. 12</v>
          </cell>
          <cell r="D5">
            <v>5</v>
          </cell>
          <cell r="E5">
            <v>21752006813</v>
          </cell>
          <cell r="F5" t="str">
            <v>합성</v>
          </cell>
          <cell r="I5">
            <v>21752006813</v>
          </cell>
          <cell r="J5">
            <v>2175200681</v>
          </cell>
          <cell r="K5">
            <v>19576806132</v>
          </cell>
          <cell r="L5">
            <v>13</v>
          </cell>
          <cell r="M5">
            <v>6.4102564102564109E-3</v>
          </cell>
          <cell r="N5">
            <v>6622738719</v>
          </cell>
          <cell r="O5">
            <v>125492347</v>
          </cell>
          <cell r="P5">
            <v>6748231066</v>
          </cell>
          <cell r="Q5">
            <v>15003775747</v>
          </cell>
        </row>
        <row r="6">
          <cell r="A6">
            <v>2</v>
          </cell>
          <cell r="B6" t="str">
            <v xml:space="preserve"> BALANCE</v>
          </cell>
          <cell r="C6" t="str">
            <v>1991. 12</v>
          </cell>
          <cell r="D6">
            <v>1</v>
          </cell>
          <cell r="E6">
            <v>11568282</v>
          </cell>
          <cell r="F6" t="str">
            <v>품보</v>
          </cell>
          <cell r="I6">
            <v>11568282</v>
          </cell>
          <cell r="J6">
            <v>1156828</v>
          </cell>
          <cell r="K6">
            <v>10411454</v>
          </cell>
          <cell r="L6">
            <v>13</v>
          </cell>
          <cell r="M6">
            <v>6.4102564102564109E-3</v>
          </cell>
          <cell r="N6">
            <v>3537220</v>
          </cell>
          <cell r="O6">
            <v>66740</v>
          </cell>
          <cell r="P6">
            <v>3603960</v>
          </cell>
          <cell r="Q6">
            <v>7964322</v>
          </cell>
        </row>
        <row r="7">
          <cell r="A7">
            <v>3</v>
          </cell>
          <cell r="B7" t="str">
            <v xml:space="preserve"> MICROSCOPE</v>
          </cell>
          <cell r="C7" t="str">
            <v>1991. 12</v>
          </cell>
          <cell r="D7">
            <v>1</v>
          </cell>
          <cell r="E7">
            <v>23676435</v>
          </cell>
          <cell r="F7" t="str">
            <v>품보</v>
          </cell>
          <cell r="I7">
            <v>23676435</v>
          </cell>
          <cell r="J7">
            <v>2367643</v>
          </cell>
          <cell r="K7">
            <v>21308792</v>
          </cell>
          <cell r="L7">
            <v>13</v>
          </cell>
          <cell r="M7">
            <v>6.4102564102564109E-3</v>
          </cell>
          <cell r="N7">
            <v>7239482</v>
          </cell>
          <cell r="O7">
            <v>136594</v>
          </cell>
          <cell r="P7">
            <v>7376076</v>
          </cell>
          <cell r="Q7">
            <v>16300359</v>
          </cell>
        </row>
        <row r="8">
          <cell r="A8">
            <v>4</v>
          </cell>
          <cell r="B8" t="str">
            <v>ULTRASONIC TEST</v>
          </cell>
          <cell r="C8" t="str">
            <v>1991. 12</v>
          </cell>
          <cell r="D8">
            <v>1</v>
          </cell>
          <cell r="E8">
            <v>6301362</v>
          </cell>
          <cell r="F8" t="str">
            <v>품보</v>
          </cell>
          <cell r="I8">
            <v>6301362</v>
          </cell>
          <cell r="J8">
            <v>630136</v>
          </cell>
          <cell r="K8">
            <v>5671226</v>
          </cell>
          <cell r="L8">
            <v>13</v>
          </cell>
          <cell r="M8">
            <v>6.4102564102564109E-3</v>
          </cell>
          <cell r="N8">
            <v>1926762</v>
          </cell>
          <cell r="O8">
            <v>36354</v>
          </cell>
          <cell r="P8">
            <v>1963116</v>
          </cell>
          <cell r="Q8">
            <v>4338246</v>
          </cell>
        </row>
        <row r="9">
          <cell r="A9">
            <v>5</v>
          </cell>
          <cell r="B9" t="str">
            <v>ULTRASONIC FLAW</v>
          </cell>
          <cell r="C9" t="str">
            <v>1991. 12</v>
          </cell>
          <cell r="D9">
            <v>1</v>
          </cell>
          <cell r="E9">
            <v>27834036</v>
          </cell>
          <cell r="F9" t="str">
            <v>품보</v>
          </cell>
          <cell r="I9">
            <v>27834036</v>
          </cell>
          <cell r="J9">
            <v>2783403</v>
          </cell>
          <cell r="K9">
            <v>25050633</v>
          </cell>
          <cell r="L9">
            <v>13</v>
          </cell>
          <cell r="M9">
            <v>6.4102564102564109E-3</v>
          </cell>
          <cell r="N9">
            <v>8510740</v>
          </cell>
          <cell r="O9">
            <v>160580</v>
          </cell>
          <cell r="P9">
            <v>8671320</v>
          </cell>
          <cell r="Q9">
            <v>19162716</v>
          </cell>
        </row>
        <row r="10">
          <cell r="A10">
            <v>6</v>
          </cell>
          <cell r="B10" t="str">
            <v xml:space="preserve"> LASER</v>
          </cell>
          <cell r="C10" t="str">
            <v>1991. 12</v>
          </cell>
          <cell r="D10">
            <v>1</v>
          </cell>
          <cell r="E10">
            <v>72542795</v>
          </cell>
          <cell r="F10" t="str">
            <v>품보</v>
          </cell>
          <cell r="I10">
            <v>72542795</v>
          </cell>
          <cell r="J10">
            <v>7254279</v>
          </cell>
          <cell r="K10">
            <v>65288516</v>
          </cell>
          <cell r="L10">
            <v>13</v>
          </cell>
          <cell r="M10">
            <v>6.4102564102564109E-3</v>
          </cell>
          <cell r="N10">
            <v>22181348</v>
          </cell>
          <cell r="O10">
            <v>418516</v>
          </cell>
          <cell r="P10">
            <v>22599864</v>
          </cell>
          <cell r="Q10">
            <v>49942931</v>
          </cell>
        </row>
        <row r="11">
          <cell r="A11">
            <v>7</v>
          </cell>
          <cell r="B11" t="str">
            <v xml:space="preserve"> SIEVE</v>
          </cell>
          <cell r="C11" t="str">
            <v>1991. 12</v>
          </cell>
          <cell r="D11">
            <v>1</v>
          </cell>
          <cell r="E11">
            <v>23877794</v>
          </cell>
          <cell r="F11" t="str">
            <v>품보</v>
          </cell>
          <cell r="I11">
            <v>23877794</v>
          </cell>
          <cell r="J11">
            <v>2387779</v>
          </cell>
          <cell r="K11">
            <v>21490015</v>
          </cell>
          <cell r="L11">
            <v>13</v>
          </cell>
          <cell r="M11">
            <v>6.4102564102564109E-3</v>
          </cell>
          <cell r="N11">
            <v>7301068</v>
          </cell>
          <cell r="O11">
            <v>137756</v>
          </cell>
          <cell r="P11">
            <v>7438824</v>
          </cell>
          <cell r="Q11">
            <v>16438970</v>
          </cell>
        </row>
        <row r="12">
          <cell r="A12">
            <v>8</v>
          </cell>
          <cell r="B12" t="str">
            <v>RAPID DRYING</v>
          </cell>
          <cell r="C12" t="str">
            <v>1991. 12</v>
          </cell>
          <cell r="D12">
            <v>1</v>
          </cell>
          <cell r="E12">
            <v>13714063</v>
          </cell>
          <cell r="F12" t="str">
            <v>품보</v>
          </cell>
          <cell r="I12">
            <v>13714063</v>
          </cell>
          <cell r="J12">
            <v>1371406</v>
          </cell>
          <cell r="K12">
            <v>12342657</v>
          </cell>
          <cell r="L12">
            <v>13</v>
          </cell>
          <cell r="M12">
            <v>6.4102564102564109E-3</v>
          </cell>
          <cell r="N12">
            <v>4121019</v>
          </cell>
          <cell r="O12">
            <v>79119</v>
          </cell>
          <cell r="P12">
            <v>4200138</v>
          </cell>
          <cell r="Q12">
            <v>9513925</v>
          </cell>
        </row>
        <row r="13">
          <cell r="A13">
            <v>9</v>
          </cell>
          <cell r="B13" t="str">
            <v>ELECTRO SIEVE</v>
          </cell>
          <cell r="C13" t="str">
            <v>1991. 12</v>
          </cell>
          <cell r="D13">
            <v>1</v>
          </cell>
          <cell r="E13">
            <v>13923575</v>
          </cell>
          <cell r="F13" t="str">
            <v>품보</v>
          </cell>
          <cell r="I13">
            <v>13923575</v>
          </cell>
          <cell r="J13">
            <v>1392357</v>
          </cell>
          <cell r="K13">
            <v>12531218</v>
          </cell>
          <cell r="L13">
            <v>13</v>
          </cell>
          <cell r="M13">
            <v>6.4102564102564109E-3</v>
          </cell>
          <cell r="N13">
            <v>4125840</v>
          </cell>
          <cell r="O13">
            <v>80328</v>
          </cell>
          <cell r="P13">
            <v>4206168</v>
          </cell>
          <cell r="Q13">
            <v>9717407</v>
          </cell>
        </row>
        <row r="14">
          <cell r="A14">
            <v>10</v>
          </cell>
          <cell r="B14" t="str">
            <v>METAL MICROSCOPE</v>
          </cell>
          <cell r="C14" t="str">
            <v>1991. 12</v>
          </cell>
          <cell r="D14">
            <v>1</v>
          </cell>
          <cell r="E14">
            <v>6155870</v>
          </cell>
          <cell r="F14" t="str">
            <v>품보</v>
          </cell>
          <cell r="I14">
            <v>6155870</v>
          </cell>
          <cell r="J14">
            <v>615587</v>
          </cell>
          <cell r="K14">
            <v>5540283</v>
          </cell>
          <cell r="L14">
            <v>13</v>
          </cell>
          <cell r="M14">
            <v>6.4102564102564109E-3</v>
          </cell>
          <cell r="N14">
            <v>1882242</v>
          </cell>
          <cell r="O14">
            <v>35514</v>
          </cell>
          <cell r="P14">
            <v>1917756</v>
          </cell>
          <cell r="Q14">
            <v>4238114</v>
          </cell>
        </row>
        <row r="15">
          <cell r="A15">
            <v>11</v>
          </cell>
          <cell r="B15" t="str">
            <v>PROGRAMER</v>
          </cell>
          <cell r="C15" t="str">
            <v>1991. 12</v>
          </cell>
          <cell r="D15">
            <v>1</v>
          </cell>
          <cell r="E15">
            <v>18013504</v>
          </cell>
          <cell r="F15" t="str">
            <v>연구소</v>
          </cell>
          <cell r="I15">
            <v>18013504</v>
          </cell>
          <cell r="J15">
            <v>1801350</v>
          </cell>
          <cell r="K15">
            <v>16212154</v>
          </cell>
          <cell r="L15">
            <v>13</v>
          </cell>
          <cell r="M15">
            <v>6.4102564102564109E-3</v>
          </cell>
          <cell r="N15">
            <v>5507972</v>
          </cell>
          <cell r="O15">
            <v>103924</v>
          </cell>
          <cell r="P15">
            <v>5611896</v>
          </cell>
          <cell r="Q15">
            <v>12401608</v>
          </cell>
        </row>
        <row r="16">
          <cell r="A16">
            <v>12</v>
          </cell>
          <cell r="B16" t="str">
            <v>HIGH SPEED PLANETARY</v>
          </cell>
          <cell r="C16" t="str">
            <v>1991. 12</v>
          </cell>
          <cell r="D16">
            <v>1</v>
          </cell>
          <cell r="E16">
            <v>13520369</v>
          </cell>
          <cell r="F16" t="str">
            <v>전처리</v>
          </cell>
          <cell r="I16">
            <v>13520369</v>
          </cell>
          <cell r="J16">
            <v>1352036</v>
          </cell>
          <cell r="K16">
            <v>12168333</v>
          </cell>
          <cell r="L16">
            <v>13</v>
          </cell>
          <cell r="M16">
            <v>6.4102564102564109E-3</v>
          </cell>
          <cell r="N16">
            <v>4134106</v>
          </cell>
          <cell r="O16">
            <v>78002</v>
          </cell>
          <cell r="P16">
            <v>4212108</v>
          </cell>
          <cell r="Q16">
            <v>9308261</v>
          </cell>
        </row>
        <row r="17">
          <cell r="A17">
            <v>13</v>
          </cell>
          <cell r="B17" t="str">
            <v>고 압 공 구</v>
          </cell>
          <cell r="C17" t="str">
            <v>1991. 12</v>
          </cell>
          <cell r="D17">
            <v>1</v>
          </cell>
          <cell r="E17">
            <v>355193312</v>
          </cell>
          <cell r="F17" t="str">
            <v>합성</v>
          </cell>
          <cell r="I17">
            <v>355193312</v>
          </cell>
          <cell r="J17">
            <v>35519331</v>
          </cell>
          <cell r="K17">
            <v>319673981</v>
          </cell>
          <cell r="L17">
            <v>13</v>
          </cell>
          <cell r="M17">
            <v>6.4102564102564109E-3</v>
          </cell>
          <cell r="N17">
            <v>108607176</v>
          </cell>
          <cell r="O17">
            <v>2049192</v>
          </cell>
          <cell r="P17">
            <v>110656368</v>
          </cell>
          <cell r="Q17">
            <v>244536944</v>
          </cell>
        </row>
        <row r="18">
          <cell r="A18">
            <v>14</v>
          </cell>
          <cell r="B18" t="str">
            <v>UNIVERSAL HARDNESS</v>
          </cell>
          <cell r="C18" t="str">
            <v>1991. 12</v>
          </cell>
          <cell r="D18">
            <v>1</v>
          </cell>
          <cell r="E18">
            <v>28349000</v>
          </cell>
          <cell r="F18" t="str">
            <v>품보</v>
          </cell>
          <cell r="I18">
            <v>28349000</v>
          </cell>
          <cell r="J18">
            <v>2834900</v>
          </cell>
          <cell r="K18">
            <v>25514100</v>
          </cell>
          <cell r="L18">
            <v>13</v>
          </cell>
          <cell r="M18">
            <v>6.4102564102564109E-3</v>
          </cell>
          <cell r="N18">
            <v>8668203</v>
          </cell>
          <cell r="O18">
            <v>163551</v>
          </cell>
          <cell r="P18">
            <v>8831754</v>
          </cell>
          <cell r="Q18">
            <v>19517246</v>
          </cell>
        </row>
        <row r="19">
          <cell r="A19">
            <v>15</v>
          </cell>
          <cell r="B19" t="str">
            <v>FILTER</v>
          </cell>
          <cell r="C19" t="str">
            <v>1991. 12</v>
          </cell>
          <cell r="D19">
            <v>1</v>
          </cell>
          <cell r="E19">
            <v>42906476</v>
          </cell>
          <cell r="F19" t="str">
            <v>공무</v>
          </cell>
          <cell r="I19">
            <v>42906476</v>
          </cell>
          <cell r="J19">
            <v>4290647</v>
          </cell>
          <cell r="K19">
            <v>38615829</v>
          </cell>
          <cell r="L19">
            <v>13</v>
          </cell>
          <cell r="M19">
            <v>6.4102564102564109E-3</v>
          </cell>
          <cell r="N19">
            <v>13119461</v>
          </cell>
          <cell r="O19">
            <v>247537</v>
          </cell>
          <cell r="P19">
            <v>13366998</v>
          </cell>
          <cell r="Q19">
            <v>29539478</v>
          </cell>
        </row>
        <row r="20">
          <cell r="A20">
            <v>16</v>
          </cell>
          <cell r="B20" t="str">
            <v>BALL MILL</v>
          </cell>
          <cell r="C20" t="str">
            <v>1991. 12</v>
          </cell>
          <cell r="D20">
            <v>1</v>
          </cell>
          <cell r="E20">
            <v>9030640</v>
          </cell>
          <cell r="F20" t="str">
            <v>연구소</v>
          </cell>
          <cell r="I20">
            <v>9030640</v>
          </cell>
          <cell r="J20">
            <v>903064</v>
          </cell>
          <cell r="K20">
            <v>8127576</v>
          </cell>
          <cell r="L20">
            <v>13</v>
          </cell>
          <cell r="M20">
            <v>6.4102564102564109E-3</v>
          </cell>
          <cell r="N20">
            <v>2761247</v>
          </cell>
          <cell r="O20">
            <v>52099</v>
          </cell>
          <cell r="P20">
            <v>2813346</v>
          </cell>
          <cell r="Q20">
            <v>6217294</v>
          </cell>
        </row>
        <row r="21">
          <cell r="A21">
            <v>17</v>
          </cell>
          <cell r="B21" t="str">
            <v>PYRO. SAW</v>
          </cell>
          <cell r="C21" t="str">
            <v>1991. 12</v>
          </cell>
          <cell r="D21">
            <v>1</v>
          </cell>
          <cell r="E21">
            <v>28840621</v>
          </cell>
          <cell r="F21" t="str">
            <v>전처리</v>
          </cell>
          <cell r="I21">
            <v>28840621</v>
          </cell>
          <cell r="J21">
            <v>2884062</v>
          </cell>
          <cell r="K21">
            <v>25956559</v>
          </cell>
          <cell r="L21">
            <v>13</v>
          </cell>
          <cell r="M21">
            <v>6.4102564102564109E-3</v>
          </cell>
          <cell r="N21">
            <v>8818564</v>
          </cell>
          <cell r="O21">
            <v>166388</v>
          </cell>
          <cell r="P21">
            <v>8984952</v>
          </cell>
          <cell r="Q21">
            <v>19855669</v>
          </cell>
        </row>
        <row r="22">
          <cell r="A22">
            <v>18</v>
          </cell>
          <cell r="B22" t="str">
            <v>2,000T PRESS</v>
          </cell>
          <cell r="C22" t="str">
            <v>1991. 12</v>
          </cell>
          <cell r="D22">
            <v>1</v>
          </cell>
          <cell r="E22">
            <v>248765637</v>
          </cell>
          <cell r="F22" t="str">
            <v>합성</v>
          </cell>
          <cell r="I22">
            <v>248765637</v>
          </cell>
          <cell r="J22">
            <v>24876563</v>
          </cell>
          <cell r="K22">
            <v>223889074</v>
          </cell>
          <cell r="L22">
            <v>13</v>
          </cell>
          <cell r="M22">
            <v>6.4102564102564109E-3</v>
          </cell>
          <cell r="N22">
            <v>76064858</v>
          </cell>
          <cell r="O22">
            <v>1435186</v>
          </cell>
          <cell r="P22">
            <v>77500044</v>
          </cell>
          <cell r="Q22">
            <v>171265593</v>
          </cell>
        </row>
        <row r="23">
          <cell r="A23">
            <v>19</v>
          </cell>
          <cell r="B23" t="str">
            <v>XY-RECORDER</v>
          </cell>
          <cell r="C23" t="str">
            <v>1991. 12</v>
          </cell>
          <cell r="D23">
            <v>1</v>
          </cell>
          <cell r="E23">
            <v>3918266</v>
          </cell>
          <cell r="F23" t="str">
            <v>생산사무실</v>
          </cell>
          <cell r="I23">
            <v>3918266</v>
          </cell>
          <cell r="J23">
            <v>391826</v>
          </cell>
          <cell r="K23">
            <v>3526440</v>
          </cell>
          <cell r="L23">
            <v>13</v>
          </cell>
          <cell r="M23">
            <v>6.4102564102564109E-3</v>
          </cell>
          <cell r="N23">
            <v>1198065</v>
          </cell>
          <cell r="O23">
            <v>22605</v>
          </cell>
          <cell r="P23">
            <v>1220670</v>
          </cell>
          <cell r="Q23">
            <v>2697596</v>
          </cell>
        </row>
        <row r="24">
          <cell r="A24">
            <v>20</v>
          </cell>
          <cell r="B24" t="str">
            <v>AIR SHIFTER</v>
          </cell>
          <cell r="C24" t="str">
            <v>1991. 12</v>
          </cell>
          <cell r="D24">
            <v>1</v>
          </cell>
          <cell r="E24">
            <v>41148013</v>
          </cell>
          <cell r="F24" t="str">
            <v>품보</v>
          </cell>
          <cell r="I24">
            <v>41148013</v>
          </cell>
          <cell r="J24">
            <v>4114801</v>
          </cell>
          <cell r="K24">
            <v>37033212</v>
          </cell>
          <cell r="L24">
            <v>13</v>
          </cell>
          <cell r="M24">
            <v>6.4102564102564109E-3</v>
          </cell>
          <cell r="N24">
            <v>12581776</v>
          </cell>
          <cell r="O24">
            <v>237392</v>
          </cell>
          <cell r="P24">
            <v>12819168</v>
          </cell>
          <cell r="Q24">
            <v>28328845</v>
          </cell>
        </row>
        <row r="25">
          <cell r="A25">
            <v>21</v>
          </cell>
          <cell r="B25" t="str">
            <v>MAGNETIC SEPERATOR</v>
          </cell>
          <cell r="C25" t="str">
            <v>1991. 12</v>
          </cell>
          <cell r="D25">
            <v>1</v>
          </cell>
          <cell r="E25">
            <v>19241675</v>
          </cell>
          <cell r="F25" t="str">
            <v>품보</v>
          </cell>
          <cell r="I25">
            <v>19241675</v>
          </cell>
          <cell r="J25">
            <v>1924167</v>
          </cell>
          <cell r="K25">
            <v>17317508</v>
          </cell>
          <cell r="L25">
            <v>13</v>
          </cell>
          <cell r="M25">
            <v>6.4102564102564109E-3</v>
          </cell>
          <cell r="N25">
            <v>5794269</v>
          </cell>
          <cell r="O25">
            <v>111009</v>
          </cell>
          <cell r="P25">
            <v>5905278</v>
          </cell>
          <cell r="Q25">
            <v>13336397</v>
          </cell>
        </row>
        <row r="26">
          <cell r="A26">
            <v>22</v>
          </cell>
          <cell r="B26" t="str">
            <v>C.I.P.</v>
          </cell>
          <cell r="C26" t="str">
            <v>1991. 12</v>
          </cell>
          <cell r="D26">
            <v>1</v>
          </cell>
          <cell r="E26">
            <v>32118862</v>
          </cell>
          <cell r="F26" t="str">
            <v>전처리</v>
          </cell>
          <cell r="I26">
            <v>32118862</v>
          </cell>
          <cell r="J26">
            <v>3211886</v>
          </cell>
          <cell r="K26">
            <v>28906976</v>
          </cell>
          <cell r="L26">
            <v>13</v>
          </cell>
          <cell r="M26">
            <v>6.4102564102564109E-3</v>
          </cell>
          <cell r="N26">
            <v>9720609</v>
          </cell>
          <cell r="O26">
            <v>185301</v>
          </cell>
          <cell r="P26">
            <v>9905910</v>
          </cell>
          <cell r="Q26">
            <v>22212952</v>
          </cell>
        </row>
        <row r="27">
          <cell r="A27">
            <v>23</v>
          </cell>
          <cell r="B27" t="str">
            <v>AIR COMP'</v>
          </cell>
          <cell r="C27" t="str">
            <v>1991. 12</v>
          </cell>
          <cell r="D27">
            <v>1</v>
          </cell>
          <cell r="E27">
            <v>160394892</v>
          </cell>
          <cell r="F27" t="str">
            <v>합성</v>
          </cell>
          <cell r="I27">
            <v>160394892</v>
          </cell>
          <cell r="J27">
            <v>16039489</v>
          </cell>
          <cell r="K27">
            <v>144355403</v>
          </cell>
          <cell r="L27">
            <v>13</v>
          </cell>
          <cell r="M27">
            <v>6.4102564102564109E-3</v>
          </cell>
          <cell r="N27">
            <v>49043815</v>
          </cell>
          <cell r="O27">
            <v>925355</v>
          </cell>
          <cell r="P27">
            <v>49969170</v>
          </cell>
          <cell r="Q27">
            <v>110425722</v>
          </cell>
        </row>
        <row r="28">
          <cell r="A28">
            <v>24</v>
          </cell>
          <cell r="B28" t="str">
            <v>TURNING LATHE</v>
          </cell>
          <cell r="C28" t="str">
            <v>1991. 12</v>
          </cell>
          <cell r="D28">
            <v>1</v>
          </cell>
          <cell r="E28">
            <v>73075068</v>
          </cell>
          <cell r="F28" t="str">
            <v>전처리</v>
          </cell>
          <cell r="I28">
            <v>73075068</v>
          </cell>
          <cell r="J28">
            <v>7307506</v>
          </cell>
          <cell r="K28">
            <v>65767562</v>
          </cell>
          <cell r="L28">
            <v>13</v>
          </cell>
          <cell r="M28">
            <v>6.4102564102564109E-3</v>
          </cell>
          <cell r="N28">
            <v>22344058</v>
          </cell>
          <cell r="O28">
            <v>421586</v>
          </cell>
          <cell r="P28">
            <v>22765644</v>
          </cell>
          <cell r="Q28">
            <v>50309424</v>
          </cell>
        </row>
        <row r="29">
          <cell r="A29">
            <v>25</v>
          </cell>
          <cell r="B29" t="str">
            <v>V-TYPE MIXER외</v>
          </cell>
          <cell r="C29" t="str">
            <v>1991. 12</v>
          </cell>
          <cell r="D29">
            <v>1</v>
          </cell>
          <cell r="E29">
            <v>99588546</v>
          </cell>
          <cell r="F29" t="str">
            <v>합성</v>
          </cell>
          <cell r="I29">
            <v>99588546</v>
          </cell>
          <cell r="J29">
            <v>9958854</v>
          </cell>
          <cell r="K29">
            <v>89629692</v>
          </cell>
          <cell r="L29">
            <v>13</v>
          </cell>
          <cell r="M29">
            <v>6.4102564102564109E-3</v>
          </cell>
          <cell r="N29">
            <v>29630135</v>
          </cell>
          <cell r="O29">
            <v>574549</v>
          </cell>
          <cell r="P29">
            <v>30204684</v>
          </cell>
          <cell r="Q29">
            <v>69383862</v>
          </cell>
        </row>
        <row r="30">
          <cell r="A30">
            <v>26</v>
          </cell>
          <cell r="B30" t="str">
            <v>MICRO SCIVE외</v>
          </cell>
          <cell r="C30" t="str">
            <v>1991. 12</v>
          </cell>
          <cell r="D30">
            <v>1</v>
          </cell>
          <cell r="E30">
            <v>76314575</v>
          </cell>
          <cell r="F30" t="str">
            <v>전처리</v>
          </cell>
          <cell r="I30">
            <v>76314575</v>
          </cell>
          <cell r="J30">
            <v>7631457</v>
          </cell>
          <cell r="K30">
            <v>68683118</v>
          </cell>
          <cell r="L30">
            <v>13</v>
          </cell>
          <cell r="M30">
            <v>6.4102564102564109E-3</v>
          </cell>
          <cell r="N30">
            <v>19475008</v>
          </cell>
          <cell r="O30">
            <v>440276</v>
          </cell>
          <cell r="P30">
            <v>19915284</v>
          </cell>
          <cell r="Q30">
            <v>56399291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K-1"/>
      <sheetName val="BANK-2"/>
      <sheetName val="BANK-3"/>
      <sheetName val="BANK-4"/>
      <sheetName val="CASH"/>
      <sheetName val="Voucher Bank Masuk n keluar"/>
      <sheetName val="Voucher Kas masuk n keluar"/>
      <sheetName val="Simpanan"/>
      <sheetName val="Pinjaman"/>
      <sheetName val="KARTU SIMPANAN"/>
      <sheetName val="KARTU PINJAMAN"/>
      <sheetName val="form Daftar"/>
      <sheetName val="Member Card (Depan)"/>
      <sheetName val="Member Card (Belakang)"/>
      <sheetName val="Form Pinjam"/>
      <sheetName val="kwitansi"/>
      <sheetName val="감가상각"/>
      <sheetName val="Intro"/>
      <sheetName val="2001Org"/>
      <sheetName val="comm"/>
      <sheetName val="뒤차축소"/>
      <sheetName val="Macro1"/>
      <sheetName val="A1"/>
      <sheetName val="보증금"/>
      <sheetName val="TEMP1"/>
      <sheetName val="TEMP2"/>
      <sheetName val="여신보고용"/>
      <sheetName val="수정시산표"/>
      <sheetName val="maccp04"/>
      <sheetName val="매출(영업 VS 경리)"/>
      <sheetName val="MatchCode"/>
      <sheetName val="TBclosing"/>
      <sheetName val="BS"/>
      <sheetName val="보험료"/>
      <sheetName val="손익계산서 raw data"/>
      <sheetName val="25.보증금(임차보증금외)"/>
      <sheetName val="기초해지2"/>
      <sheetName val="기초해지"/>
      <sheetName val="손익내역전년"/>
      <sheetName val="0-Basics"/>
      <sheetName val="Purchase by supplier"/>
      <sheetName val="Purchase by category"/>
      <sheetName val="CAUDIT"/>
      <sheetName val="기준정보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유형자산증감"/>
      <sheetName val="Sheet1"/>
      <sheetName val="신기술(비상장)0412"/>
      <sheetName val="리드"/>
      <sheetName val="후순위채05.01.20"/>
      <sheetName val="MAT_N048"/>
      <sheetName val="XREF"/>
      <sheetName val="RR Allocation"/>
      <sheetName val="금융소득종합과세"/>
      <sheetName val="근로소득세2001"/>
      <sheetName val="퇴충98"/>
      <sheetName val="별표 "/>
      <sheetName val="참조"/>
      <sheetName val="Sheet3"/>
      <sheetName val="시산표"/>
      <sheetName val="5월경비_영업외비용"/>
      <sheetName val="검산금액"/>
      <sheetName val="선수보증금"/>
      <sheetName val="Sheet5"/>
      <sheetName val="연체일수"/>
      <sheetName val="잔가합계"/>
      <sheetName val="Sheet6"/>
      <sheetName val="중도해지진행업체"/>
      <sheetName val="부서별"/>
      <sheetName val="재료비"/>
      <sheetName val="경비"/>
      <sheetName val="회사정보"/>
      <sheetName val="98실적"/>
      <sheetName val="F45"/>
      <sheetName val="Assumptions"/>
      <sheetName val="ControlPanel"/>
      <sheetName val="P&amp;L"/>
      <sheetName val="013199"/>
      <sheetName val="Dart_BS"/>
      <sheetName val="Dart_P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">
          <cell r="B4" t="str">
            <v>No.</v>
          </cell>
          <cell r="C4" t="str">
            <v>Simpanan</v>
          </cell>
          <cell r="D4">
            <v>1</v>
          </cell>
          <cell r="E4">
            <v>2</v>
          </cell>
          <cell r="F4">
            <v>3</v>
          </cell>
          <cell r="G4">
            <v>4</v>
          </cell>
          <cell r="H4">
            <v>5</v>
          </cell>
          <cell r="I4">
            <v>6</v>
          </cell>
          <cell r="J4">
            <v>7</v>
          </cell>
          <cell r="K4">
            <v>8</v>
          </cell>
          <cell r="L4">
            <v>9</v>
          </cell>
          <cell r="M4">
            <v>10</v>
          </cell>
          <cell r="N4">
            <v>11</v>
          </cell>
          <cell r="O4">
            <v>12</v>
          </cell>
          <cell r="P4">
            <v>13</v>
          </cell>
          <cell r="Q4">
            <v>14</v>
          </cell>
          <cell r="R4">
            <v>15</v>
          </cell>
          <cell r="S4">
            <v>16</v>
          </cell>
          <cell r="T4">
            <v>17</v>
          </cell>
          <cell r="U4">
            <v>18</v>
          </cell>
          <cell r="V4">
            <v>19</v>
          </cell>
          <cell r="W4">
            <v>20</v>
          </cell>
          <cell r="X4">
            <v>21</v>
          </cell>
          <cell r="Y4">
            <v>22</v>
          </cell>
          <cell r="Z4">
            <v>23</v>
          </cell>
          <cell r="AA4">
            <v>24</v>
          </cell>
          <cell r="AB4">
            <v>25</v>
          </cell>
          <cell r="AC4">
            <v>26</v>
          </cell>
          <cell r="AD4">
            <v>27</v>
          </cell>
          <cell r="AE4">
            <v>28</v>
          </cell>
          <cell r="AF4">
            <v>29</v>
          </cell>
          <cell r="AG4">
            <v>30</v>
          </cell>
          <cell r="AH4">
            <v>31</v>
          </cell>
          <cell r="AI4">
            <v>32</v>
          </cell>
          <cell r="AJ4">
            <v>33</v>
          </cell>
          <cell r="AK4">
            <v>34</v>
          </cell>
          <cell r="AL4">
            <v>35</v>
          </cell>
          <cell r="AM4">
            <v>36</v>
          </cell>
          <cell r="AN4">
            <v>37</v>
          </cell>
          <cell r="AO4">
            <v>38</v>
          </cell>
          <cell r="AP4">
            <v>39</v>
          </cell>
          <cell r="AQ4">
            <v>40</v>
          </cell>
          <cell r="AR4">
            <v>41</v>
          </cell>
          <cell r="AS4">
            <v>42</v>
          </cell>
        </row>
        <row r="5">
          <cell r="D5" t="str">
            <v>A001</v>
          </cell>
          <cell r="E5" t="str">
            <v>A002</v>
          </cell>
          <cell r="F5" t="str">
            <v>A003</v>
          </cell>
          <cell r="G5" t="str">
            <v>A004</v>
          </cell>
          <cell r="H5" t="str">
            <v>A005</v>
          </cell>
          <cell r="I5" t="str">
            <v>A006</v>
          </cell>
          <cell r="J5" t="str">
            <v>A007</v>
          </cell>
          <cell r="K5" t="str">
            <v>A008</v>
          </cell>
          <cell r="L5" t="str">
            <v>A009</v>
          </cell>
          <cell r="M5" t="str">
            <v>A010</v>
          </cell>
          <cell r="N5" t="str">
            <v>A011</v>
          </cell>
          <cell r="O5" t="str">
            <v>A012</v>
          </cell>
          <cell r="P5" t="str">
            <v>A013</v>
          </cell>
          <cell r="Q5" t="str">
            <v>A014</v>
          </cell>
          <cell r="R5" t="str">
            <v>A015</v>
          </cell>
          <cell r="S5" t="str">
            <v>A016</v>
          </cell>
          <cell r="T5" t="str">
            <v>A017</v>
          </cell>
          <cell r="U5" t="str">
            <v>A018</v>
          </cell>
          <cell r="V5" t="str">
            <v>A019</v>
          </cell>
          <cell r="W5" t="str">
            <v>A020</v>
          </cell>
          <cell r="X5" t="str">
            <v>A021</v>
          </cell>
          <cell r="Y5" t="str">
            <v>A022</v>
          </cell>
          <cell r="Z5" t="str">
            <v>A023</v>
          </cell>
          <cell r="AA5" t="str">
            <v>A024</v>
          </cell>
          <cell r="AB5" t="str">
            <v>A025</v>
          </cell>
          <cell r="AC5" t="str">
            <v>A026</v>
          </cell>
          <cell r="AD5" t="str">
            <v>A027</v>
          </cell>
          <cell r="AE5" t="str">
            <v>A028</v>
          </cell>
          <cell r="AF5" t="str">
            <v>A029</v>
          </cell>
          <cell r="AG5" t="str">
            <v>A030</v>
          </cell>
          <cell r="AH5" t="str">
            <v>A031</v>
          </cell>
          <cell r="AI5" t="str">
            <v>A032</v>
          </cell>
          <cell r="AJ5" t="str">
            <v>A033</v>
          </cell>
          <cell r="AK5" t="str">
            <v>A034</v>
          </cell>
          <cell r="AL5" t="str">
            <v>A035</v>
          </cell>
          <cell r="AM5" t="str">
            <v>A036</v>
          </cell>
          <cell r="AN5" t="str">
            <v>A037</v>
          </cell>
          <cell r="AO5" t="str">
            <v>A038</v>
          </cell>
          <cell r="AP5" t="str">
            <v>A039</v>
          </cell>
          <cell r="AQ5" t="str">
            <v>A040</v>
          </cell>
          <cell r="AR5" t="str">
            <v>A041</v>
          </cell>
          <cell r="AS5" t="str">
            <v>A042</v>
          </cell>
        </row>
        <row r="6">
          <cell r="C6" t="str">
            <v>Nama</v>
          </cell>
          <cell r="D6" t="str">
            <v>nama anggota1</v>
          </cell>
          <cell r="E6" t="str">
            <v>nama anggota2</v>
          </cell>
          <cell r="F6" t="str">
            <v>nama anggota3</v>
          </cell>
          <cell r="G6" t="str">
            <v>nama anggota4</v>
          </cell>
          <cell r="H6" t="str">
            <v>nama anggota5</v>
          </cell>
          <cell r="I6" t="str">
            <v>nama anggota6</v>
          </cell>
          <cell r="J6" t="str">
            <v>nama anggota7</v>
          </cell>
          <cell r="K6" t="str">
            <v>nama anggota8</v>
          </cell>
          <cell r="L6" t="str">
            <v>nama anggota9</v>
          </cell>
          <cell r="M6" t="str">
            <v>nama anggota10</v>
          </cell>
          <cell r="N6" t="str">
            <v>nama anggota11</v>
          </cell>
          <cell r="O6" t="str">
            <v>nama anggota12</v>
          </cell>
          <cell r="P6" t="str">
            <v>nama anggota13</v>
          </cell>
          <cell r="Q6" t="str">
            <v>nama anggota14</v>
          </cell>
          <cell r="R6" t="str">
            <v>nama anggota15</v>
          </cell>
          <cell r="S6" t="str">
            <v>nama anggota16</v>
          </cell>
          <cell r="T6" t="str">
            <v>nama anggota17</v>
          </cell>
          <cell r="U6" t="str">
            <v>nama anggota18</v>
          </cell>
          <cell r="V6" t="str">
            <v>nama anggota19</v>
          </cell>
          <cell r="W6" t="str">
            <v>nama anggota20</v>
          </cell>
          <cell r="X6" t="str">
            <v>nama anggota21</v>
          </cell>
          <cell r="Y6" t="str">
            <v>nama anggota22</v>
          </cell>
          <cell r="Z6" t="str">
            <v>nama anggota23</v>
          </cell>
          <cell r="AA6" t="str">
            <v>nama anggota24</v>
          </cell>
          <cell r="AB6" t="str">
            <v>nama anggota25</v>
          </cell>
          <cell r="AC6" t="str">
            <v>nama anggota26</v>
          </cell>
          <cell r="AD6" t="str">
            <v>nama anggota27</v>
          </cell>
          <cell r="AE6" t="str">
            <v>nama anggota28</v>
          </cell>
          <cell r="AF6" t="str">
            <v>nama anggota29</v>
          </cell>
          <cell r="AG6" t="str">
            <v>nama anggota30</v>
          </cell>
          <cell r="AH6" t="str">
            <v>nama anggota31</v>
          </cell>
          <cell r="AI6" t="str">
            <v>nama anggota32</v>
          </cell>
          <cell r="AJ6" t="str">
            <v>nama anggota33</v>
          </cell>
          <cell r="AK6" t="str">
            <v>nama anggota34</v>
          </cell>
          <cell r="AL6" t="str">
            <v>nama anggota35</v>
          </cell>
          <cell r="AM6" t="str">
            <v>nama anggota36</v>
          </cell>
          <cell r="AN6" t="str">
            <v>nama anggota37</v>
          </cell>
          <cell r="AO6" t="str">
            <v>nama anggota38</v>
          </cell>
          <cell r="AP6" t="str">
            <v>nama anggota39</v>
          </cell>
          <cell r="AQ6" t="str">
            <v>nama anggota40</v>
          </cell>
          <cell r="AR6" t="str">
            <v>nama anggota41</v>
          </cell>
          <cell r="AS6" t="str">
            <v>nama anggota42</v>
          </cell>
        </row>
        <row r="7">
          <cell r="C7" t="str">
            <v>Start Date</v>
          </cell>
          <cell r="D7" t="str">
            <v>1/15/11</v>
          </cell>
        </row>
        <row r="8">
          <cell r="B8">
            <v>1</v>
          </cell>
          <cell r="C8" t="str">
            <v>Pokok</v>
          </cell>
          <cell r="D8">
            <v>500000</v>
          </cell>
          <cell r="E8">
            <v>500000</v>
          </cell>
        </row>
        <row r="9">
          <cell r="B9">
            <v>2</v>
          </cell>
          <cell r="C9" t="str">
            <v>Wajib / Sukarela</v>
          </cell>
        </row>
        <row r="10">
          <cell r="B10">
            <v>3</v>
          </cell>
          <cell r="C10" t="str">
            <v>January</v>
          </cell>
          <cell r="D10">
            <v>50000</v>
          </cell>
          <cell r="E10">
            <v>50000</v>
          </cell>
        </row>
        <row r="11">
          <cell r="B11">
            <v>4</v>
          </cell>
          <cell r="C11" t="str">
            <v>February</v>
          </cell>
          <cell r="D11">
            <v>50000</v>
          </cell>
          <cell r="E11">
            <v>50000</v>
          </cell>
        </row>
        <row r="12">
          <cell r="B12">
            <v>5</v>
          </cell>
          <cell r="C12" t="str">
            <v>March</v>
          </cell>
          <cell r="D12">
            <v>50000</v>
          </cell>
        </row>
        <row r="13">
          <cell r="B13">
            <v>6</v>
          </cell>
          <cell r="C13" t="str">
            <v>April</v>
          </cell>
        </row>
        <row r="14">
          <cell r="B14">
            <v>7</v>
          </cell>
          <cell r="C14" t="str">
            <v>May</v>
          </cell>
        </row>
        <row r="15">
          <cell r="B15">
            <v>8</v>
          </cell>
          <cell r="C15" t="str">
            <v>June</v>
          </cell>
        </row>
        <row r="16">
          <cell r="B16">
            <v>9</v>
          </cell>
          <cell r="C16" t="str">
            <v>July</v>
          </cell>
        </row>
        <row r="17">
          <cell r="B17">
            <v>10</v>
          </cell>
          <cell r="C17" t="str">
            <v>August</v>
          </cell>
        </row>
        <row r="18">
          <cell r="B18">
            <v>11</v>
          </cell>
          <cell r="C18" t="str">
            <v>September</v>
          </cell>
        </row>
        <row r="19">
          <cell r="B19">
            <v>12</v>
          </cell>
          <cell r="C19" t="str">
            <v>October</v>
          </cell>
        </row>
        <row r="20">
          <cell r="B20">
            <v>13</v>
          </cell>
          <cell r="C20" t="str">
            <v>November</v>
          </cell>
        </row>
        <row r="21">
          <cell r="B21">
            <v>14</v>
          </cell>
          <cell r="C21" t="str">
            <v>December</v>
          </cell>
        </row>
        <row r="23">
          <cell r="C23" t="str">
            <v>Total</v>
          </cell>
          <cell r="D23">
            <v>650000</v>
          </cell>
          <cell r="E23">
            <v>600000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</row>
      </sheetData>
      <sheetData sheetId="8">
        <row r="4">
          <cell r="B4" t="str">
            <v>No.</v>
          </cell>
          <cell r="C4" t="str">
            <v>Simpanan</v>
          </cell>
          <cell r="D4">
            <v>1</v>
          </cell>
          <cell r="E4">
            <v>2</v>
          </cell>
          <cell r="F4">
            <v>3</v>
          </cell>
          <cell r="G4">
            <v>4</v>
          </cell>
          <cell r="H4">
            <v>5</v>
          </cell>
          <cell r="I4">
            <v>6</v>
          </cell>
          <cell r="J4">
            <v>7</v>
          </cell>
          <cell r="K4">
            <v>8</v>
          </cell>
          <cell r="L4">
            <v>9</v>
          </cell>
          <cell r="M4">
            <v>10</v>
          </cell>
          <cell r="N4">
            <v>11</v>
          </cell>
          <cell r="O4">
            <v>12</v>
          </cell>
          <cell r="P4">
            <v>13</v>
          </cell>
          <cell r="Q4">
            <v>14</v>
          </cell>
          <cell r="R4">
            <v>15</v>
          </cell>
          <cell r="S4">
            <v>16</v>
          </cell>
          <cell r="T4">
            <v>17</v>
          </cell>
          <cell r="U4">
            <v>18</v>
          </cell>
          <cell r="V4">
            <v>19</v>
          </cell>
          <cell r="W4">
            <v>20</v>
          </cell>
          <cell r="X4">
            <v>21</v>
          </cell>
          <cell r="Y4">
            <v>22</v>
          </cell>
          <cell r="Z4">
            <v>23</v>
          </cell>
          <cell r="AA4">
            <v>24</v>
          </cell>
          <cell r="AB4">
            <v>25</v>
          </cell>
          <cell r="AC4">
            <v>26</v>
          </cell>
          <cell r="AD4">
            <v>27</v>
          </cell>
          <cell r="AE4">
            <v>28</v>
          </cell>
          <cell r="AF4">
            <v>29</v>
          </cell>
          <cell r="AG4">
            <v>30</v>
          </cell>
          <cell r="AH4">
            <v>31</v>
          </cell>
          <cell r="AI4">
            <v>32</v>
          </cell>
          <cell r="AJ4">
            <v>33</v>
          </cell>
          <cell r="AK4">
            <v>34</v>
          </cell>
          <cell r="AL4">
            <v>35</v>
          </cell>
          <cell r="AM4">
            <v>36</v>
          </cell>
          <cell r="AN4">
            <v>37</v>
          </cell>
          <cell r="AO4">
            <v>38</v>
          </cell>
          <cell r="AP4">
            <v>39</v>
          </cell>
          <cell r="AQ4">
            <v>40</v>
          </cell>
          <cell r="AR4">
            <v>41</v>
          </cell>
          <cell r="AS4">
            <v>42</v>
          </cell>
        </row>
        <row r="5">
          <cell r="D5" t="str">
            <v>A001</v>
          </cell>
          <cell r="E5" t="str">
            <v>A002</v>
          </cell>
          <cell r="F5" t="str">
            <v>A003</v>
          </cell>
          <cell r="G5" t="str">
            <v>A004</v>
          </cell>
          <cell r="H5" t="str">
            <v>A005</v>
          </cell>
          <cell r="I5" t="str">
            <v>A006</v>
          </cell>
          <cell r="J5" t="str">
            <v>A007</v>
          </cell>
          <cell r="K5" t="str">
            <v>A008</v>
          </cell>
          <cell r="L5" t="str">
            <v>A009</v>
          </cell>
          <cell r="M5" t="str">
            <v>A010</v>
          </cell>
          <cell r="N5" t="str">
            <v>A011</v>
          </cell>
          <cell r="O5" t="str">
            <v>A012</v>
          </cell>
          <cell r="P5" t="str">
            <v>A013</v>
          </cell>
          <cell r="Q5" t="str">
            <v>A014</v>
          </cell>
          <cell r="R5" t="str">
            <v>A015</v>
          </cell>
          <cell r="S5" t="str">
            <v>A016</v>
          </cell>
          <cell r="T5" t="str">
            <v>A017</v>
          </cell>
          <cell r="U5" t="str">
            <v>A018</v>
          </cell>
          <cell r="V5" t="str">
            <v>A019</v>
          </cell>
          <cell r="W5" t="str">
            <v>A020</v>
          </cell>
          <cell r="X5" t="str">
            <v>A021</v>
          </cell>
          <cell r="Y5" t="str">
            <v>A022</v>
          </cell>
          <cell r="Z5" t="str">
            <v>A023</v>
          </cell>
          <cell r="AA5" t="str">
            <v>A024</v>
          </cell>
          <cell r="AB5" t="str">
            <v>A025</v>
          </cell>
          <cell r="AC5" t="str">
            <v>A026</v>
          </cell>
          <cell r="AD5" t="str">
            <v>A027</v>
          </cell>
          <cell r="AE5" t="str">
            <v>A028</v>
          </cell>
          <cell r="AF5" t="str">
            <v>A029</v>
          </cell>
          <cell r="AG5" t="str">
            <v>A030</v>
          </cell>
          <cell r="AH5" t="str">
            <v>A031</v>
          </cell>
          <cell r="AI5" t="str">
            <v>A032</v>
          </cell>
          <cell r="AJ5" t="str">
            <v>A033</v>
          </cell>
          <cell r="AK5" t="str">
            <v>A034</v>
          </cell>
          <cell r="AL5" t="str">
            <v>A035</v>
          </cell>
          <cell r="AM5" t="str">
            <v>A036</v>
          </cell>
          <cell r="AN5" t="str">
            <v>A037</v>
          </cell>
          <cell r="AO5" t="str">
            <v>A038</v>
          </cell>
          <cell r="AP5" t="str">
            <v>A039</v>
          </cell>
          <cell r="AQ5" t="str">
            <v>A040</v>
          </cell>
          <cell r="AR5" t="str">
            <v>A041</v>
          </cell>
          <cell r="AS5" t="str">
            <v>A042</v>
          </cell>
        </row>
        <row r="6">
          <cell r="C6" t="str">
            <v>Nama</v>
          </cell>
          <cell r="D6" t="str">
            <v>nama anggota1</v>
          </cell>
          <cell r="E6" t="str">
            <v>nama anggota2</v>
          </cell>
          <cell r="F6" t="str">
            <v>nama anggota3</v>
          </cell>
          <cell r="G6" t="str">
            <v>nama anggota4</v>
          </cell>
          <cell r="H6" t="str">
            <v>nama anggota5</v>
          </cell>
          <cell r="I6" t="str">
            <v>nama anggota6</v>
          </cell>
          <cell r="J6" t="str">
            <v>nama anggota7</v>
          </cell>
          <cell r="K6" t="str">
            <v>nama anggota8</v>
          </cell>
          <cell r="L6" t="str">
            <v>nama anggota9</v>
          </cell>
          <cell r="M6" t="str">
            <v>nama anggota10</v>
          </cell>
          <cell r="N6" t="str">
            <v>nama anggota11</v>
          </cell>
          <cell r="O6" t="str">
            <v>nama anggota12</v>
          </cell>
          <cell r="P6" t="str">
            <v>nama anggota13</v>
          </cell>
          <cell r="Q6" t="str">
            <v>nama anggota14</v>
          </cell>
          <cell r="R6" t="str">
            <v>nama anggota15</v>
          </cell>
          <cell r="S6" t="str">
            <v>nama anggota16</v>
          </cell>
          <cell r="T6" t="str">
            <v>nama anggota17</v>
          </cell>
          <cell r="U6" t="str">
            <v>nama anggota18</v>
          </cell>
          <cell r="V6" t="str">
            <v>nama anggota19</v>
          </cell>
          <cell r="W6" t="str">
            <v>nama anggota20</v>
          </cell>
          <cell r="X6" t="str">
            <v>nama anggota21</v>
          </cell>
          <cell r="Y6" t="str">
            <v>nama anggota22</v>
          </cell>
          <cell r="Z6" t="str">
            <v>nama anggota23</v>
          </cell>
          <cell r="AA6" t="str">
            <v>nama anggota24</v>
          </cell>
          <cell r="AB6" t="str">
            <v>nama anggota25</v>
          </cell>
          <cell r="AC6" t="str">
            <v>nama anggota26</v>
          </cell>
          <cell r="AD6" t="str">
            <v>nama anggota27</v>
          </cell>
          <cell r="AE6" t="str">
            <v>nama anggota28</v>
          </cell>
          <cell r="AF6" t="str">
            <v>nama anggota29</v>
          </cell>
          <cell r="AG6" t="str">
            <v>nama anggota30</v>
          </cell>
          <cell r="AH6" t="str">
            <v>nama anggota31</v>
          </cell>
          <cell r="AI6" t="str">
            <v>nama anggota32</v>
          </cell>
          <cell r="AJ6" t="str">
            <v>nama anggota33</v>
          </cell>
          <cell r="AK6" t="str">
            <v>nama anggota34</v>
          </cell>
          <cell r="AL6" t="str">
            <v>nama anggota35</v>
          </cell>
          <cell r="AM6" t="str">
            <v>nama anggota36</v>
          </cell>
          <cell r="AN6" t="str">
            <v>nama anggota37</v>
          </cell>
          <cell r="AO6" t="str">
            <v>nama anggota38</v>
          </cell>
          <cell r="AP6" t="str">
            <v>nama anggota39</v>
          </cell>
          <cell r="AQ6" t="str">
            <v>nama anggota40</v>
          </cell>
          <cell r="AR6" t="str">
            <v>nama anggota41</v>
          </cell>
          <cell r="AS6" t="str">
            <v>nama anggota42</v>
          </cell>
        </row>
        <row r="7">
          <cell r="C7" t="str">
            <v>Start Date</v>
          </cell>
          <cell r="D7" t="str">
            <v>1/15/11</v>
          </cell>
        </row>
        <row r="8">
          <cell r="B8">
            <v>1</v>
          </cell>
          <cell r="C8" t="str">
            <v>January</v>
          </cell>
          <cell r="D8">
            <v>2000000</v>
          </cell>
        </row>
        <row r="9">
          <cell r="B9">
            <v>2</v>
          </cell>
          <cell r="C9" t="str">
            <v>February</v>
          </cell>
        </row>
        <row r="10">
          <cell r="B10">
            <v>3</v>
          </cell>
          <cell r="C10" t="str">
            <v>March</v>
          </cell>
        </row>
        <row r="11">
          <cell r="B11">
            <v>4</v>
          </cell>
          <cell r="C11" t="str">
            <v>April</v>
          </cell>
        </row>
        <row r="12">
          <cell r="B12">
            <v>5</v>
          </cell>
          <cell r="C12" t="str">
            <v>May</v>
          </cell>
        </row>
        <row r="13">
          <cell r="B13">
            <v>6</v>
          </cell>
          <cell r="C13" t="str">
            <v>June</v>
          </cell>
        </row>
        <row r="14">
          <cell r="B14">
            <v>7</v>
          </cell>
          <cell r="C14" t="str">
            <v>July</v>
          </cell>
        </row>
        <row r="15">
          <cell r="B15">
            <v>8</v>
          </cell>
          <cell r="C15" t="str">
            <v>August</v>
          </cell>
        </row>
        <row r="16">
          <cell r="B16">
            <v>9</v>
          </cell>
          <cell r="C16" t="str">
            <v>September</v>
          </cell>
        </row>
        <row r="17">
          <cell r="B17">
            <v>10</v>
          </cell>
          <cell r="C17" t="str">
            <v>October</v>
          </cell>
        </row>
        <row r="18">
          <cell r="B18">
            <v>11</v>
          </cell>
          <cell r="C18" t="str">
            <v>November</v>
          </cell>
        </row>
        <row r="19">
          <cell r="B19">
            <v>12</v>
          </cell>
          <cell r="C19" t="str">
            <v>December</v>
          </cell>
        </row>
        <row r="21">
          <cell r="C21" t="str">
            <v>Total</v>
          </cell>
          <cell r="D21">
            <v>2000000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"/>
      <sheetName val="PRODUCTION REPORTS"/>
      <sheetName val="MASTER"/>
      <sheetName val="ANIMATION ONLY"/>
      <sheetName val="CONCEP-STREET"/>
      <sheetName val="ANIMATION COST FORECAST"/>
      <sheetName val="WEEKLY"/>
      <sheetName val="Sheet1"/>
      <sheetName val="EXTERNAL ANIMATION"/>
      <sheetName val="LMA"/>
      <sheetName val="CA"/>
      <sheetName val="2D_REPNew2.4"/>
      <sheetName val="Calcs"/>
      <sheetName val="Engineering Workload"/>
      <sheetName val="1152000"/>
      <sheetName val="EXTERNA_x0000__x0000_ANIMATION"/>
      <sheetName val="ASUMPTION"/>
      <sheetName val="KSO-Revenue"/>
      <sheetName val="EXTERNA??ANIMATION"/>
      <sheetName val="General Info"/>
      <sheetName val="2003 ACT CFlow"/>
      <sheetName val="2003 BGT C Flow"/>
      <sheetName val="HO Use"/>
      <sheetName val="KONS BID P&amp;N"/>
      <sheetName val="UP II DUMAI"/>
      <sheetName val="KP.DIT.HULU"/>
      <sheetName val="UP VI BALONGAN"/>
      <sheetName val="KPC"/>
      <sheetName val="PRABUMULIH"/>
      <sheetName val="UP 1 BRANDAN"/>
      <sheetName val="UP V BALIKPAPAN"/>
      <sheetName val="OPSEN"/>
      <sheetName val="SIBAYAK"/>
      <sheetName val="DIT HILIR"/>
      <sheetName val="KAMOJANG"/>
      <sheetName val="UP IV CILACAP"/>
      <sheetName val="UP III PLAJU"/>
      <sheetName val="SORONG"/>
      <sheetName val="KONS DIT HULU"/>
      <sheetName val="RANTAU"/>
      <sheetName val="JAMBI"/>
      <sheetName val="KR.AMPEL"/>
      <sheetName val="CEPU"/>
      <sheetName val="SANGATA-BUNYU"/>
      <sheetName val="UP VII KASIM"/>
      <sheetName val="KONS BID P"/>
      <sheetName val="ANGGARAN"/>
      <sheetName val="BODP-16KOLOM"/>
      <sheetName val="PriceList"/>
      <sheetName val="CTIPricing"/>
      <sheetName val="Input"/>
      <sheetName val="PlatformList"/>
      <sheetName val="Table 5"/>
      <sheetName val="EXTERNA_x005f_x0000__x005f_x0000_ANIMATION"/>
      <sheetName val="Income Statement"/>
      <sheetName val="Adj"/>
      <sheetName val="PRODUCTION_REPORTS"/>
      <sheetName val="ANIMATION_ONLY"/>
      <sheetName val="ANIMATION_COST_FORECAST"/>
      <sheetName val="EXTERNAL_ANIMATION"/>
      <sheetName val="KONS_BID_P&amp;N"/>
      <sheetName val="UP_II_DUMAI"/>
      <sheetName val="KP_DIT_HULU"/>
      <sheetName val="UP_VI_BALONGAN"/>
      <sheetName val="UP_1_BRANDAN"/>
      <sheetName val="UP_V_BALIKPAPAN"/>
      <sheetName val="DIT_HILIR"/>
      <sheetName val="UP_IV_CILACAP"/>
      <sheetName val="UP_III_PLAJU"/>
      <sheetName val="KONS_DIT_HULU"/>
      <sheetName val="KR_AMPEL"/>
      <sheetName val="UP_VII_KASIM"/>
      <sheetName val="KONS_BID_P"/>
      <sheetName val="2003_ACT_CFlow"/>
      <sheetName val="2003_BGT_C_Flow"/>
      <sheetName val="HO_Use"/>
      <sheetName val="General_Info"/>
      <sheetName val="Engineering_Workload"/>
      <sheetName val="EXRA"/>
      <sheetName val="NB UNIT3"/>
      <sheetName val="Monthly"/>
      <sheetName val="gvl"/>
      <sheetName val="summary"/>
      <sheetName val="EXTERNA"/>
      <sheetName val="Ref"/>
      <sheetName val="cash flow"/>
      <sheetName val="admin"/>
      <sheetName val="PRODUCTION_REPORTS1"/>
      <sheetName val="ANIMATION_ONLY1"/>
      <sheetName val="ANIMATION_COST_FORECAST1"/>
      <sheetName val="EXTERNAL_ANIMATION1"/>
      <sheetName val="2D_REPNew2_4"/>
      <sheetName val="Engineering_Workload1"/>
      <sheetName val="General_Info1"/>
      <sheetName val="2003_ACT_CFlow1"/>
      <sheetName val="2003_BGT_C_Flow1"/>
      <sheetName val="HO_Use1"/>
      <sheetName val="KONS_BID_P&amp;N1"/>
      <sheetName val="UP_II_DUMAI1"/>
      <sheetName val="KP_DIT_HULU1"/>
      <sheetName val="UP_VI_BALONGAN1"/>
      <sheetName val="UP_1_BRANDAN1"/>
      <sheetName val="UP_V_BALIKPAPAN1"/>
      <sheetName val="DIT_HILIR1"/>
      <sheetName val="UP_IV_CILACAP1"/>
      <sheetName val="UP_III_PLAJU1"/>
      <sheetName val="KONS_DIT_HULU1"/>
      <sheetName val="KR_AMPEL1"/>
      <sheetName val="UP_VII_KASIM1"/>
      <sheetName val="KONS_BID_P1"/>
      <sheetName val="Table_5"/>
      <sheetName val="Income_Statement"/>
      <sheetName val="NB_UNIT3"/>
      <sheetName val="WorkGroup"/>
      <sheetName val="Master Employee"/>
      <sheetName val="Sheet2"/>
      <sheetName val="Komposisi"/>
      <sheetName val="IN"/>
      <sheetName val="OUT"/>
      <sheetName val="List Pemutihan"/>
      <sheetName val="PKL &amp; KONTRAKTOR"/>
      <sheetName val="Penyusutan Kendaraan"/>
      <sheetName val="SLS-TGT-FEED (FDM)"/>
      <sheetName val="TB0"/>
      <sheetName val="2-asi-00"/>
      <sheetName val="Rates"/>
      <sheetName val="summary-final"/>
      <sheetName val="Iss Jrn"/>
      <sheetName val="Report"/>
      <sheetName val="TABEL"/>
      <sheetName val="EXTERNA__ANIMATION"/>
      <sheetName val="List Pilihan"/>
      <sheetName val="Tables"/>
      <sheetName val="Altman Z Score"/>
      <sheetName val="A"/>
      <sheetName val="FAKTOR"/>
      <sheetName val="CRITERIA2"/>
      <sheetName val="Coll Bulan ini"/>
      <sheetName val="Coll Bulan lalu"/>
      <sheetName val="Renc Bulan ini"/>
      <sheetName val="Renc Bulan Lalu"/>
      <sheetName val="Okt"/>
      <sheetName val="Stock Report"/>
      <sheetName val="lookup table"/>
      <sheetName val="SCH 3"/>
      <sheetName val="Instructions"/>
      <sheetName val="BBM-03"/>
      <sheetName val="TB"/>
      <sheetName val="C O A"/>
      <sheetName val="WS"/>
      <sheetName val="List of related party"/>
      <sheetName val="rekap pph 23"/>
      <sheetName val="21 &amp; 25"/>
      <sheetName val="PPN"/>
      <sheetName val="hiden"/>
      <sheetName val="PERSONAL"/>
      <sheetName val="absen kebun 28"/>
      <sheetName val="absen panen 28"/>
      <sheetName val="UPAH 28"/>
      <sheetName val="INDIRECT DETAIL"/>
      <sheetName val="FA-0800"/>
      <sheetName val="BS-RTI"/>
      <sheetName val="EXTERNA_x005f_x005f_x005f_x0000__x005f_x005f_x000"/>
      <sheetName val="FAB별"/>
      <sheetName val="Project Code 관리"/>
      <sheetName val="Desplegable"/>
      <sheetName val="Function"/>
      <sheetName val="목록데이터"/>
      <sheetName val="PFA"/>
      <sheetName val="R_Category"/>
      <sheetName val="R_Controls"/>
      <sheetName val="R.Category"/>
      <sheetName val="자금세탁 사례관리"/>
      <sheetName val="대차대조표"/>
      <sheetName val="TRIAL"/>
      <sheetName val="Du_lieu"/>
      <sheetName val="#REF"/>
      <sheetName val="Dummy"/>
      <sheetName val="Atur"/>
      <sheetName val="tabel nilai"/>
      <sheetName val="ocean voyage"/>
      <sheetName val="Perhitungan"/>
      <sheetName val="Asumsi"/>
      <sheetName val="2002"/>
      <sheetName val="bantenJBTBK"/>
      <sheetName val="Bekasi"/>
      <sheetName val="tanggerang"/>
      <sheetName val="sukabumi"/>
      <sheetName val="cianjur"/>
      <sheetName val="cilegon"/>
      <sheetName val="serang"/>
      <sheetName val="98"/>
      <sheetName val="BogorF"/>
      <sheetName val="trendJKT"/>
      <sheetName val="Bogor"/>
      <sheetName val="pandeglang"/>
      <sheetName val="lebak"/>
      <sheetName val="99"/>
      <sheetName val="00"/>
      <sheetName val="Fixset"/>
      <sheetName val="17"/>
      <sheetName val="1997"/>
      <sheetName val="Cost Analysis"/>
      <sheetName val="Based Data_wacc"/>
      <sheetName val="재료비"/>
      <sheetName val="Data Sheet "/>
      <sheetName val="Accounts"/>
      <sheetName val="CRITERIA1"/>
      <sheetName val="GeneralInfo"/>
      <sheetName val="Main"/>
      <sheetName val="alamat"/>
      <sheetName val="STKBB"/>
      <sheetName val="CIPARAY"/>
      <sheetName val="RANCAEKEK"/>
      <sheetName val="Drop-Down"/>
      <sheetName val="Data Sheet"/>
      <sheetName val="Tab DPA"/>
      <sheetName val="RumusTB 1 bln"/>
      <sheetName val="Exc. Rate"/>
      <sheetName val="pm"/>
      <sheetName val="C13"/>
      <sheetName val="CDYW"/>
      <sheetName val="Penyusutan_Kendaraan"/>
      <sheetName val="rekap_pph_23"/>
      <sheetName val="21_&amp;_25"/>
      <sheetName val="INDIRECT_DETAIL"/>
      <sheetName val="Cost_Analysis"/>
      <sheetName val="Coll_Bulan_ini"/>
      <sheetName val="Coll_Bulan_lalu"/>
      <sheetName val="Renc_Bulan_ini"/>
      <sheetName val="Renc_Bulan_Lalu"/>
      <sheetName val="Stock_Report"/>
      <sheetName val="lookup_table"/>
      <sheetName val="C_O_A"/>
      <sheetName val="Based_Data_wacc"/>
      <sheetName val="Data_Sheet_"/>
      <sheetName val="Data_Sheet"/>
      <sheetName val="Tab_DPA"/>
      <sheetName val="RumusTB_1_bln"/>
      <sheetName val="Exc__Rate"/>
      <sheetName val="absen_kebun_28"/>
      <sheetName val="absen_panen_28"/>
      <sheetName val="UPAH_28"/>
      <sheetName val="ocean_voyage"/>
      <sheetName val="97년추정손익계산서"/>
      <sheetName val="Working"/>
      <sheetName val="수정시산표"/>
      <sheetName val="완성차 미수금"/>
      <sheetName val="Final-本部-短期借款"/>
      <sheetName val="Keragaan"/>
      <sheetName val="①　BP vs SPR (TTL Impact)"/>
      <sheetName val="TOP"/>
      <sheetName val="bs09"/>
      <sheetName val="bs10"/>
      <sheetName val="fiscal"/>
      <sheetName val="COA"/>
      <sheetName val="Coy"/>
      <sheetName val="TB_BLSHT"/>
      <sheetName val="TBCons KMB04"/>
      <sheetName val="bpp"/>
      <sheetName val="U-EK"/>
      <sheetName val="Sheet7"/>
      <sheetName val="Jateng"/>
      <sheetName val="Jatim"/>
      <sheetName val="contekan"/>
      <sheetName val="Ass_Planting"/>
      <sheetName val="NT"/>
      <sheetName val="RAP"/>
      <sheetName val="MarkUp"/>
      <sheetName val="Exch.rate"/>
      <sheetName val="rab.33.2011.krt"/>
      <sheetName val="Ex_Rate"/>
      <sheetName val="RADIO CONTROLS"/>
      <sheetName val="KPI-Data Source"/>
      <sheetName val="단가"/>
      <sheetName val="Chart Of Acc"/>
      <sheetName val="Ring"/>
      <sheetName val="Eksisting Penarikan"/>
      <sheetName val="DAT_1"/>
      <sheetName val="3"/>
      <sheetName val="MGR_12"/>
      <sheetName val="Daftar Harga"/>
      <sheetName val="Rinci-Biaya"/>
      <sheetName val="Rinci-Pendapatan"/>
      <sheetName val="rab_50"/>
      <sheetName val="Cash-print"/>
      <sheetName val="Tanaman"/>
      <sheetName val="MD13"/>
      <sheetName val="Access"/>
      <sheetName val="5614.a Factory Machinery"/>
      <sheetName val="5614.b Diesel "/>
      <sheetName val="5614.c Factory Equipment"/>
      <sheetName val="5614.C Coal Boiler"/>
      <sheetName val="STN2006"/>
      <sheetName val="Permanent info"/>
      <sheetName val="Faktor Pembatas Luas Areal"/>
      <sheetName val="MATERIALFINAL"/>
      <sheetName val="Tickmarks"/>
      <sheetName val="L_23"/>
      <sheetName val="XREF"/>
      <sheetName val="5313 Test Allowance (aging)"/>
      <sheetName val="Facilities"/>
      <sheetName val="Coal Boiler"/>
      <sheetName val="Fact Truck"/>
      <sheetName val="1.Rollfwd"/>
      <sheetName val="Lead"/>
      <sheetName val="Pain data"/>
      <sheetName val="Wages"/>
      <sheetName val="April"/>
      <sheetName val="Februari"/>
      <sheetName val="Januari"/>
      <sheetName val="Juni"/>
      <sheetName val="Maret"/>
      <sheetName val="Mei"/>
      <sheetName val="Sheet4"/>
      <sheetName val="Disposals"/>
      <sheetName val="KASUS8"/>
      <sheetName val="cilandak payroll"/>
      <sheetName val="TRADING PROFIT"/>
      <sheetName val="ACHV_JAN_FEB_MAR_APR"/>
      <sheetName val="PBC S2003"/>
      <sheetName val="Index"/>
      <sheetName val="Base Data"/>
      <sheetName val="POV"/>
      <sheetName val="1105-B&amp;I-OK"/>
      <sheetName val="OTHER PREPAID EXPENSE"/>
      <sheetName val="Calc"/>
      <sheetName val="ProductionTarget50Pct"/>
      <sheetName val="CAPEX"/>
      <sheetName val="Actuals &amp; Prior Yr. Figures"/>
      <sheetName val="Annual Budget Figures"/>
      <sheetName val="MainMenu"/>
      <sheetName val="Financial Reports"/>
      <sheetName val="Ex-Rate"/>
      <sheetName val="Sheet8"/>
      <sheetName val="logopt"/>
      <sheetName val="FISIK RAB 2000"/>
      <sheetName val="PPH1298S"/>
      <sheetName val="Satuan Harga Bahan"/>
      <sheetName val="Satuan Harga Upah"/>
      <sheetName val="Material SAP"/>
      <sheetName val="Salary"/>
      <sheetName val="Master File"/>
      <sheetName val="Master Data"/>
      <sheetName val="Pivot-HK"/>
      <sheetName val="Assump"/>
      <sheetName val="BUDGET_1999"/>
      <sheetName val="Outil"/>
      <sheetName val="Coef Calculation"/>
      <sheetName val="DATA"/>
      <sheetName val="PEG"/>
      <sheetName val="Kontensalden"/>
      <sheetName val="RATE"/>
      <sheetName val="Pipe"/>
      <sheetName val="KH-Q1,Q2,01"/>
      <sheetName val="Sumda1"/>
      <sheetName val="Volume"/>
      <sheetName val="villa"/>
      <sheetName val="JSiar"/>
      <sheetName val="TOWN"/>
      <sheetName val="H.Satuan"/>
      <sheetName val="s5"/>
      <sheetName val="Lain2"/>
      <sheetName val="Tabel2"/>
      <sheetName val="ANALISA"/>
      <sheetName val="PPN-M"/>
      <sheetName val="dongia (2)"/>
      <sheetName val="giathanh1"/>
      <sheetName val="DON GIA"/>
      <sheetName val="THPDMoi  (2)"/>
      <sheetName val="lam-moi"/>
      <sheetName val="gtrinh"/>
      <sheetName val="thao-go"/>
      <sheetName val="CHITIET VL-NC"/>
      <sheetName val="CHITIET VL-NC-TT -1p"/>
      <sheetName val="VC"/>
      <sheetName val="TH XL"/>
      <sheetName val="chitiet"/>
      <sheetName val="Tiepdia"/>
      <sheetName val="CHITIET VL-NC-TT-3p"/>
      <sheetName val="TONGKE-HT"/>
      <sheetName val="t-h HA THE"/>
      <sheetName val="TDTKP"/>
      <sheetName val="TDTKP1"/>
      <sheetName val="TONGKE3p "/>
      <sheetName val="KPVC-BD "/>
      <sheetName val="VCV-BE-TONG"/>
      <sheetName val="TNHCHINH"/>
      <sheetName val="hrg"/>
      <sheetName val="pro ra op"/>
      <sheetName val="grafik"/>
      <sheetName val="Program Triwulanan-04"/>
      <sheetName val="data berat"/>
      <sheetName val="3 - Balance Sheet"/>
      <sheetName val="5 - Cash Flow"/>
      <sheetName val="Data Parameter"/>
      <sheetName val="SC Pusat BB301"/>
      <sheetName val="SC Pusat BB303"/>
      <sheetName val="Cucian"/>
      <sheetName val="SC Pusat krd"/>
      <sheetName val="R"/>
      <sheetName val="DPPN"/>
      <sheetName val="4 - Income Statement"/>
      <sheetName val="TB-Detail-IDR"/>
      <sheetName val="Analisa Harga Satuan"/>
      <sheetName val="ALOKASI"/>
      <sheetName val="Tanah 09"/>
      <sheetName val="upah_borong"/>
      <sheetName val="harsat"/>
      <sheetName val="satuan_pek"/>
      <sheetName val="original"/>
      <sheetName val="BA Rekon ARDWS-APTSEL (IDR)"/>
      <sheetName val="BA Rekon RevDWS-ExpTSEL (IDR)"/>
      <sheetName val="BA Rekon ARAP (USD)"/>
      <sheetName val="BA Rekon RevExp (USD)"/>
      <sheetName val="BA Rekon RevDWS-ExpTSEL (SLI)"/>
      <sheetName val="Memo"/>
      <sheetName val="Jurnal Memo (USD)"/>
      <sheetName val="List"/>
      <sheetName val="MENU"/>
      <sheetName val="A u g"/>
      <sheetName val="lembar_kerja"/>
      <sheetName val="bez_karPim"/>
      <sheetName val="bez_karpel"/>
      <sheetName val="pihak iii"/>
      <sheetName val="FF-3"/>
      <sheetName val="O4_CA"/>
      <sheetName val="atp"/>
      <sheetName val="prom"/>
      <sheetName val="nm kbn"/>
      <sheetName val="tu"/>
      <sheetName val="EXTERNA_x005f_x005f_x005f_x005f_x005f_x005f_x0000"/>
      <sheetName val="EXTERNA_x005f_x005f_x005f_x005f_x005f_x005f_x005f"/>
      <sheetName val="EXTERNA_x005f_x005f_x005f_x0000__x000"/>
      <sheetName val="EXTERNA_x005f_x005f_x005f_x005f_x0000"/>
      <sheetName val="EXTERNA_x005f_x005f_x005f_x005f_x005f"/>
      <sheetName val="TBM KR 2006"/>
      <sheetName val="almanak &amp;hk."/>
      <sheetName val="HP99"/>
      <sheetName val="ADD"/>
      <sheetName val="rab_33"/>
      <sheetName val="EXTERNA_x005f_x0000__x000"/>
      <sheetName val="EXTERNA_x005f_x005f_x0000"/>
      <sheetName val="EXTERNA_x005f_x005f_x005f"/>
      <sheetName val="pintar"/>
      <sheetName val="K4. F&amp;F"/>
      <sheetName val="SOAL42"/>
      <sheetName val="EXTERNA_x0000__x000"/>
      <sheetName val="EXTERNA_x0000"/>
      <sheetName val="EXTERNA_x005f"/>
      <sheetName val="CA-O7"/>
      <sheetName val="fm13(Giro)"/>
      <sheetName val="kepmenaker150"/>
      <sheetName val="1106-M&amp;E"/>
      <sheetName val="SW1"/>
      <sheetName val="gl"/>
      <sheetName val="C1 NOV"/>
      <sheetName val="N1"/>
      <sheetName val="FF-21(a)"/>
      <sheetName val="angs griya"/>
      <sheetName val="neraca"/>
      <sheetName val="Draft Neraca"/>
      <sheetName val="MAPP"/>
      <sheetName val="rek det 1-3"/>
      <sheetName val="HARGA SATUAN"/>
      <sheetName val="KEUANGAN"/>
      <sheetName val="Call"/>
      <sheetName val="pak-03"/>
      <sheetName val="Alat"/>
      <sheetName val="Persiapan"/>
      <sheetName val="Inputs"/>
      <sheetName val="SKCD DATA GP YK"/>
      <sheetName val="SDAYA"/>
      <sheetName val="EXECp2"/>
      <sheetName val="RESOURCE MODEL"/>
      <sheetName val="Branch"/>
      <sheetName val="Jenis"/>
      <sheetName val="Summary UM"/>
      <sheetName val="CF-hot"/>
      <sheetName val="Material"/>
      <sheetName val="Bal 1997-1998"/>
      <sheetName val="jan04"/>
      <sheetName val="Template "/>
      <sheetName val="I-KAMAR"/>
      <sheetName val="KOCAB"/>
      <sheetName val="KRN"/>
      <sheetName val="NPWP DEBITUR"/>
      <sheetName val="COVER"/>
      <sheetName val="ABG-BUDGET"/>
      <sheetName val="BMV-BUDGET"/>
      <sheetName val="CLN-BUDGET"/>
      <sheetName val="COL-BUDGET"/>
      <sheetName val="CORP-BUDGET"/>
      <sheetName val="LVL-BUDGET"/>
      <sheetName val="PON-BUDGET"/>
      <sheetName val="BUDGET"/>
      <sheetName val="SALES-BUDGET"/>
      <sheetName val="SEN-BUDGET"/>
      <sheetName val="SUF-BUDGET"/>
      <sheetName val="inti"/>
      <sheetName val="by.sendiri"/>
      <sheetName val="plasma"/>
      <sheetName val="bezeting."/>
      <sheetName val="①　BP_vs_SPR_(TTL_Impact)"/>
      <sheetName val="pro_ra_op"/>
      <sheetName val="9"/>
      <sheetName val="14"/>
      <sheetName val="15"/>
      <sheetName val="D"/>
      <sheetName val="7"/>
      <sheetName val="B"/>
      <sheetName val="rab.3.krt"/>
      <sheetName val="rab.4.krt"/>
      <sheetName val="rab.4.swt"/>
      <sheetName val="J u l"/>
      <sheetName val="O c t"/>
      <sheetName val="A p r"/>
      <sheetName val="M a y"/>
      <sheetName val="S e p"/>
      <sheetName val="00 received in 01"/>
      <sheetName val="F e b"/>
      <sheetName val="Per GL J a n"/>
      <sheetName val="J u n"/>
      <sheetName val="M a r"/>
      <sheetName val="GAOL_SMK"/>
      <sheetName val="Sheet6"/>
      <sheetName val="Lamp 2 "/>
      <sheetName val="lm7-11"/>
      <sheetName val="JUAL"/>
      <sheetName val="A-HC"/>
      <sheetName val="RL"/>
      <sheetName val="laru-kbn"/>
      <sheetName val="TK1"/>
      <sheetName val="CONFIG2"/>
      <sheetName val="REKAP OMZET KAPAL"/>
      <sheetName val="Subs"/>
      <sheetName val="ARPU"/>
      <sheetName val="Reload"/>
      <sheetName val="Price"/>
      <sheetName val="Revenue"/>
      <sheetName val="Traffic"/>
      <sheetName val="Status"/>
      <sheetName val="PRODUCTION_REPORTS2"/>
      <sheetName val="ANIMATION_ONLY2"/>
      <sheetName val="ANIMATION_COST_FORECAST2"/>
      <sheetName val="EXTERNAL_ANIMATION2"/>
      <sheetName val="List as of October"/>
      <sheetName val="전체 리스트"/>
      <sheetName val="1)일반상품"/>
      <sheetName val="Forecast"/>
      <sheetName val="Minutes"/>
      <sheetName val="dropdown"/>
      <sheetName val="tgp_02"/>
      <sheetName val="CF(3)"/>
      <sheetName val="Sensitivitas(16)"/>
      <sheetName val="Operations"/>
      <sheetName val="Scenarios and Sensitivities"/>
      <sheetName val="Financials"/>
      <sheetName val="Global Assumptions"/>
      <sheetName val="Power &amp; Fuel(SMS)"/>
      <sheetName val="Power &amp; Fuel(new)"/>
      <sheetName val="Power &amp; Fuel (S)"/>
      <sheetName val="Power &amp; Fuel(c)"/>
      <sheetName val="THREE VARIABLES"/>
      <sheetName val="synthgraph"/>
      <sheetName val="KOR"/>
      <sheetName val="Acuan"/>
      <sheetName val="BS-WORK"/>
      <sheetName val="Doc Type Ref"/>
      <sheetName val="List as of Dec16"/>
      <sheetName val="RMS FUNGSIONAL"/>
      <sheetName val="RMS - STR (2)"/>
      <sheetName val="SEN_FUNG"/>
      <sheetName val="p.mgmt"/>
      <sheetName val="1"/>
      <sheetName val="nc-0698"/>
      <sheetName val="tabel rimba"/>
      <sheetName val="RO344 TOTAL"/>
      <sheetName val="KBB-CIB BANK"/>
      <sheetName val="data arus kas"/>
      <sheetName val="SETUP"/>
      <sheetName val="ADJ AUG12,2010"/>
      <sheetName val="Kode BKU"/>
      <sheetName val="FF-6"/>
      <sheetName val="AU 31 Komputer"/>
      <sheetName val="rab.8(over.swt)"/>
      <sheetName val="rab.8.2(swt)"/>
      <sheetName val="50-53-54-55"/>
      <sheetName val="AGUS-09"/>
      <sheetName val="Sheet5"/>
      <sheetName val="lp.kmmda"/>
      <sheetName val="karet RKAP"/>
      <sheetName val="rumus"/>
      <sheetName val="Askolin"/>
      <sheetName val="bez.karpel"/>
      <sheetName val="lembar kerja"/>
      <sheetName val="CA Sheet"/>
      <sheetName val="AP Trade"/>
      <sheetName val="AUG02"/>
      <sheetName val="0220"/>
      <sheetName val="LP-IDR"/>
      <sheetName val="OTP-BU"/>
      <sheetName val="LK-Box"/>
      <sheetName val="LARL-3"/>
      <sheetName val="Data YTD"/>
      <sheetName val="LARL-4 (TW)"/>
      <sheetName val="Cost-Centre"/>
      <sheetName val="MNR"/>
      <sheetName val="Account Codes "/>
      <sheetName val="POTO MAC"/>
      <sheetName val="Marshal"/>
      <sheetName val="CF_Pmt creditor"/>
      <sheetName val="Seb KPI's"/>
      <sheetName val="P&amp;L Detail SARold"/>
      <sheetName val="Legend"/>
      <sheetName val="Table_51"/>
      <sheetName val="List_Pilihan"/>
      <sheetName val="2D_REPNew2_41"/>
      <sheetName val="Altman_Z_Score"/>
      <sheetName val="Iss_Jrn"/>
      <sheetName val="SCH_3"/>
      <sheetName val="TBCons_KMB04"/>
      <sheetName val="Coef_Calculation"/>
      <sheetName val="Exch_rate"/>
      <sheetName val="rab_33_2011_krt"/>
      <sheetName val="RADIO_CONTROLS"/>
      <sheetName val="KPI-Data_Source"/>
      <sheetName val="Eksisting_Penarikan"/>
      <sheetName val="Daftar_Harga"/>
      <sheetName val="Permanent_info"/>
      <sheetName val="FISIK_RAB_2000"/>
      <sheetName val="Satuan_Harga_Bahan"/>
      <sheetName val="Satuan_Harga_Upah"/>
      <sheetName val="Material_SAP"/>
      <sheetName val="Master_File"/>
      <sheetName val="Master_Data"/>
      <sheetName val="SLS-TGT-FEED_(FDM)"/>
      <sheetName val="BA_Rekon_ARDWS-APTSEL_(IDR)"/>
      <sheetName val="BA_Rekon_RevDWS-ExpTSEL_(IDR)"/>
      <sheetName val="BA_Rekon_ARAP_(USD)"/>
      <sheetName val="BA_Rekon_RevExp_(USD)"/>
      <sheetName val="BA_Rekon_RevDWS-ExpTSEL_(SLI)"/>
      <sheetName val="Jurnal_Memo_(USD)"/>
      <sheetName val="List_of_related_party"/>
      <sheetName val="OTHER_PREPAID_EXPENSE"/>
      <sheetName val="cilandak_payroll"/>
      <sheetName val="PBC_S2003"/>
      <sheetName val="DAF.INVEN U.O"/>
      <sheetName val="BGT Cashflow"/>
      <sheetName val="PARAMETERS"/>
      <sheetName val="H_Satuan"/>
      <sheetName val="eka"/>
      <sheetName val="Variabel"/>
      <sheetName val="General"/>
      <sheetName val="Benefit Design"/>
      <sheetName val="Experience Rating"/>
      <sheetName val="Table"/>
      <sheetName val="Member"/>
      <sheetName val="Insem"/>
      <sheetName val="Sheet3"/>
      <sheetName val="HRPar"/>
      <sheetName val="HIT"/>
      <sheetName val="database"/>
      <sheetName val="AD&amp;D"/>
      <sheetName val="Formula-KM"/>
      <sheetName val="Formula-LH"/>
      <sheetName val="Formula-RG"/>
      <sheetName val="Formula-RI"/>
      <sheetName val="Formula-RJ"/>
      <sheetName val="Options"/>
      <sheetName val="Hidden!"/>
      <sheetName val="Marketer"/>
      <sheetName val="Bahan+Upah"/>
      <sheetName val="Q302"/>
      <sheetName val="9211 Summary of CAJE"/>
      <sheetName val="9212 Summary of AJE"/>
      <sheetName val="9213 Summary of RJE"/>
      <sheetName val="OLAH"/>
      <sheetName val="Detail WPL Jan"/>
      <sheetName val="Ner"/>
      <sheetName val="N_Sld_Kmd"/>
      <sheetName val="N_Sld_Pku"/>
      <sheetName val="OPR-99"/>
      <sheetName val="Telephone &amp; KSO Rev"/>
      <sheetName val="BP1_23"/>
      <sheetName val="Deferred Revenue Nov 04"/>
      <sheetName val="TAX COM"/>
      <sheetName val="Noodles (assumptions)"/>
      <sheetName val="Center"/>
      <sheetName val="Company"/>
      <sheetName val="License"/>
      <sheetName val="Account"/>
      <sheetName val="Accrued RO"/>
      <sheetName val="DSR"/>
      <sheetName val="XRATE"/>
      <sheetName val="MARKSUMM"/>
      <sheetName val="Sales"/>
      <sheetName val="SEC Income Statement"/>
      <sheetName val="UNPAID"/>
      <sheetName val="GL_Account"/>
      <sheetName val="chemcal"/>
      <sheetName val="HARVEST02"/>
      <sheetName val="Operation 01-0207"/>
      <sheetName val="F-BSPL"/>
      <sheetName val="Nrj Ljr"/>
      <sheetName val="AR_Actual"/>
      <sheetName val="AR_Budget"/>
      <sheetName val="RRP"/>
      <sheetName val="Scoping"/>
      <sheetName val="Indirects MBR"/>
      <sheetName val="PF-OFFICE"/>
      <sheetName val="NAMES"/>
      <sheetName val="puspel_proyk"/>
      <sheetName val="budget 2018"/>
      <sheetName val="Div_Prjct"/>
      <sheetName val="Puspel"/>
      <sheetName val="Control"/>
      <sheetName val="ChartData"/>
      <sheetName val="Subs Details 2004"/>
      <sheetName val="Start"/>
      <sheetName val="Mt.Ex-CurWk"/>
      <sheetName val="Fuel &amp; Safety - 2"/>
      <sheetName val="Source"/>
      <sheetName val="Generator"/>
      <sheetName val="Micro_S"/>
      <sheetName val="Brand"/>
      <sheetName val="SCHEDULE 9A(1 of 3)"/>
      <sheetName val="ReffTable"/>
      <sheetName val="Lookup"/>
      <sheetName val="Currency Spot Rates"/>
      <sheetName val="TARGET FINAL"/>
      <sheetName val="TO"/>
      <sheetName val="KAMUS"/>
      <sheetName val="fr BS"/>
      <sheetName val="NONCAB"/>
      <sheetName val="LN"/>
      <sheetName val="DKI"/>
      <sheetName val="GABUNGAN"/>
      <sheetName val="LRK"/>
      <sheetName val="KURS"/>
      <sheetName val="DAIHATSU "/>
      <sheetName val="Acsys Key"/>
      <sheetName val="Consumable"/>
      <sheetName val="Tools"/>
      <sheetName val="CM_Genset_1"/>
      <sheetName val="CM Genset_2"/>
      <sheetName val="CP_PD"/>
      <sheetName val="Spare Part"/>
      <sheetName val="SMPS Relocation"/>
      <sheetName val="DG Cranking System"/>
      <sheetName val="Site Support and Maintenance"/>
      <sheetName val="tbl1"/>
      <sheetName val="DATA3"/>
      <sheetName val="DATA1"/>
      <sheetName val="BIODATA"/>
      <sheetName val="Analis Kusen okk"/>
      <sheetName val="TM"/>
      <sheetName val="Valuation"/>
      <sheetName val="Adf par resp"/>
      <sheetName val="JADI"/>
      <sheetName val="rab lt 2 bo"/>
      <sheetName val="An_ Harga"/>
      <sheetName val="3-DIV10"/>
      <sheetName val="Analisa SNI STANDART "/>
      <sheetName val="Estimate"/>
      <sheetName val="Jun 98"/>
      <sheetName val="Bhn"/>
      <sheetName val="KONSOLIDASI"/>
      <sheetName val="end"/>
      <sheetName val="Log"/>
      <sheetName val="Fitting"/>
      <sheetName val="EX RATE"/>
      <sheetName val="Recon. Template"/>
      <sheetName val="Checks_BO"/>
      <sheetName val="Inc Stmt Sum"/>
      <sheetName val="May"/>
      <sheetName val="C90_NET"/>
      <sheetName val="Corp 04 DeprAmort Recap"/>
      <sheetName val="Total NA Food"/>
      <sheetName val="Other"/>
      <sheetName val="Canada"/>
      <sheetName val="Midwest"/>
      <sheetName val="East"/>
      <sheetName val="South"/>
      <sheetName val="Staff"/>
      <sheetName val="West"/>
      <sheetName val="QTIL -BSHEET"/>
      <sheetName val="Developer rev 99"/>
      <sheetName val=" Ad Sales  exp"/>
      <sheetName val="Bus Dev"/>
      <sheetName val="corp. exp"/>
      <sheetName val="LBO --&gt;"/>
      <sheetName val="ONYX"/>
      <sheetName val="PENJ.NERACA"/>
      <sheetName val="CFLOW"/>
      <sheetName val="KBT."/>
      <sheetName val="Norma_HK"/>
      <sheetName val="FSA"/>
      <sheetName val="Excess Calc"/>
      <sheetName val="Bi.kirim"/>
      <sheetName val="Sheet 2"/>
      <sheetName val="OLDMAP"/>
      <sheetName val="Code_1"/>
      <sheetName val="PREMI"/>
      <sheetName val="std ip tanpa abnormal"/>
      <sheetName val="Summary Peserta"/>
      <sheetName val="Data Peserta"/>
      <sheetName val="Param"/>
      <sheetName val="Loading"/>
      <sheetName val="Assumption"/>
      <sheetName val="Recap OT"/>
      <sheetName val="Proses Gaji"/>
      <sheetName val="BENEFIT"/>
      <sheetName val="Premi Iuran"/>
      <sheetName val="OP"/>
      <sheetName val="int-h wk1"/>
      <sheetName val="REKAP BKK BANK"/>
      <sheetName val="Claim Ratio "/>
      <sheetName val="KWITANSI"/>
      <sheetName val="form Rnwl"/>
      <sheetName val="2003-2004"/>
      <sheetName val="Assetdb"/>
      <sheetName val="PersList"/>
      <sheetName val="AssetPar"/>
      <sheetName val="Sales Parameter"/>
      <sheetName val="Parameter"/>
      <sheetName val="INCOME RATNA"/>
      <sheetName val="JLSNER-HD99_"/>
      <sheetName val="FORM-X-1"/>
      <sheetName val="List PT"/>
      <sheetName val="Definitions"/>
      <sheetName val="PV Demand Forecast Breakdown"/>
      <sheetName val="Monomers"/>
      <sheetName val="Jurnal"/>
      <sheetName val="BQ-E20-02(Rp)"/>
      <sheetName val="BOY"/>
      <sheetName val="ISI"/>
      <sheetName val="NB BOY"/>
      <sheetName val="NB ISI"/>
      <sheetName val="TE"/>
      <sheetName val="CH"/>
      <sheetName val="12"/>
      <sheetName val="Bangunan Utama B"/>
      <sheetName val="FIELDCALC"/>
      <sheetName val="B2003_LES"/>
      <sheetName val="VLOOKUP"/>
      <sheetName val="EXTERNA_x005f_x0000__x005f_x005f_x000"/>
      <sheetName val="note"/>
      <sheetName val="tgp-02"/>
      <sheetName val="SPI"/>
      <sheetName val="Galian batu"/>
      <sheetName val="Act_Sales"/>
      <sheetName val="AC"/>
      <sheetName val="JOURNAL"/>
      <sheetName val="capex_incl_rp"/>
      <sheetName val="DB MP"/>
      <sheetName val="VD"/>
      <sheetName val="Compensation Data Worksheet"/>
      <sheetName val="PRO_COAL"/>
      <sheetName val="DB_MP"/>
      <sheetName val="TANDA TERIMA"/>
      <sheetName val="Rekening"/>
      <sheetName val="Big"/>
      <sheetName val="Coal_Mining"/>
      <sheetName val="Htr"/>
      <sheetName val="KPC Coal"/>
      <sheetName val="KPC_Total"/>
      <sheetName val="MS"/>
      <sheetName val="lkupref"/>
      <sheetName val="Syracuse0"/>
      <sheetName val="USDt_FS(4)"/>
      <sheetName val="Form 4"/>
      <sheetName val="Oracle"/>
      <sheetName val="Organization Chart"/>
      <sheetName val="A.02-I"/>
      <sheetName val="name"/>
      <sheetName val="Table_52"/>
      <sheetName val="General_Info2"/>
      <sheetName val="2003_ACT_CFlow2"/>
      <sheetName val="2003_BGT_C_Flow2"/>
      <sheetName val="HO_Use2"/>
      <sheetName val="Engineering_Workload2"/>
      <sheetName val="KONS_BID_P&amp;N2"/>
      <sheetName val="UP_II_DUMAI2"/>
      <sheetName val="KP_DIT_HULU2"/>
      <sheetName val="UP_VI_BALONGAN2"/>
      <sheetName val="UP_1_BRANDAN2"/>
      <sheetName val="UP_V_BALIKPAPAN2"/>
      <sheetName val="DIT_HILIR2"/>
      <sheetName val="UP_IV_CILACAP2"/>
      <sheetName val="UP_III_PLAJU2"/>
      <sheetName val="KONS_DIT_HULU2"/>
      <sheetName val="KR_AMPEL2"/>
      <sheetName val="UP_VII_KASIM2"/>
      <sheetName val="KONS_BID_P2"/>
      <sheetName val="2D_REPNew2_42"/>
      <sheetName val="Iss_Jrn1"/>
      <sheetName val="Income_Statement1"/>
      <sheetName val="NB_UNIT31"/>
      <sheetName val="List_Pilihan1"/>
      <sheetName val="Coll_Bulan_ini1"/>
      <sheetName val="Coll_Bulan_lalu1"/>
      <sheetName val="Renc_Bulan_ini1"/>
      <sheetName val="Renc_Bulan_Lalu1"/>
      <sheetName val="Stock_Report1"/>
      <sheetName val="lookup_table1"/>
      <sheetName val="SCH_31"/>
      <sheetName val="PRODUCTION_REPORTS3"/>
      <sheetName val="ANIMATION_ONLY3"/>
      <sheetName val="ANIMATION_COST_FORECAST3"/>
      <sheetName val="EXTERNAL_ANIMATION3"/>
      <sheetName val="Table_53"/>
      <sheetName val="General_Info3"/>
      <sheetName val="2003_ACT_CFlow3"/>
      <sheetName val="2003_BGT_C_Flow3"/>
      <sheetName val="HO_Use3"/>
      <sheetName val="Engineering_Workload3"/>
      <sheetName val="KONS_BID_P&amp;N3"/>
      <sheetName val="UP_II_DUMAI3"/>
      <sheetName val="KP_DIT_HULU3"/>
      <sheetName val="UP_VI_BALONGAN3"/>
      <sheetName val="UP_1_BRANDAN3"/>
      <sheetName val="UP_V_BALIKPAPAN3"/>
      <sheetName val="DIT_HILIR3"/>
      <sheetName val="UP_IV_CILACAP3"/>
      <sheetName val="UP_III_PLAJU3"/>
      <sheetName val="KONS_DIT_HULU3"/>
      <sheetName val="KR_AMPEL3"/>
      <sheetName val="UP_VII_KASIM3"/>
      <sheetName val="KONS_BID_P3"/>
      <sheetName val="2D_REPNew2_43"/>
      <sheetName val="Iss_Jrn2"/>
      <sheetName val="Income_Statement2"/>
      <sheetName val="NB_UNIT32"/>
      <sheetName val="List_Pilihan2"/>
      <sheetName val="Coll_Bulan_ini2"/>
      <sheetName val="Coll_Bulan_lalu2"/>
      <sheetName val="Renc_Bulan_ini2"/>
      <sheetName val="Renc_Bulan_Lalu2"/>
      <sheetName val="Stock_Report2"/>
      <sheetName val="lookup_table2"/>
      <sheetName val="SCH_32"/>
      <sheetName val="PRODUCTION_REPORTS4"/>
      <sheetName val="ANIMATION_ONLY4"/>
      <sheetName val="ANIMATION_COST_FORECAST4"/>
      <sheetName val="EXTERNAL_ANIMATION4"/>
      <sheetName val="Table_54"/>
      <sheetName val="General_Info4"/>
      <sheetName val="2003_ACT_CFlow4"/>
      <sheetName val="2003_BGT_C_Flow4"/>
      <sheetName val="HO_Use4"/>
      <sheetName val="Engineering_Workload4"/>
      <sheetName val="KONS_BID_P&amp;N4"/>
      <sheetName val="UP_II_DUMAI4"/>
      <sheetName val="KP_DIT_HULU4"/>
      <sheetName val="UP_VI_BALONGAN4"/>
      <sheetName val="UP_1_BRANDAN4"/>
      <sheetName val="UP_V_BALIKPAPAN4"/>
      <sheetName val="DIT_HILIR4"/>
      <sheetName val="UP_IV_CILACAP4"/>
      <sheetName val="UP_III_PLAJU4"/>
      <sheetName val="KONS_DIT_HULU4"/>
      <sheetName val="KR_AMPEL4"/>
      <sheetName val="UP_VII_KASIM4"/>
      <sheetName val="KONS_BID_P4"/>
      <sheetName val="2D_REPNew2_44"/>
      <sheetName val="Iss_Jrn3"/>
      <sheetName val="Income_Statement3"/>
      <sheetName val="NB_UNIT33"/>
      <sheetName val="List_Pilihan3"/>
      <sheetName val="Coll_Bulan_ini3"/>
      <sheetName val="Coll_Bulan_lalu3"/>
      <sheetName val="Renc_Bulan_ini3"/>
      <sheetName val="Renc_Bulan_Lalu3"/>
      <sheetName val="Stock_Report3"/>
      <sheetName val="lookup_table3"/>
      <sheetName val="SCH_33"/>
      <sheetName val="B7"/>
      <sheetName val="PC Account"/>
      <sheetName val="CASTING"/>
      <sheetName val="Fak_aktif"/>
      <sheetName val="Acccounts"/>
      <sheetName val="Breakevn"/>
      <sheetName val="Agust"/>
      <sheetName val="Pit's"/>
      <sheetName val="September"/>
      <sheetName val="Grafik Trial"/>
      <sheetName val="BUTYL 070303 "/>
      <sheetName val="Workings"/>
      <sheetName val="Item Data"/>
      <sheetName val="LMI CUBE-F18 SKU (CY)"/>
      <sheetName val="LMI CUBE-F18 SKU (FY)"/>
      <sheetName val="LSI CUBE-F18 SKU (CY)"/>
      <sheetName val="LSI CUBE-F18 Sub Brand (FY)"/>
      <sheetName val="LSI CUBE-F19 Sub Brand (FY)"/>
      <sheetName val="DFI CUBE-F18 SKU (CY)"/>
      <sheetName val="DFI CUBE-F18 SKU (FY)"/>
      <sheetName val="DFI CUBE-F18 BY Area"/>
      <sheetName val="Kamus (2)"/>
      <sheetName val="all acc"/>
      <sheetName val="inc retur (2)"/>
      <sheetName val="inc retur"/>
      <sheetName val="exc retur"/>
      <sheetName val="MKT"/>
      <sheetName val="procedure F19 P1"/>
      <sheetName val="Sheet2 (2)"/>
      <sheetName val="BS Account"/>
      <sheetName val="P&amp;L Account"/>
      <sheetName val="Profit Centre"/>
      <sheetName val="Vendor Code"/>
      <sheetName val="bg"/>
      <sheetName val="TKCJ20_5%"/>
      <sheetName val="#Lookup"/>
      <sheetName val="HPP"/>
      <sheetName val=""/>
      <sheetName val="YTD_02"/>
      <sheetName val="Kend"/>
      <sheetName val="Consolidated Forecast"/>
      <sheetName val="Consolidated Actual"/>
      <sheetName val="Cash"/>
      <sheetName val="COGS TP"/>
      <sheetName val="Prex"/>
      <sheetName val="Opex"/>
      <sheetName val="Inventory&amp;Purchases"/>
      <sheetName val="Sales GA"/>
      <sheetName val="LHP7"/>
      <sheetName val="Curah hujan"/>
      <sheetName val="XXXXXXXXXXXX"/>
      <sheetName val="SAA"/>
      <sheetName val="ABK.04.AWALR+CO+TAB.RUPS"/>
      <sheetName val="06. CC270616"/>
      <sheetName val="Sales_Parameter"/>
      <sheetName val="Compensation_Data_Worksheet"/>
      <sheetName val="Galian 1"/>
      <sheetName val="List Unit"/>
      <sheetName val="DAY WORK"/>
      <sheetName val="BAI Calculation"/>
      <sheetName val="Cashflow"/>
      <sheetName val="Data Opr"/>
      <sheetName val="Data Opr (2)"/>
      <sheetName val="PAR"/>
      <sheetName val="Data_Opr"/>
      <sheetName val="Data_Opr_(2)"/>
      <sheetName val="PA_UA"/>
      <sheetName val="DB_CSC"/>
      <sheetName val="PRODUCTION_REPORTS5"/>
      <sheetName val="ANIMATION_ONLY5"/>
      <sheetName val="ANIMATION_COST_FORECAST5"/>
      <sheetName val="EXTERNAL_ANIMATION5"/>
      <sheetName val="PRODUCTION_REPORTS6"/>
      <sheetName val="ANIMATION_ONLY6"/>
      <sheetName val="ANIMATION_COST_FORECAST6"/>
      <sheetName val="EXTERNAL_ANIMATION6"/>
      <sheetName val="PRODUCTION_REPORTS7"/>
      <sheetName val="ANIMATION_ONLY7"/>
      <sheetName val="ANIMATION_COST_FORECAST7"/>
      <sheetName val="EXTERNAL_ANIMATION7"/>
      <sheetName val="PRODUCTION_REPORTS8"/>
      <sheetName val="ANIMATION_ONLY8"/>
      <sheetName val="ANIMATION_COST_FORECAST8"/>
      <sheetName val="EXTERNAL_ANIMATION8"/>
      <sheetName val="PRODUCTION_REPORTS9"/>
      <sheetName val="ANIMATION_ONLY9"/>
      <sheetName val="ANIMATION_COST_FORECAST9"/>
      <sheetName val="EXTERNAL_ANIMATION9"/>
      <sheetName val="PRODUCTION_REPORTS10"/>
      <sheetName val="ANIMATION_ONLY10"/>
      <sheetName val="ANIMATION_COST_FORECAST10"/>
      <sheetName val="EXTERNAL_ANIMATION10"/>
      <sheetName val="FA sd APRIL 07"/>
      <sheetName val="JUAL_STD"/>
      <sheetName val="3 _ Balance Sheet"/>
      <sheetName val="_16 _ Final Budgets"/>
      <sheetName val="4 _ Income Statement"/>
      <sheetName val="5 _ Cash Flow"/>
      <sheetName val="DEPN 2001"/>
      <sheetName val="Proposed 2003 Salary Range"/>
      <sheetName val="Adjustment"/>
      <sheetName val="#16 - Final Budgets"/>
      <sheetName val="EXC-R2005"/>
      <sheetName val="Comp equip"/>
      <sheetName val="FFE"/>
      <sheetName val="BS15"/>
      <sheetName val="K5-1"/>
      <sheetName val="Exch. rate calc."/>
      <sheetName val="Contracts"/>
      <sheetName val="loan 1"/>
      <sheetName val="Monthly RecapLO"/>
      <sheetName val="Contract"/>
      <sheetName val="EngineGas"/>
      <sheetName val="PSC"/>
      <sheetName val="General Assumption"/>
      <sheetName val="EngineOil"/>
      <sheetName val="Table_55"/>
      <sheetName val="General_Info5"/>
      <sheetName val="2003_ACT_CFlow5"/>
      <sheetName val="2003_BGT_C_Flow5"/>
      <sheetName val="HO_Use5"/>
      <sheetName val="Engineering_Workload5"/>
      <sheetName val="KONS_BID_P&amp;N5"/>
      <sheetName val="UP_II_DUMAI5"/>
      <sheetName val="KP_DIT_HULU5"/>
      <sheetName val="UP_VI_BALONGAN5"/>
      <sheetName val="UP_1_BRANDAN5"/>
      <sheetName val="UP_V_BALIKPAPAN5"/>
      <sheetName val="DIT_HILIR5"/>
      <sheetName val="UP_IV_CILACAP5"/>
      <sheetName val="UP_III_PLAJU5"/>
      <sheetName val="KONS_DIT_HULU5"/>
      <sheetName val="KR_AMPEL5"/>
      <sheetName val="UP_VII_KASIM5"/>
      <sheetName val="KONS_BID_P5"/>
      <sheetName val="2D_REPNew2_45"/>
      <sheetName val="Iss_Jrn4"/>
      <sheetName val="Income_Statement4"/>
      <sheetName val="NB_UNIT34"/>
      <sheetName val="List_Pilihan4"/>
      <sheetName val="Coll_Bulan_ini4"/>
      <sheetName val="Coll_Bulan_lalu4"/>
      <sheetName val="Renc_Bulan_ini4"/>
      <sheetName val="Renc_Bulan_Lalu4"/>
      <sheetName val="Stock_Report4"/>
      <sheetName val="lookup_table4"/>
      <sheetName val="SCH_34"/>
      <sheetName val="01"/>
      <sheetName val="CIP_USD"/>
      <sheetName val="SUMMFA-USD"/>
      <sheetName val="Investment"/>
      <sheetName val="A3_USD_PL02"/>
      <sheetName val="ShareCapital"/>
      <sheetName val="Inventories"/>
      <sheetName val="NRSTOCK"/>
      <sheetName val="A_u_g"/>
      <sheetName val="pihak_iii"/>
      <sheetName val="nm_kbn"/>
      <sheetName val="TBM_KR_2006"/>
      <sheetName val="almanak_&amp;hk_"/>
      <sheetName val="angs_griya"/>
      <sheetName val="Draft_Neraca"/>
      <sheetName val="rek_det_1-3"/>
      <sheetName val="HARGA_SATUAN"/>
      <sheetName val="K4__F&amp;F"/>
      <sheetName val="C1_NOV"/>
      <sheetName val="Kode_BKU"/>
      <sheetName val="dongia_(2)"/>
      <sheetName val="DON_GIA"/>
      <sheetName val="THPDMoi__(2)"/>
      <sheetName val="CHITIET_VL-NC"/>
      <sheetName val="CHITIET_VL-NC-TT_-1p"/>
      <sheetName val="TH_XL"/>
      <sheetName val="CHITIET_VL-NC-TT-3p"/>
      <sheetName val="t-h_HA_THE"/>
      <sheetName val="TONGKE3p_"/>
      <sheetName val="KPVC-BD_"/>
      <sheetName val="pro_ra_op1"/>
      <sheetName val="Program_Triwulanan-04"/>
      <sheetName val="data_berat"/>
      <sheetName val="3_-_Balance_Sheet"/>
      <sheetName val="5_-_Cash_Flow"/>
      <sheetName val="Data_Parameter"/>
      <sheetName val="SC_Pusat_BB301"/>
      <sheetName val="SC_Pusat_BB303"/>
      <sheetName val="SC_Pusat_krd"/>
      <sheetName val="4_-_Income_Statement"/>
      <sheetName val="Analisa_Harga_Satuan"/>
      <sheetName val="Tanah_09"/>
      <sheetName val="Chart_Of_Acc"/>
      <sheetName val="①　BP_vs_SPR_(TTL_Impact)1"/>
      <sheetName val="by_sendiri"/>
      <sheetName val="bezeting_"/>
      <sheetName val="AU_31_Komputer"/>
      <sheetName val="rab_8(over_swt)"/>
      <sheetName val="rab_8_2(swt)"/>
      <sheetName val="5614_a_Factory_Machinery"/>
      <sheetName val="5614_b_Diesel_"/>
      <sheetName val="5614_c_Factory_Equipment"/>
      <sheetName val="5614_C_Coal_Boiler"/>
      <sheetName val="SKCD_DATA_GP_YK"/>
      <sheetName val="NPWP_DEBITUR"/>
      <sheetName val="rab_3_krt"/>
      <sheetName val="rab_4_krt"/>
      <sheetName val="rab_4_swt"/>
      <sheetName val="J_u_l"/>
      <sheetName val="O_c_t"/>
      <sheetName val="A_p_r"/>
      <sheetName val="M_a_y"/>
      <sheetName val="S_e_p"/>
      <sheetName val="00_received_in_01"/>
      <sheetName val="F_e_b"/>
      <sheetName val="Per_GL_J_a_n"/>
      <sheetName val="J_u_n"/>
      <sheetName val="M_a_r"/>
      <sheetName val="Bal_1997-1998"/>
      <sheetName val="Lamp_2_"/>
      <sheetName val="REKAP_OMZET_KAPAL"/>
      <sheetName val="RAB_17"/>
      <sheetName val="Lam Pool"/>
      <sheetName val="RAB-33"/>
      <sheetName val="bez.karpim"/>
      <sheetName val="addl cost"/>
      <sheetName val="accumdeprn"/>
      <sheetName val="KANDIR"/>
      <sheetName val="KSO"/>
      <sheetName val="PENG"/>
      <sheetName val="P2WAS"/>
      <sheetName val="DLAB3"/>
      <sheetName val="DLAB2"/>
      <sheetName val="DLAB1"/>
      <sheetName val="DSIMA"/>
      <sheetName val="DASAH"/>
      <sheetName val="analis"/>
      <sheetName val="R Lead"/>
      <sheetName val="Tiff-Maried Gold &amp; Choki S.P"/>
      <sheetName val="MT Tiff-done"/>
      <sheetName val="East Coast-done"/>
      <sheetName val="All-done"/>
      <sheetName val="Sale-Leaseback (2)"/>
      <sheetName val="CF-satu"/>
      <sheetName val="CF Rp-USD"/>
      <sheetName val="TBSv"/>
      <sheetName val="DETAIL"/>
      <sheetName val="TBM"/>
      <sheetName val="Akomodasi"/>
      <sheetName val="book1"/>
      <sheetName val="bunga"/>
      <sheetName val="AGUNANDES"/>
      <sheetName val="5월경비_영업외비용"/>
      <sheetName val="출입자명단"/>
      <sheetName val="누계실적6"/>
      <sheetName val="A-General"/>
      <sheetName val="进口设备FOB总价表"/>
      <sheetName val="5131"/>
      <sheetName val="BS"/>
      <sheetName val="CARnCT"/>
      <sheetName val="UK"/>
      <sheetName val="CAUDIT"/>
      <sheetName val="dfmea"/>
      <sheetName val="Output"/>
      <sheetName val="8-bin"/>
      <sheetName val="P&amp;L"/>
      <sheetName val="Forex Anal"/>
      <sheetName val="Plant Data"/>
      <sheetName val="Changes"/>
      <sheetName val="OEM-Engr-Product Data"/>
      <sheetName val="WEIGHT"/>
      <sheetName val="Focused Factory"/>
      <sheetName val="Volume &amp; Assumptions"/>
      <sheetName val="Purchasing"/>
      <sheetName val="F&amp;T &amp; Labour"/>
      <sheetName val=" DN8 P#2 부품검사 Check Sheet (DN8)"/>
      <sheetName val="현재"/>
      <sheetName val="주행"/>
      <sheetName val="외주현황.wq1"/>
      <sheetName val="Bal Sheet"/>
      <sheetName val="Prod Plan"/>
      <sheetName val="IS"/>
      <sheetName val="COS"/>
      <sheetName val="Lists"/>
      <sheetName val="Time Estimates"/>
      <sheetName val="COMB3"/>
      <sheetName val="checks"/>
      <sheetName val="KISSAN"/>
      <sheetName val="Balance Sheets"/>
      <sheetName val="Drop Down List"/>
      <sheetName val="Attributes"/>
      <sheetName val="look_up_accounts"/>
      <sheetName val="look_up_labor_rate"/>
      <sheetName val="look_up_OH_dept"/>
      <sheetName val="NEW ACT Codes"/>
      <sheetName val="Labor Plan Rates (SV)"/>
      <sheetName val="Drop Downs"/>
      <sheetName val="Cost Elements (SV)"/>
      <sheetName val="Cost Centers (SV)"/>
      <sheetName val="FTEs (SV)"/>
      <sheetName val="Labor Upload"/>
      <sheetName val="WBS (SV)"/>
      <sheetName val="Wrap Rates (SV)"/>
      <sheetName val="Compare Wrap Rates (SV)"/>
      <sheetName val="Settings Key"/>
      <sheetName val="4.2 Top Segments"/>
      <sheetName val="Backup Info"/>
      <sheetName val="Region Inputs"/>
      <sheetName val="Drop Down"/>
      <sheetName val="WOR LOOKUP TABLE"/>
      <sheetName val="Model"/>
      <sheetName val="1601Period 4 Fy98"/>
      <sheetName val="16XX Rollforward"/>
      <sheetName val="CN08 Detail"/>
      <sheetName val="CWJ Detail"/>
      <sheetName val="Project_Code_관리"/>
      <sheetName val="List_as_of_October"/>
      <sheetName val="R_Category1"/>
      <sheetName val="자금세탁_사례관리"/>
      <sheetName val="전체_리스트"/>
      <sheetName val="Power_&amp;_Fuel(SMS)"/>
      <sheetName val="Power_&amp;_Fuel(new)"/>
      <sheetName val="Power_&amp;_Fuel_(S)"/>
      <sheetName val="Power_&amp;_Fuel(c)"/>
      <sheetName val="THREE_VARIABLES"/>
      <sheetName val="QTIL_-BSHEET"/>
      <sheetName val="List_as_of_Dec16"/>
      <sheetName val="Depreciation"/>
      <sheetName val="Intro"/>
      <sheetName val="건물"/>
      <sheetName val="기계"/>
      <sheetName val="현금흐름표"/>
      <sheetName val="영업보증금"/>
      <sheetName val="시산표"/>
      <sheetName val="월마트"/>
      <sheetName val="은행"/>
      <sheetName val="FA-LISTING"/>
      <sheetName val="공정"/>
      <sheetName val="2003SaleHC"/>
      <sheetName val="Sheet737"/>
      <sheetName val="손익합산"/>
      <sheetName val="building"/>
      <sheetName val="기초해지2"/>
      <sheetName val="업무분장 "/>
      <sheetName val="추정99"/>
      <sheetName val="INQ"/>
      <sheetName val="EU Comps"/>
      <sheetName val="Key Stats"/>
      <sheetName val="Region Support"/>
      <sheetName val="Dropdowns"/>
      <sheetName val="Report Support"/>
      <sheetName val="Dropdowns2"/>
      <sheetName val="BRLIST"/>
      <sheetName val="PNL"/>
      <sheetName val="Branch List"/>
      <sheetName val="C_Agri2_SUMMARY TOTAL"/>
      <sheetName val="Mapping Tool"/>
      <sheetName val="Übersicht Märkte"/>
      <sheetName val="Notations"/>
      <sheetName val="Steuerung"/>
      <sheetName val="Aug"/>
      <sheetName val="Input_Sing_Life"/>
      <sheetName val="GrFour"/>
      <sheetName val="MOne"/>
      <sheetName val="MTwo"/>
      <sheetName val="KOne"/>
      <sheetName val="GoSeven"/>
      <sheetName val="GrThree"/>
      <sheetName val="HTwo"/>
      <sheetName val="JOne"/>
      <sheetName val="JTwo"/>
      <sheetName val="HOne"/>
      <sheetName val="GoEight"/>
      <sheetName val="Outlook"/>
      <sheetName val="CAPSUM"/>
      <sheetName val="Vietnam - Detailed"/>
      <sheetName val="IRR Valuation"/>
      <sheetName val="Recon__Template"/>
      <sheetName val="IRR_Valuation"/>
      <sheetName val="Inc_Stmt_Sum"/>
      <sheetName val="Corp_04_DeprAmort_Recap"/>
      <sheetName val="Total_NA_Food"/>
      <sheetName val="Developer_rev_99"/>
      <sheetName val="_Ad_Sales__exp"/>
      <sheetName val="Bus_Dev"/>
      <sheetName val="corp__exp"/>
      <sheetName val="Cash_Flow"/>
      <sheetName val="Bal_Sheet"/>
      <sheetName val="Prod_Plan"/>
      <sheetName val="Time_Estimates"/>
      <sheetName val="LBO_--&gt;"/>
      <sheetName val="EU_Comps"/>
      <sheetName val="Key_Stats"/>
      <sheetName val="Incentives"/>
      <sheetName val="SO_Incentive_Graphs1"/>
      <sheetName val="SO_Incentive_Graphs2"/>
      <sheetName val="SO_Incentive_Graphs3"/>
      <sheetName val="SO_Incentive_Graphs4"/>
      <sheetName val="LEAGUE"/>
      <sheetName val="Karen_SAP"/>
      <sheetName val="May_03"/>
      <sheetName val="L2_Manpower"/>
      <sheetName val="L2_Summary"/>
      <sheetName val="GBSO"/>
      <sheetName val="Adjusted_Beta"/>
      <sheetName val="Risk-Free_Rate"/>
      <sheetName val="SO Incentive Graphs1"/>
      <sheetName val="SO Incentive Graphs2"/>
      <sheetName val="SO Incentive Graphs3"/>
      <sheetName val="SO Incentive Graphs4"/>
      <sheetName val="Karen SAP"/>
      <sheetName val="May 03"/>
      <sheetName val="L2 Manpower"/>
      <sheetName val="L2 Summary"/>
      <sheetName val="Adjusted Beta"/>
      <sheetName val="Risk-Free Rate"/>
      <sheetName val="Reference List"/>
      <sheetName val="Third Party Direct Costs"/>
      <sheetName val="ACTUAL - Back Office AUG"/>
      <sheetName val="SEPT. 2019"/>
      <sheetName val="OCT. 2019"/>
      <sheetName val="NOV. 2019"/>
      <sheetName val="DEC. 2019"/>
      <sheetName val="JAN. 2020"/>
      <sheetName val="FEB. 2020"/>
      <sheetName val="MAR. 2020"/>
      <sheetName val="APRIL 2020"/>
      <sheetName val="MAY 2020"/>
      <sheetName val="JUNE 2020"/>
      <sheetName val="Job Codes"/>
      <sheetName val="GAEYO"/>
      <sheetName val="Part Vacios Acumulado"/>
      <sheetName val="17000100 roll "/>
      <sheetName val="May 16-Head Count"/>
      <sheetName val="FCST  00 to DB"/>
      <sheetName val="Maintenance"/>
      <sheetName val="Zarnesti"/>
      <sheetName val="Achiz.-08"/>
      <sheetName val="Trsf.-08"/>
      <sheetName val="P&amp;L Review"/>
      <sheetName val="DICTS"/>
      <sheetName val="Base_serv"/>
      <sheetName val="TR"/>
      <sheetName val="Dics"/>
      <sheetName val="IPT inputs"/>
      <sheetName val="IPV inputs"/>
      <sheetName val="Achiz_-08"/>
      <sheetName val="Trsf_-08"/>
      <sheetName val="P&amp;L_Review"/>
      <sheetName val="IPT_inputs"/>
      <sheetName val="IPV_inputs"/>
      <sheetName val="Achiz_-081"/>
      <sheetName val="Trsf_-081"/>
      <sheetName val="P&amp;L_Review1"/>
      <sheetName val="IPT_inputs1"/>
      <sheetName val="IPV_inputs1"/>
      <sheetName val="Achiz_-082"/>
      <sheetName val="Trsf_-082"/>
      <sheetName val="P&amp;L_Review2"/>
      <sheetName val="IPT_inputs2"/>
      <sheetName val="IPV_inputs2"/>
      <sheetName val="TB_GAAP"/>
      <sheetName val="Drop_Down_List1"/>
      <sheetName val="Drop_Down_List"/>
      <sheetName val="Assumptions and Inputs"/>
      <sheetName val="Product A"/>
      <sheetName val="Product B"/>
      <sheetName val="Product C"/>
      <sheetName val="Product D"/>
      <sheetName val="Product E"/>
      <sheetName val="Product F"/>
      <sheetName val="Product G"/>
      <sheetName val="Product H"/>
      <sheetName val="Product I"/>
      <sheetName val="Product J"/>
      <sheetName val="Forecast Driv -#2"/>
      <sheetName val="Summary of Values"/>
      <sheetName val="WACC and WARA"/>
      <sheetName val="אגן"/>
      <sheetName val="production"/>
      <sheetName val="Selling Expenses"/>
      <sheetName val="Gastos"/>
      <sheetName val="All_Items_Sum"/>
      <sheetName val="Top'04"/>
      <sheetName val="Grand Sum BT"/>
      <sheetName val="Grand_Sum_BT"/>
      <sheetName val="DATA LTW"/>
      <sheetName val="Bahan"/>
      <sheetName val="upah-bahan satker_revisi"/>
      <sheetName val="Health"/>
      <sheetName val="Comparable Firms"/>
      <sheetName val="Penyusutan_Kendaraan1"/>
      <sheetName val="SLS-TGT-FEED_(FDM)1"/>
      <sheetName val="C_O_A1"/>
      <sheetName val="List_of_related_party1"/>
      <sheetName val="Altman_Z_Score1"/>
      <sheetName val="TBCons_KMB041"/>
      <sheetName val="absen_kebun_281"/>
      <sheetName val="absen_panen_281"/>
      <sheetName val="UPAH_281"/>
      <sheetName val="Coef_Calculation1"/>
      <sheetName val="Exch_rate1"/>
      <sheetName val="rab_33_2011_krt1"/>
      <sheetName val="RADIO_CONTROLS1"/>
      <sheetName val="KPI-Data_Source1"/>
      <sheetName val="ocean_voyage1"/>
      <sheetName val="rekap_pph_231"/>
      <sheetName val="21_&amp;_251"/>
      <sheetName val="Eksisting_Penarikan1"/>
      <sheetName val="Daftar_Harga1"/>
      <sheetName val="RESOURCE_MODEL"/>
      <sheetName val="Summary_UM"/>
      <sheetName val="BA_Rekon_ARDWS-APTSEL_(IDR)1"/>
      <sheetName val="BA_Rekon_RevDWS-ExpTSEL_(IDR)1"/>
      <sheetName val="BA_Rekon_ARAP_(USD)1"/>
      <sheetName val="BA_Rekon_RevExp_(USD)1"/>
      <sheetName val="BA_Rekon_RevDWS-ExpTSEL_(SLI)1"/>
      <sheetName val="Jurnal_Memo_(USD)1"/>
      <sheetName val="Permanent_info1"/>
      <sheetName val="FISIK_RAB_20001"/>
      <sheetName val="Satuan_Harga_Bahan1"/>
      <sheetName val="Satuan_Harga_Upah1"/>
      <sheetName val="Material_SAP1"/>
      <sheetName val="Master_File1"/>
      <sheetName val="Master_Data1"/>
      <sheetName val="OTHER_PREPAID_EXPENSE1"/>
      <sheetName val="cilandak_payroll1"/>
      <sheetName val="PBC_S20031"/>
      <sheetName val="Actuals_&amp;_Prior_Yr__Figures"/>
      <sheetName val="Annual_Budget_Figures"/>
      <sheetName val="Financial_Reports"/>
      <sheetName val="Faktor_Pembatas_Luas_Areal"/>
      <sheetName val="Fact_Truck"/>
      <sheetName val="Coal_Boiler"/>
      <sheetName val="Template_"/>
      <sheetName val="DAF_INVEN_U_O"/>
      <sheetName val="Base_Data"/>
      <sheetName val="BGT_Cashflow"/>
      <sheetName val="H_Satuan1"/>
      <sheetName val="TRADING_PROFIT"/>
      <sheetName val="9211_Summary_of_CAJE"/>
      <sheetName val="9212_Summary_of_AJE"/>
      <sheetName val="9213_Summary_of_RJE"/>
      <sheetName val="RMS_FUNGSIONAL"/>
      <sheetName val="RMS_-_STR_(2)"/>
      <sheetName val="p_mgmt"/>
      <sheetName val="tabel_rimba"/>
      <sheetName val="RO344_TOTAL"/>
      <sheetName val="KBB-CIB_BANK"/>
      <sheetName val="data_arus_kas"/>
      <sheetName val="ADJ_AUG12,2010"/>
      <sheetName val="lp_kmmda"/>
      <sheetName val="karet_RKAP"/>
      <sheetName val="bez_karpel1"/>
      <sheetName val="lembar_kerja1"/>
      <sheetName val="CA_Sheet"/>
      <sheetName val="AP_Trade"/>
      <sheetName val="Data_YTD"/>
      <sheetName val="LARL-4_(TW)"/>
      <sheetName val="Account_Codes_"/>
      <sheetName val="POTO_MAC"/>
      <sheetName val="CF_Pmt_creditor"/>
      <sheetName val="Seb_KPI's"/>
      <sheetName val="P&amp;L_Detail_SARold"/>
      <sheetName val="Scenarios_and_Sensitivities"/>
      <sheetName val="Global_Assumptions"/>
      <sheetName val="Benefit_Design"/>
      <sheetName val="Experience_Rating"/>
      <sheetName val="Detail_WPL_Jan"/>
      <sheetName val="Telephone_&amp;_KSO_Rev"/>
      <sheetName val="Deferred_Revenue_Nov_04"/>
      <sheetName val="TAX_COM"/>
      <sheetName val="Noodles_(assumptions)"/>
      <sheetName val="Accrued_RO"/>
      <sheetName val="SEC_Income_Statement"/>
      <sheetName val="Operation_01-0207"/>
      <sheetName val="Nrj_Ljr"/>
      <sheetName val="Indirects_MBR"/>
      <sheetName val="budget_2018"/>
      <sheetName val="Doc_Type_Ref"/>
      <sheetName val="5313_Test_Allowance_(aging)"/>
      <sheetName val="1_Rollfwd"/>
      <sheetName val="Pain_data"/>
      <sheetName val="Subs_Details_2004"/>
      <sheetName val="Mt_Ex-CurWk"/>
      <sheetName val="Fuel_&amp;_Safety_-_2"/>
      <sheetName val="SCHEDULE_9A(1_of_3)"/>
      <sheetName val="Bi_kirim"/>
      <sheetName val="Adf_par_resp"/>
      <sheetName val="fr_BS"/>
      <sheetName val="Sheet_2"/>
      <sheetName val="DAIHATSU_"/>
      <sheetName val="Acsys_Key"/>
      <sheetName val="CM_Genset_2"/>
      <sheetName val="Spare_Part"/>
      <sheetName val="SMPS_Relocation"/>
      <sheetName val="DG_Cranking_System"/>
      <sheetName val="Site_Support_and_Maintenance"/>
      <sheetName val="Currency_Spot_Rates"/>
      <sheetName val="TARGET_FINAL"/>
      <sheetName val="NB_BOY"/>
      <sheetName val="NB_ISI"/>
      <sheetName val="KBT_"/>
      <sheetName val="Excess_Calc"/>
      <sheetName val="std_ip_tanpa_abnormal"/>
      <sheetName val="Summary_Peserta"/>
      <sheetName val="Data_Peserta"/>
      <sheetName val="Recap_OT"/>
      <sheetName val="Proses_Gaji"/>
      <sheetName val="Premi_Iuran"/>
      <sheetName val="int-h_wk1"/>
      <sheetName val="REKAP_BKK_BANK"/>
      <sheetName val="Claim_Ratio_"/>
      <sheetName val="form_Rnwl"/>
      <sheetName val="INCOME_RATNA"/>
      <sheetName val="List_PT"/>
      <sheetName val="Analis_Kusen_okk"/>
      <sheetName val="PV_Demand_Forecast_Breakdown"/>
      <sheetName val="rab_lt_2_bo"/>
      <sheetName val="An__Harga"/>
      <sheetName val="Analisa_SNI_STANDART_"/>
      <sheetName val="Jun_98"/>
      <sheetName val="Grand_Sum_BT1"/>
      <sheetName val="Galian_batu"/>
      <sheetName val="A_02-I"/>
      <sheetName val="Form_4"/>
      <sheetName val="FA_sd_APRIL_07"/>
      <sheetName val="3___Balance_Sheet"/>
      <sheetName val="_16___Final_Budgets"/>
      <sheetName val="4___Income_Statement"/>
      <sheetName val="5___Cash_Flow"/>
      <sheetName val="DEPN_2001"/>
      <sheetName val="PENJ_NERACA"/>
      <sheetName val="Bangunan_Utama_B"/>
      <sheetName val="R~INS-01"/>
      <sheetName val="ACT PROD"/>
      <sheetName val="PLAN PROD"/>
      <sheetName val="MAP"/>
      <sheetName val="div-2"/>
      <sheetName val="BASIC"/>
      <sheetName val="RKP"/>
      <sheetName val="dasboard"/>
      <sheetName val="anal"/>
      <sheetName val="DIV 6"/>
      <sheetName val="DIV 7"/>
      <sheetName val="HS-DSR"/>
      <sheetName val="RPP01 6"/>
      <sheetName val="RPP01 3"/>
      <sheetName val="Rekap 1"/>
      <sheetName val="7.공정표"/>
      <sheetName val="hsd"/>
      <sheetName val="sai"/>
      <sheetName val="B.U.A"/>
      <sheetName val="Div-5"/>
      <sheetName val="Div-3"/>
      <sheetName val="Div2"/>
      <sheetName val="Rekap Biaya"/>
      <sheetName val="instalasi disp Mei"/>
      <sheetName val="Note1-Interco"/>
      <sheetName val="Note3-Invest"/>
      <sheetName val="Note2-Equity"/>
      <sheetName val="12-06-ins"/>
      <sheetName val="Income Statements"/>
      <sheetName val="05L-06Pivot"/>
      <sheetName val="Results from Nov 98"/>
      <sheetName val="XL4Test5"/>
      <sheetName val="Pinus"/>
      <sheetName val="Lap des"/>
      <sheetName val="Progres"/>
      <sheetName val="COMBINE"/>
      <sheetName val="CONFIG"/>
      <sheetName val="vol rimba"/>
      <sheetName val="Data TBM I&amp;II"/>
      <sheetName val="PER-HP"/>
      <sheetName val="Jagorawi"/>
      <sheetName val="Kantor Pusat"/>
      <sheetName val="L12 Akt Tetap"/>
      <sheetName val="kriteria"/>
      <sheetName val="Anl-Umum"/>
      <sheetName val="F.8.2 Details Premix"/>
      <sheetName val="FS - US$"/>
      <sheetName val="DATA WP"/>
      <sheetName val="Penyusutan Inventaris"/>
      <sheetName val="value"/>
      <sheetName val="pivot table"/>
      <sheetName val="WPL"/>
      <sheetName val="HopCon"/>
      <sheetName val="FKT_PJK"/>
      <sheetName val="COGS"/>
      <sheetName val="VAT _2010_SPM"/>
      <sheetName val="FA99B"/>
      <sheetName val="FE-1771$.P1"/>
      <sheetName val="jvr"/>
      <sheetName val="OFF"/>
      <sheetName val="FURN"/>
      <sheetName val="COMP"/>
      <sheetName val="harga"/>
      <sheetName val="dBase"/>
      <sheetName val="trf multiple dnrks"/>
      <sheetName val="BGT97STAFF"/>
      <sheetName val="P100"/>
      <sheetName val="TblPajak"/>
      <sheetName val="trf multiple"/>
      <sheetName val="trfakt sgl"/>
      <sheetName val="Reconciliation"/>
      <sheetName val="A.4.3"/>
      <sheetName val="A.4.2"/>
      <sheetName val="PSPC_LE_Pnext_Current"/>
      <sheetName val="SALESAGT'03"/>
      <sheetName val="SALESAPR'03"/>
      <sheetName val="SALESDES'03"/>
      <sheetName val="SALESFEB'03"/>
      <sheetName val="SALESJAN'03"/>
      <sheetName val="SALESJULI'03"/>
      <sheetName val="SALESJUNI'03"/>
      <sheetName val="SALESMEI'03"/>
      <sheetName val="SALESMRT'03"/>
      <sheetName val="SALESNOP'03"/>
      <sheetName val="SALESOKT'03"/>
      <sheetName val="SALESSEP'03"/>
      <sheetName val="K 2.1"/>
      <sheetName val="Spec"/>
      <sheetName val="AR1-F20"/>
      <sheetName val="Plc Staff Recharges"/>
      <sheetName val="Lap_des"/>
      <sheetName val="vol_rimba"/>
      <sheetName val="Data_TBM_I&amp;II"/>
      <sheetName val="unit 3"/>
      <sheetName val="DB"/>
      <sheetName val="1+Pancang"/>
      <sheetName val="KEY"/>
      <sheetName val="PROJ CASH"/>
      <sheetName val="Cover Sheet"/>
      <sheetName val="PRO"/>
      <sheetName val="Exchange Rates"/>
      <sheetName val="H1b Accounts Payable"/>
      <sheetName val="P1 Equity"/>
      <sheetName val="Nov"/>
      <sheetName val="mega"/>
      <sheetName val="prima"/>
      <sheetName val="tira"/>
      <sheetName val="Oct 03"/>
      <sheetName val="MLS.2 Add BP"/>
      <sheetName val="Sandi laba rugi"/>
      <sheetName val="FE-1770.P1"/>
      <sheetName val="KAS $"/>
      <sheetName val="FA1999"/>
      <sheetName val="2004"/>
      <sheetName val="DB_MP1"/>
      <sheetName val="Sales_Parameter1"/>
      <sheetName val="Compensation_Data_Worksheet1"/>
      <sheetName val="Data_Opr1"/>
      <sheetName val="Data_Opr_(2)1"/>
      <sheetName val="DB_MP2"/>
      <sheetName val="Sales_Parameter2"/>
      <sheetName val="absen_kebun_282"/>
      <sheetName val="absen_panen_282"/>
      <sheetName val="UPAH_282"/>
      <sheetName val="ocean_voyage2"/>
      <sheetName val="Compensation_Data_Worksheet2"/>
      <sheetName val="Data_Opr2"/>
      <sheetName val="Data_Opr_(2)2"/>
      <sheetName val="TANDA_TERIMA"/>
      <sheetName val="KPC_Coal"/>
      <sheetName val="DB_MP3"/>
      <sheetName val="Sales_Parameter3"/>
      <sheetName val="absen_kebun_283"/>
      <sheetName val="absen_panen_283"/>
      <sheetName val="UPAH_283"/>
      <sheetName val="ocean_voyage3"/>
      <sheetName val="Data_Opr3"/>
      <sheetName val="Compensation_Data_Worksheet3"/>
      <sheetName val="Data_Opr_(2)3"/>
      <sheetName val="TANDA_TERIMA1"/>
      <sheetName val="KPC_Coal1"/>
      <sheetName val="DB_MP4"/>
      <sheetName val="Sales_Parameter4"/>
      <sheetName val="absen_kebun_284"/>
      <sheetName val="absen_panen_284"/>
      <sheetName val="UPAH_284"/>
      <sheetName val="ocean_voyage4"/>
      <sheetName val="Data_Opr4"/>
      <sheetName val="Compensation_Data_Worksheet4"/>
      <sheetName val="Data_Opr_(2)4"/>
      <sheetName val="TANDA_TERIMA2"/>
      <sheetName val="KPC_Coal2"/>
      <sheetName val="DB_MP5"/>
      <sheetName val="Sales_Parameter5"/>
      <sheetName val="KONS_BID_P&amp;N6"/>
      <sheetName val="UP_II_DUMAI6"/>
      <sheetName val="KP_DIT_HULU6"/>
      <sheetName val="UP_VI_BALONGAN6"/>
      <sheetName val="UP_1_BRANDAN6"/>
      <sheetName val="UP_V_BALIKPAPAN6"/>
      <sheetName val="DIT_HILIR6"/>
      <sheetName val="UP_IV_CILACAP6"/>
      <sheetName val="UP_III_PLAJU6"/>
      <sheetName val="KONS_DIT_HULU6"/>
      <sheetName val="KR_AMPEL6"/>
      <sheetName val="UP_VII_KASIM6"/>
      <sheetName val="KONS_BID_P6"/>
      <sheetName val="General_Info6"/>
      <sheetName val="2003_ACT_CFlow6"/>
      <sheetName val="2003_BGT_C_Flow6"/>
      <sheetName val="HO_Use6"/>
      <sheetName val="Engineering_Workload6"/>
      <sheetName val="absen_kebun_285"/>
      <sheetName val="absen_panen_285"/>
      <sheetName val="UPAH_285"/>
      <sheetName val="ocean_voyage5"/>
      <sheetName val="Data_Opr5"/>
      <sheetName val="Income_Statement5"/>
      <sheetName val="Compensation_Data_Worksheet5"/>
      <sheetName val="Data_Opr_(2)5"/>
      <sheetName val="TANDA_TERIMA3"/>
      <sheetName val="KPC_Coal3"/>
      <sheetName val="DB_MP6"/>
      <sheetName val="Sales_Parameter6"/>
      <sheetName val="KONS_BID_P&amp;N7"/>
      <sheetName val="UP_II_DUMAI7"/>
      <sheetName val="KP_DIT_HULU7"/>
      <sheetName val="UP_VI_BALONGAN7"/>
      <sheetName val="UP_1_BRANDAN7"/>
      <sheetName val="UP_V_BALIKPAPAN7"/>
      <sheetName val="DIT_HILIR7"/>
      <sheetName val="UP_IV_CILACAP7"/>
      <sheetName val="UP_III_PLAJU7"/>
      <sheetName val="KONS_DIT_HULU7"/>
      <sheetName val="KR_AMPEL7"/>
      <sheetName val="UP_VII_KASIM7"/>
      <sheetName val="KONS_BID_P7"/>
      <sheetName val="General_Info7"/>
      <sheetName val="2003_ACT_CFlow7"/>
      <sheetName val="2003_BGT_C_Flow7"/>
      <sheetName val="HO_Use7"/>
      <sheetName val="Engineering_Workload7"/>
      <sheetName val="2D_REPNew2_46"/>
      <sheetName val="absen_kebun_286"/>
      <sheetName val="absen_panen_286"/>
      <sheetName val="UPAH_286"/>
      <sheetName val="ocean_voyage6"/>
      <sheetName val="Table_56"/>
      <sheetName val="Income_Statement6"/>
      <sheetName val="Compensation_Data_Worksheet6"/>
      <sheetName val="Data_Opr6"/>
      <sheetName val="Data_Opr_(2)6"/>
      <sheetName val="TANDA_TERIMA4"/>
      <sheetName val="KPC_Coal4"/>
      <sheetName val="DB_MP7"/>
      <sheetName val="Sales_Parameter7"/>
      <sheetName val="KONS_BID_P&amp;N8"/>
      <sheetName val="UP_II_DUMAI8"/>
      <sheetName val="KP_DIT_HULU8"/>
      <sheetName val="UP_VI_BALONGAN8"/>
      <sheetName val="UP_1_BRANDAN8"/>
      <sheetName val="UP_V_BALIKPAPAN8"/>
      <sheetName val="DIT_HILIR8"/>
      <sheetName val="UP_IV_CILACAP8"/>
      <sheetName val="UP_III_PLAJU8"/>
      <sheetName val="KONS_DIT_HULU8"/>
      <sheetName val="KR_AMPEL8"/>
      <sheetName val="UP_VII_KASIM8"/>
      <sheetName val="KONS_BID_P8"/>
      <sheetName val="General_Info8"/>
      <sheetName val="2003_ACT_CFlow8"/>
      <sheetName val="2003_BGT_C_Flow8"/>
      <sheetName val="HO_Use8"/>
      <sheetName val="Engineering_Workload8"/>
      <sheetName val="2D_REPNew2_47"/>
      <sheetName val="absen_kebun_287"/>
      <sheetName val="absen_panen_287"/>
      <sheetName val="UPAH_287"/>
      <sheetName val="ocean_voyage7"/>
      <sheetName val="Table_57"/>
      <sheetName val="Income_Statement7"/>
      <sheetName val="Compensation_Data_Worksheet7"/>
      <sheetName val="Data_Opr7"/>
      <sheetName val="Data_Opr_(2)7"/>
      <sheetName val="TANDA_TERIMA5"/>
      <sheetName val="KPC_Coal5"/>
      <sheetName val="TB2004"/>
      <sheetName val="KASUS10"/>
      <sheetName val="Gaji"/>
      <sheetName val="4-01"/>
      <sheetName val="Faktoren"/>
      <sheetName val="C.FA_HO"/>
      <sheetName val="C.ICL_HO"/>
      <sheetName val="P.BS"/>
      <sheetName val="C.CS_HO"/>
      <sheetName val="C.WC"/>
      <sheetName val="A.Tax_HO"/>
      <sheetName val="Chks_BO"/>
      <sheetName val="Assets_LU"/>
      <sheetName val="LU_P_BA"/>
      <sheetName val="A.TS"/>
      <sheetName val="Corp_Tax_LU"/>
      <sheetName val="Dashboard"/>
      <sheetName val="P.IS"/>
      <sheetName val="C.Tax_HO"/>
      <sheetName val="C.OBSI_HO"/>
      <sheetName val="CALCULATE INDEKS"/>
      <sheetName val="P.CF"/>
      <sheetName val="A.FA_HO"/>
      <sheetName val="A.CAPEX_HO"/>
      <sheetName val="A.CS_HO"/>
      <sheetName val="A.WC_HO"/>
      <sheetName val="A.INV_HO"/>
      <sheetName val="C.INV_HO_TO"/>
      <sheetName val="A.ICL_HO"/>
      <sheetName val="Inter_Sum_P_BO"/>
      <sheetName val="P.IS_P"/>
      <sheetName val="A.OBSI_HO"/>
      <sheetName val="WC_LU"/>
      <sheetName val="OBSI_LU"/>
      <sheetName val="TS_LU"/>
      <sheetName val="BSHO Report"/>
      <sheetName val="Front"/>
      <sheetName val="Check Sheet"/>
      <sheetName val="PLHO Report"/>
      <sheetName val="PLHOENG"/>
      <sheetName val="ESC"/>
      <sheetName val="pihak_iii1"/>
      <sheetName val="nm_kbn1"/>
      <sheetName val="A_u_g1"/>
      <sheetName val="TBM_KR_20061"/>
      <sheetName val="almanak_&amp;hk_1"/>
      <sheetName val="K4__F&amp;F1"/>
      <sheetName val="angs_griya1"/>
      <sheetName val="Draft_Neraca1"/>
      <sheetName val="rek_det_1-31"/>
      <sheetName val="HARGA_SATUAN1"/>
      <sheetName val="C1_NOV1"/>
      <sheetName val="dongia_(2)1"/>
      <sheetName val="DON_GIA1"/>
      <sheetName val="THPDMoi__(2)1"/>
      <sheetName val="CHITIET_VL-NC1"/>
      <sheetName val="CHITIET_VL-NC-TT_-1p1"/>
      <sheetName val="TH_XL1"/>
      <sheetName val="CHITIET_VL-NC-TT-3p1"/>
      <sheetName val="t-h_HA_THE1"/>
      <sheetName val="TONGKE3p_1"/>
      <sheetName val="KPVC-BD_1"/>
      <sheetName val="pro_ra_op2"/>
      <sheetName val="Program_Triwulanan-041"/>
      <sheetName val="data_berat1"/>
      <sheetName val="3_-_Balance_Sheet1"/>
      <sheetName val="5_-_Cash_Flow1"/>
      <sheetName val="Data_Parameter1"/>
      <sheetName val="SC_Pusat_BB3011"/>
      <sheetName val="SC_Pusat_BB3031"/>
      <sheetName val="SC_Pusat_krd1"/>
      <sheetName val="4_-_Income_Statement1"/>
      <sheetName val="Analisa_Harga_Satuan1"/>
      <sheetName val="Tanah_091"/>
      <sheetName val="Chart_Of_Acc1"/>
      <sheetName val="①　BP_vs_SPR_(TTL_Impact)2"/>
      <sheetName val="Kode_BKU1"/>
      <sheetName val="by_sendiri1"/>
      <sheetName val="bezeting_1"/>
      <sheetName val="AU_31_Komputer1"/>
      <sheetName val="rab_8(over_swt)1"/>
      <sheetName val="rab_8_2(swt)1"/>
      <sheetName val="5614_a_Factory_Machinery1"/>
      <sheetName val="5614_b_Diesel_1"/>
      <sheetName val="5614_c_Factory_Equipment1"/>
      <sheetName val="5614_C_Coal_Boiler1"/>
      <sheetName val="Based_Data_wacc1"/>
      <sheetName val="Data_Sheet_1"/>
      <sheetName val="SKCD_DATA_GP_YK1"/>
      <sheetName val="NPWP_DEBITUR1"/>
      <sheetName val="rab_3_krt1"/>
      <sheetName val="rab_4_krt1"/>
      <sheetName val="rab_4_swt1"/>
      <sheetName val="J_u_l1"/>
      <sheetName val="O_c_t1"/>
      <sheetName val="A_p_r1"/>
      <sheetName val="M_a_y1"/>
      <sheetName val="S_e_p1"/>
      <sheetName val="00_received_in_011"/>
      <sheetName val="F_e_b1"/>
      <sheetName val="Per_GL_J_a_n1"/>
      <sheetName val="J_u_n1"/>
      <sheetName val="M_a_r1"/>
      <sheetName val="Bal_1997-19981"/>
      <sheetName val="Lamp_2_1"/>
      <sheetName val="REKAP_OMZET_KAPAL1"/>
      <sheetName val="INDIRECT_DETAIL1"/>
      <sheetName val="RESOURCE_MODEL1"/>
      <sheetName val="lp_kmmda1"/>
      <sheetName val="karet_RKAP1"/>
      <sheetName val="bez_karpel2"/>
      <sheetName val="lembar_kerja2"/>
      <sheetName val="CA_Sheet1"/>
      <sheetName val="SAD"/>
      <sheetName val="LM13_16"/>
      <sheetName val="MK"/>
      <sheetName val="CH rancangan"/>
      <sheetName val="eCommerce"/>
      <sheetName val="Worksheet-03"/>
      <sheetName val="CF-1"/>
      <sheetName val="MIFA Description"/>
      <sheetName val="Active GL"/>
      <sheetName val="BEFORE ALLOCATION"/>
      <sheetName val="Daf Harga"/>
      <sheetName val="Bill"/>
      <sheetName val="Rekap Bill"/>
      <sheetName val="Regulated Tariff"/>
      <sheetName val="REKAP Package I"/>
      <sheetName val="Fill this out first___"/>
      <sheetName val="Daf_Harga"/>
      <sheetName val="Rekap_Bill"/>
      <sheetName val="Regulated_Tariff"/>
      <sheetName val="REKAP_Package_I"/>
      <sheetName val="Fill_this_out_first___"/>
      <sheetName val="KKP 01 Audit"/>
      <sheetName val="kas-idr"/>
      <sheetName val="Loan Calculator"/>
      <sheetName val="PDPC0908"/>
      <sheetName val="Kantor_Pusat"/>
      <sheetName val="L12_Akt_Tetap"/>
      <sheetName val="allokasi_gaji"/>
      <sheetName val="rab.28.2011.krt"/>
      <sheetName val="rab.24.2011.krt"/>
      <sheetName val="rab.33"/>
      <sheetName val="hk"/>
      <sheetName val="O5_IBA"/>
      <sheetName val="Daftar Data Request"/>
      <sheetName val="K-lead"/>
      <sheetName val="TB 07 08"/>
      <sheetName val="Posting control"/>
      <sheetName val="TEMPLATE"/>
      <sheetName val="FBP"/>
      <sheetName val="ACT HAUL"/>
      <sheetName val="HAUL C1,C2,C3"/>
      <sheetName val="Asumption Board"/>
      <sheetName val="combined"/>
      <sheetName val="Daily Report"/>
      <sheetName val="Daftar Hutang"/>
      <sheetName val="OUSTANDING"/>
      <sheetName val="OUSTANDING_ANW"/>
      <sheetName val="412src2"/>
      <sheetName val="412"/>
      <sheetName val="SELISIHKURSSOURCE"/>
      <sheetName val="kawin-anak(m)"/>
      <sheetName val="Base Info"/>
      <sheetName val="FAI-1"/>
      <sheetName val="FRN"/>
      <sheetName val="JJCP AP TRADE"/>
      <sheetName val="Paremeters"/>
      <sheetName val="F18 EO Rates"/>
      <sheetName val="F19-F21 Inflation"/>
      <sheetName val="Calculations"/>
      <sheetName val="BL2"/>
      <sheetName val="accts"/>
      <sheetName val="costs"/>
      <sheetName val="PL (MONTHLY)"/>
      <sheetName val="F_8_2_Details_Premix"/>
      <sheetName val="C_FA_HO"/>
      <sheetName val="C_ICL_HO"/>
      <sheetName val="P_BS"/>
      <sheetName val="C_CS_HO"/>
      <sheetName val="C_WC"/>
      <sheetName val="A_Tax_HO"/>
      <sheetName val="A_TS"/>
      <sheetName val="P_IS"/>
      <sheetName val="C_Tax_HO"/>
      <sheetName val="C_OBSI_HO"/>
      <sheetName val="CALCULATE_INDEKS"/>
      <sheetName val="P_CF"/>
      <sheetName val="A_FA_HO"/>
      <sheetName val="A_CAPEX_HO"/>
      <sheetName val="A_CS_HO"/>
      <sheetName val="A_WC_HO"/>
      <sheetName val="A_INV_HO"/>
      <sheetName val="C_INV_HO_TO"/>
      <sheetName val="A_ICL_HO"/>
      <sheetName val="P_IS_P"/>
      <sheetName val="A_OBSI_HO"/>
      <sheetName val="Organization_Chart"/>
      <sheetName val="ABK_04_AWALR+CO+TAB_RUPS"/>
      <sheetName val="06__CC270616"/>
      <sheetName val="BSHO_Report"/>
      <sheetName val="Check_Sheet"/>
      <sheetName val="PLHO_Report"/>
      <sheetName val="addl_cost"/>
      <sheetName val="KU-Ajt'03"/>
      <sheetName val="t.b"/>
      <sheetName val="period 5"/>
      <sheetName val="Nat"/>
      <sheetName val="GT"/>
      <sheetName val="MTDB"/>
      <sheetName val="MTDS"/>
      <sheetName val="Conversion"/>
      <sheetName val="E-retail"/>
      <sheetName val="Overview"/>
      <sheetName val="Basic Info"/>
      <sheetName val="HT Nat"/>
      <sheetName val="HT GT"/>
      <sheetName val="HT MTDB"/>
      <sheetName val="HT MTDS"/>
      <sheetName val="HT E-retail"/>
      <sheetName val="HT Nat Channel"/>
      <sheetName val="HT Nat Channel SCP B20 to LE19"/>
      <sheetName val="COGS B2020 vs B2019 compare"/>
      <sheetName val="COGS SKU HT B2020"/>
      <sheetName val="Listing by SKU"/>
      <sheetName val="Summary &amp; Phasing MT"/>
      <sheetName val="Details GT"/>
      <sheetName val="COGS B2019 (box) sum"/>
      <sheetName val="Master Data Correction"/>
      <sheetName val="Summary by Channel"/>
      <sheetName val="Stock Projection"/>
      <sheetName val="Other Valid Codes"/>
      <sheetName val="Plant_Loc"/>
      <sheetName val="UoM"/>
      <sheetName val="Currencies"/>
      <sheetName val="MGR-12"/>
      <sheetName val="ASSUM-COMB-Prop"/>
      <sheetName val="Stock Chart"/>
      <sheetName val="차입금"/>
      <sheetName val="서울판관-공통부문"/>
      <sheetName val="BS(Don't Prt)"/>
      <sheetName val="Links"/>
      <sheetName val="N719(NC)"/>
    </sheetNames>
    <sheetDataSet>
      <sheetData sheetId="0" refreshError="1"/>
      <sheetData sheetId="1" refreshError="1"/>
      <sheetData sheetId="2" refreshError="1">
        <row r="1">
          <cell r="A1">
            <v>0</v>
          </cell>
        </row>
        <row r="18">
          <cell r="N18" t="str">
            <v>ENGINEERING</v>
          </cell>
          <cell r="O18">
            <v>0</v>
          </cell>
          <cell r="P18">
            <v>0</v>
          </cell>
          <cell r="Q18">
            <v>0</v>
          </cell>
          <cell r="Y18" t="str">
            <v>WK Count</v>
          </cell>
          <cell r="Z18" t="str">
            <v>Total Days</v>
          </cell>
        </row>
        <row r="20">
          <cell r="A20" t="str">
            <v>PREP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 t="str">
            <v>ANIMATION</v>
          </cell>
          <cell r="G20">
            <v>0</v>
          </cell>
          <cell r="H20">
            <v>0</v>
          </cell>
          <cell r="I20" t="str">
            <v>INK &amp; PAINT</v>
          </cell>
          <cell r="J20">
            <v>0</v>
          </cell>
          <cell r="K20">
            <v>0</v>
          </cell>
          <cell r="L20" t="str">
            <v>ALPHA</v>
          </cell>
          <cell r="M20">
            <v>0</v>
          </cell>
          <cell r="N20" t="str">
            <v>BETA</v>
          </cell>
          <cell r="O20">
            <v>0</v>
          </cell>
          <cell r="P20" t="str">
            <v>RTM</v>
          </cell>
          <cell r="Q20">
            <v>0</v>
          </cell>
          <cell r="Y20">
            <v>11</v>
          </cell>
          <cell r="Z20">
            <v>77</v>
          </cell>
        </row>
        <row r="31">
          <cell r="A31" t="str">
            <v>Wks</v>
          </cell>
          <cell r="B31" t="str">
            <v>Days</v>
          </cell>
          <cell r="C31">
            <v>0</v>
          </cell>
          <cell r="D31">
            <v>0</v>
          </cell>
          <cell r="E31">
            <v>0</v>
          </cell>
          <cell r="F31" t="str">
            <v>Wks</v>
          </cell>
          <cell r="G31" t="str">
            <v>Days</v>
          </cell>
          <cell r="H31" t="str">
            <v>Frames</v>
          </cell>
          <cell r="I31" t="str">
            <v>Wks</v>
          </cell>
          <cell r="J31" t="str">
            <v>Days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Y31">
            <v>16</v>
          </cell>
          <cell r="Z31">
            <v>110</v>
          </cell>
        </row>
        <row r="32">
          <cell r="A32">
            <v>9</v>
          </cell>
          <cell r="B32">
            <v>77</v>
          </cell>
          <cell r="C32">
            <v>0</v>
          </cell>
          <cell r="D32">
            <v>0</v>
          </cell>
          <cell r="E32">
            <v>0</v>
          </cell>
          <cell r="F32">
            <v>10</v>
          </cell>
          <cell r="G32">
            <v>110</v>
          </cell>
          <cell r="H32">
            <v>4500</v>
          </cell>
          <cell r="I32">
            <v>5</v>
          </cell>
          <cell r="J32">
            <v>49</v>
          </cell>
          <cell r="K32">
            <v>21</v>
          </cell>
          <cell r="L32">
            <v>0</v>
          </cell>
          <cell r="M32">
            <v>29</v>
          </cell>
          <cell r="N32">
            <v>0</v>
          </cell>
          <cell r="O32">
            <v>29</v>
          </cell>
          <cell r="P32">
            <v>0</v>
          </cell>
          <cell r="Q32">
            <v>29</v>
          </cell>
          <cell r="Y32">
            <v>7</v>
          </cell>
          <cell r="Z32">
            <v>49</v>
          </cell>
        </row>
        <row r="45">
          <cell r="Y45">
            <v>154</v>
          </cell>
          <cell r="Z45">
            <v>35</v>
          </cell>
        </row>
        <row r="49">
          <cell r="N49" t="str">
            <v>ENGINEERING</v>
          </cell>
          <cell r="O49">
            <v>0</v>
          </cell>
          <cell r="P49">
            <v>0</v>
          </cell>
          <cell r="Q49">
            <v>0</v>
          </cell>
          <cell r="Y49" t="str">
            <v>WK Count</v>
          </cell>
          <cell r="Z49" t="str">
            <v>Total Days</v>
          </cell>
        </row>
        <row r="53">
          <cell r="A53" t="str">
            <v>PREP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 t="str">
            <v>ANIMATION</v>
          </cell>
          <cell r="G53">
            <v>0</v>
          </cell>
          <cell r="H53">
            <v>0</v>
          </cell>
          <cell r="I53" t="str">
            <v>INK &amp; PAINT</v>
          </cell>
          <cell r="J53">
            <v>0</v>
          </cell>
          <cell r="K53">
            <v>0</v>
          </cell>
          <cell r="L53" t="str">
            <v>ALPHA</v>
          </cell>
          <cell r="M53">
            <v>0</v>
          </cell>
          <cell r="N53" t="str">
            <v>BETA</v>
          </cell>
          <cell r="O53">
            <v>0</v>
          </cell>
          <cell r="P53" t="str">
            <v>RTM</v>
          </cell>
          <cell r="Q53">
            <v>0</v>
          </cell>
          <cell r="Y53">
            <v>22</v>
          </cell>
          <cell r="Z53">
            <v>154</v>
          </cell>
        </row>
        <row r="64">
          <cell r="A64" t="str">
            <v>Wks</v>
          </cell>
          <cell r="B64" t="str">
            <v>Days</v>
          </cell>
          <cell r="C64">
            <v>0</v>
          </cell>
          <cell r="D64">
            <v>0</v>
          </cell>
          <cell r="E64">
            <v>0</v>
          </cell>
          <cell r="F64" t="str">
            <v>Wks</v>
          </cell>
          <cell r="G64" t="str">
            <v>Days</v>
          </cell>
          <cell r="H64" t="str">
            <v>Frames</v>
          </cell>
          <cell r="I64" t="str">
            <v>Wks</v>
          </cell>
          <cell r="J64" t="str">
            <v>Days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Y64">
            <v>16</v>
          </cell>
          <cell r="Z64">
            <v>76.666666666666671</v>
          </cell>
        </row>
        <row r="65">
          <cell r="A65">
            <v>20</v>
          </cell>
          <cell r="B65">
            <v>154</v>
          </cell>
          <cell r="C65">
            <v>0</v>
          </cell>
          <cell r="D65">
            <v>0</v>
          </cell>
          <cell r="E65">
            <v>0</v>
          </cell>
          <cell r="F65">
            <v>6.666666666666667</v>
          </cell>
          <cell r="G65">
            <v>76.666666666666671</v>
          </cell>
          <cell r="H65">
            <v>3000</v>
          </cell>
          <cell r="I65">
            <v>3.3333333333333335</v>
          </cell>
          <cell r="J65">
            <v>37.333333333333336</v>
          </cell>
          <cell r="K65">
            <v>21</v>
          </cell>
          <cell r="L65">
            <v>0</v>
          </cell>
          <cell r="M65">
            <v>29</v>
          </cell>
          <cell r="N65">
            <v>0</v>
          </cell>
          <cell r="O65">
            <v>29</v>
          </cell>
          <cell r="P65">
            <v>0</v>
          </cell>
          <cell r="Q65">
            <v>29</v>
          </cell>
          <cell r="Y65">
            <v>9</v>
          </cell>
          <cell r="Z65">
            <v>37.333333333333336</v>
          </cell>
        </row>
        <row r="93">
          <cell r="Y93">
            <v>154</v>
          </cell>
          <cell r="Z93">
            <v>23.333333333333336</v>
          </cell>
        </row>
        <row r="94">
          <cell r="Y94">
            <v>154</v>
          </cell>
          <cell r="Z94">
            <v>23.333333333333336</v>
          </cell>
        </row>
        <row r="97">
          <cell r="N97" t="str">
            <v>ENGINEERING</v>
          </cell>
          <cell r="O97">
            <v>0</v>
          </cell>
          <cell r="P97">
            <v>0</v>
          </cell>
          <cell r="Q97">
            <v>0</v>
          </cell>
          <cell r="Y97" t="str">
            <v>WK Count</v>
          </cell>
          <cell r="Z97" t="str">
            <v>Total Days</v>
          </cell>
        </row>
        <row r="98">
          <cell r="N98" t="str">
            <v>ENGINEERING</v>
          </cell>
          <cell r="O98">
            <v>0</v>
          </cell>
          <cell r="P98">
            <v>0</v>
          </cell>
          <cell r="Q98">
            <v>0</v>
          </cell>
          <cell r="Y98" t="str">
            <v>WK Count</v>
          </cell>
          <cell r="Z98" t="str">
            <v>Total Days</v>
          </cell>
        </row>
        <row r="99">
          <cell r="A99" t="str">
            <v>PREP</v>
          </cell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 t="str">
            <v>ANIMATION</v>
          </cell>
          <cell r="G99">
            <v>0</v>
          </cell>
          <cell r="H99">
            <v>0</v>
          </cell>
          <cell r="I99" t="str">
            <v>INK &amp; PAINT</v>
          </cell>
          <cell r="J99">
            <v>0</v>
          </cell>
          <cell r="K99">
            <v>0</v>
          </cell>
          <cell r="L99" t="str">
            <v>ALPHA</v>
          </cell>
          <cell r="M99">
            <v>0</v>
          </cell>
          <cell r="N99" t="str">
            <v>BETA</v>
          </cell>
          <cell r="O99">
            <v>0</v>
          </cell>
          <cell r="P99" t="str">
            <v>RTM</v>
          </cell>
          <cell r="Q99">
            <v>0</v>
          </cell>
          <cell r="Y99">
            <v>14</v>
          </cell>
          <cell r="Z99">
            <v>94.5</v>
          </cell>
        </row>
        <row r="100">
          <cell r="A100" t="str">
            <v>PREP</v>
          </cell>
          <cell r="B100">
            <v>0</v>
          </cell>
          <cell r="C100">
            <v>0</v>
          </cell>
          <cell r="D100">
            <v>0</v>
          </cell>
          <cell r="E100">
            <v>0</v>
          </cell>
          <cell r="F100" t="str">
            <v>ANIMATION</v>
          </cell>
          <cell r="G100">
            <v>0</v>
          </cell>
          <cell r="H100">
            <v>0</v>
          </cell>
          <cell r="I100" t="str">
            <v>INK &amp; PAINT</v>
          </cell>
          <cell r="J100">
            <v>0</v>
          </cell>
          <cell r="K100">
            <v>0</v>
          </cell>
          <cell r="L100" t="str">
            <v>ALPHA</v>
          </cell>
          <cell r="M100">
            <v>0</v>
          </cell>
          <cell r="N100" t="str">
            <v>BETA</v>
          </cell>
          <cell r="O100">
            <v>0</v>
          </cell>
          <cell r="P100" t="str">
            <v>RTM</v>
          </cell>
          <cell r="Q100">
            <v>0</v>
          </cell>
          <cell r="Y100">
            <v>12</v>
          </cell>
          <cell r="Z100">
            <v>85.399999999999991</v>
          </cell>
        </row>
        <row r="101">
          <cell r="Y101">
            <v>0</v>
          </cell>
          <cell r="Z101">
            <v>0</v>
          </cell>
        </row>
        <row r="102">
          <cell r="Y102">
            <v>0</v>
          </cell>
          <cell r="Z102">
            <v>0</v>
          </cell>
        </row>
        <row r="103">
          <cell r="Y103">
            <v>0</v>
          </cell>
          <cell r="Z103">
            <v>0</v>
          </cell>
        </row>
        <row r="104">
          <cell r="Y104">
            <v>0</v>
          </cell>
          <cell r="Z104">
            <v>0</v>
          </cell>
        </row>
        <row r="105">
          <cell r="Y105">
            <v>0</v>
          </cell>
          <cell r="Z105">
            <v>0</v>
          </cell>
        </row>
        <row r="106">
          <cell r="Y106">
            <v>0</v>
          </cell>
          <cell r="Z106">
            <v>0</v>
          </cell>
        </row>
        <row r="107">
          <cell r="Y107">
            <v>0</v>
          </cell>
          <cell r="Z107">
            <v>0</v>
          </cell>
        </row>
        <row r="108">
          <cell r="Y108">
            <v>0</v>
          </cell>
          <cell r="Z108">
            <v>0</v>
          </cell>
        </row>
        <row r="109">
          <cell r="Y109">
            <v>0</v>
          </cell>
          <cell r="Z109">
            <v>0</v>
          </cell>
        </row>
        <row r="110">
          <cell r="A110" t="str">
            <v>Wks</v>
          </cell>
          <cell r="B110" t="str">
            <v>Days</v>
          </cell>
          <cell r="C110">
            <v>0</v>
          </cell>
          <cell r="D110">
            <v>0</v>
          </cell>
          <cell r="E110">
            <v>0</v>
          </cell>
          <cell r="F110" t="str">
            <v>Wks</v>
          </cell>
          <cell r="G110" t="str">
            <v>Days</v>
          </cell>
          <cell r="H110" t="str">
            <v>Frames</v>
          </cell>
          <cell r="I110" t="str">
            <v>Wks</v>
          </cell>
          <cell r="J110" t="str">
            <v>Days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Y110">
            <v>11</v>
          </cell>
          <cell r="Z110">
            <v>83.666666666666671</v>
          </cell>
        </row>
        <row r="111">
          <cell r="A111" t="str">
            <v>Wks</v>
          </cell>
          <cell r="B111" t="str">
            <v>Days</v>
          </cell>
          <cell r="C111">
            <v>0</v>
          </cell>
          <cell r="D111">
            <v>0</v>
          </cell>
          <cell r="E111">
            <v>0</v>
          </cell>
          <cell r="F111" t="str">
            <v>Wks</v>
          </cell>
          <cell r="G111" t="str">
            <v>Days</v>
          </cell>
          <cell r="H111" t="str">
            <v>Frames</v>
          </cell>
          <cell r="I111" t="str">
            <v>Wks</v>
          </cell>
          <cell r="J111" t="str">
            <v>Days</v>
          </cell>
          <cell r="K111">
            <v>21</v>
          </cell>
          <cell r="L111">
            <v>0</v>
          </cell>
          <cell r="M111">
            <v>29</v>
          </cell>
          <cell r="N111">
            <v>0</v>
          </cell>
          <cell r="O111">
            <v>29</v>
          </cell>
          <cell r="P111">
            <v>0</v>
          </cell>
          <cell r="Q111">
            <v>29</v>
          </cell>
          <cell r="Y111">
            <v>11</v>
          </cell>
          <cell r="Z111">
            <v>77.599999999999994</v>
          </cell>
        </row>
        <row r="112">
          <cell r="A112">
            <v>10.199999999999999</v>
          </cell>
          <cell r="B112">
            <v>85.399999999999991</v>
          </cell>
          <cell r="C112">
            <v>0</v>
          </cell>
          <cell r="D112">
            <v>0</v>
          </cell>
          <cell r="E112">
            <v>0</v>
          </cell>
          <cell r="F112">
            <v>6.8</v>
          </cell>
          <cell r="G112">
            <v>77.599999999999994</v>
          </cell>
          <cell r="H112">
            <v>5100</v>
          </cell>
          <cell r="I112">
            <v>5.666666666666667</v>
          </cell>
          <cell r="J112">
            <v>53.666666666666671</v>
          </cell>
          <cell r="K112">
            <v>21</v>
          </cell>
          <cell r="L112">
            <v>0</v>
          </cell>
          <cell r="M112">
            <v>29</v>
          </cell>
          <cell r="N112">
            <v>0</v>
          </cell>
          <cell r="O112">
            <v>29</v>
          </cell>
          <cell r="P112">
            <v>0</v>
          </cell>
          <cell r="Q112">
            <v>29</v>
          </cell>
          <cell r="Y112">
            <v>5</v>
          </cell>
          <cell r="Z112">
            <v>53.666666666666671</v>
          </cell>
        </row>
        <row r="114">
          <cell r="Y114">
            <v>0</v>
          </cell>
          <cell r="Z114">
            <v>0</v>
          </cell>
        </row>
        <row r="115">
          <cell r="Y115">
            <v>0</v>
          </cell>
          <cell r="Z115">
            <v>0</v>
          </cell>
        </row>
        <row r="116">
          <cell r="Y116">
            <v>0</v>
          </cell>
          <cell r="Z116">
            <v>0</v>
          </cell>
        </row>
        <row r="117">
          <cell r="Y117">
            <v>0</v>
          </cell>
          <cell r="Z117">
            <v>0</v>
          </cell>
        </row>
        <row r="118">
          <cell r="Y118">
            <v>0</v>
          </cell>
          <cell r="Z118">
            <v>0</v>
          </cell>
        </row>
        <row r="119">
          <cell r="Y119">
            <v>0</v>
          </cell>
          <cell r="Z119">
            <v>0</v>
          </cell>
        </row>
        <row r="120">
          <cell r="Y120">
            <v>0</v>
          </cell>
          <cell r="Z120">
            <v>0</v>
          </cell>
        </row>
        <row r="121">
          <cell r="Y121">
            <v>0</v>
          </cell>
          <cell r="Z121">
            <v>0</v>
          </cell>
        </row>
        <row r="122">
          <cell r="Y122">
            <v>0</v>
          </cell>
          <cell r="Z122">
            <v>0</v>
          </cell>
        </row>
        <row r="123">
          <cell r="Y123">
            <v>0</v>
          </cell>
          <cell r="Z123">
            <v>0</v>
          </cell>
        </row>
        <row r="124">
          <cell r="Y124">
            <v>0</v>
          </cell>
          <cell r="Z124">
            <v>0</v>
          </cell>
        </row>
        <row r="125">
          <cell r="Y125">
            <v>0</v>
          </cell>
          <cell r="Z125">
            <v>0</v>
          </cell>
        </row>
        <row r="126">
          <cell r="Y126">
            <v>0</v>
          </cell>
          <cell r="Z126">
            <v>0</v>
          </cell>
        </row>
        <row r="127">
          <cell r="Y127">
            <v>0</v>
          </cell>
          <cell r="Z127">
            <v>0</v>
          </cell>
        </row>
        <row r="128">
          <cell r="Y128">
            <v>0</v>
          </cell>
          <cell r="Z128">
            <v>0</v>
          </cell>
        </row>
        <row r="129">
          <cell r="Y129">
            <v>0</v>
          </cell>
          <cell r="Z129">
            <v>0</v>
          </cell>
        </row>
        <row r="130">
          <cell r="Y130">
            <v>0</v>
          </cell>
          <cell r="Z130">
            <v>0</v>
          </cell>
        </row>
        <row r="131">
          <cell r="Y131">
            <v>0</v>
          </cell>
          <cell r="Z131">
            <v>0</v>
          </cell>
        </row>
        <row r="132">
          <cell r="Y132">
            <v>0</v>
          </cell>
          <cell r="Z132">
            <v>0</v>
          </cell>
        </row>
        <row r="133">
          <cell r="Y133">
            <v>0</v>
          </cell>
          <cell r="Z133">
            <v>0</v>
          </cell>
        </row>
        <row r="134">
          <cell r="Y134">
            <v>0</v>
          </cell>
          <cell r="Z134">
            <v>0</v>
          </cell>
        </row>
        <row r="135">
          <cell r="Y135">
            <v>0</v>
          </cell>
          <cell r="Z135">
            <v>0</v>
          </cell>
        </row>
        <row r="136">
          <cell r="Y136">
            <v>119</v>
          </cell>
          <cell r="Z136">
            <v>44.722222222222229</v>
          </cell>
        </row>
        <row r="137">
          <cell r="Y137">
            <v>119</v>
          </cell>
          <cell r="Z137">
            <v>39.666666666666671</v>
          </cell>
        </row>
        <row r="141">
          <cell r="N141" t="str">
            <v>ENGINEERING</v>
          </cell>
          <cell r="O141">
            <v>0</v>
          </cell>
          <cell r="P141">
            <v>0</v>
          </cell>
          <cell r="Q141">
            <v>0</v>
          </cell>
          <cell r="Y141" t="str">
            <v>WK Count</v>
          </cell>
          <cell r="Z141" t="str">
            <v>Total Days</v>
          </cell>
        </row>
        <row r="142">
          <cell r="N142" t="str">
            <v>ENGINEERING</v>
          </cell>
          <cell r="O142">
            <v>0</v>
          </cell>
          <cell r="P142">
            <v>0</v>
          </cell>
          <cell r="Q142">
            <v>0</v>
          </cell>
          <cell r="Y142" t="str">
            <v>WK Count</v>
          </cell>
          <cell r="Z142" t="str">
            <v>Total Days</v>
          </cell>
        </row>
        <row r="143">
          <cell r="A143" t="str">
            <v>PREP</v>
          </cell>
          <cell r="B143">
            <v>0</v>
          </cell>
          <cell r="C143">
            <v>0</v>
          </cell>
          <cell r="D143">
            <v>0</v>
          </cell>
          <cell r="E143">
            <v>0</v>
          </cell>
          <cell r="F143" t="str">
            <v>ANIMATION</v>
          </cell>
          <cell r="G143">
            <v>0</v>
          </cell>
          <cell r="H143">
            <v>0</v>
          </cell>
          <cell r="I143" t="str">
            <v>INK &amp; PAINT</v>
          </cell>
          <cell r="J143">
            <v>0</v>
          </cell>
          <cell r="K143">
            <v>0</v>
          </cell>
          <cell r="L143" t="str">
            <v>ALPHA</v>
          </cell>
          <cell r="M143">
            <v>0</v>
          </cell>
          <cell r="N143" t="str">
            <v>BETA</v>
          </cell>
          <cell r="O143">
            <v>0</v>
          </cell>
          <cell r="P143" t="str">
            <v>RTM</v>
          </cell>
          <cell r="Q143">
            <v>0</v>
          </cell>
          <cell r="Y143">
            <v>0</v>
          </cell>
          <cell r="Z143" t="e">
            <v>#REF!</v>
          </cell>
        </row>
        <row r="144">
          <cell r="A144" t="str">
            <v>PREP</v>
          </cell>
          <cell r="B144">
            <v>0</v>
          </cell>
          <cell r="C144">
            <v>0</v>
          </cell>
          <cell r="D144">
            <v>0</v>
          </cell>
          <cell r="E144">
            <v>0</v>
          </cell>
          <cell r="F144" t="str">
            <v>ANIMATION</v>
          </cell>
          <cell r="G144">
            <v>0</v>
          </cell>
          <cell r="H144">
            <v>0</v>
          </cell>
          <cell r="I144" t="str">
            <v>INK &amp; PAINT</v>
          </cell>
          <cell r="J144">
            <v>0</v>
          </cell>
          <cell r="K144">
            <v>0</v>
          </cell>
          <cell r="L144" t="str">
            <v>ALPHA</v>
          </cell>
          <cell r="M144">
            <v>0</v>
          </cell>
          <cell r="N144" t="str">
            <v>BETA</v>
          </cell>
          <cell r="O144">
            <v>0</v>
          </cell>
          <cell r="P144" t="str">
            <v>RTM</v>
          </cell>
          <cell r="Q144">
            <v>0</v>
          </cell>
          <cell r="Y144">
            <v>0</v>
          </cell>
          <cell r="Z144" t="e">
            <v>#REF!</v>
          </cell>
        </row>
        <row r="153">
          <cell r="Y153">
            <v>0</v>
          </cell>
          <cell r="Z153">
            <v>0</v>
          </cell>
        </row>
        <row r="154">
          <cell r="Y154">
            <v>0</v>
          </cell>
          <cell r="Z154">
            <v>0</v>
          </cell>
        </row>
        <row r="155">
          <cell r="Y155">
            <v>0</v>
          </cell>
          <cell r="Z155">
            <v>0</v>
          </cell>
        </row>
        <row r="156">
          <cell r="Y156">
            <v>0</v>
          </cell>
          <cell r="Z156">
            <v>0</v>
          </cell>
        </row>
        <row r="157">
          <cell r="Y157">
            <v>0</v>
          </cell>
          <cell r="Z157">
            <v>0</v>
          </cell>
        </row>
        <row r="158">
          <cell r="Y158">
            <v>0</v>
          </cell>
          <cell r="Z158">
            <v>0</v>
          </cell>
        </row>
        <row r="159">
          <cell r="Y159">
            <v>0</v>
          </cell>
          <cell r="Z159">
            <v>0</v>
          </cell>
        </row>
        <row r="160">
          <cell r="Y160">
            <v>0</v>
          </cell>
          <cell r="Z160">
            <v>0</v>
          </cell>
        </row>
        <row r="161">
          <cell r="Y161">
            <v>0</v>
          </cell>
          <cell r="Z161">
            <v>0</v>
          </cell>
        </row>
        <row r="162">
          <cell r="Y162">
            <v>0</v>
          </cell>
          <cell r="Z162">
            <v>0</v>
          </cell>
        </row>
        <row r="163">
          <cell r="Y163">
            <v>0</v>
          </cell>
          <cell r="Z163">
            <v>0</v>
          </cell>
        </row>
        <row r="164">
          <cell r="Y164">
            <v>0</v>
          </cell>
          <cell r="Z164">
            <v>0</v>
          </cell>
        </row>
        <row r="165">
          <cell r="Y165" t="e">
            <v>#REF!</v>
          </cell>
          <cell r="Z165" t="e">
            <v>#REF!</v>
          </cell>
        </row>
        <row r="166">
          <cell r="Y166" t="e">
            <v>#REF!</v>
          </cell>
          <cell r="Z166" t="e">
            <v>#REF!</v>
          </cell>
        </row>
        <row r="169">
          <cell r="N169" t="str">
            <v>ENGINEERING</v>
          </cell>
          <cell r="O169">
            <v>0</v>
          </cell>
          <cell r="P169">
            <v>0</v>
          </cell>
          <cell r="Q169">
            <v>0</v>
          </cell>
          <cell r="Y169" t="str">
            <v>WK Count</v>
          </cell>
          <cell r="Z169" t="str">
            <v>Total Days</v>
          </cell>
        </row>
        <row r="170">
          <cell r="N170" t="str">
            <v>ENGINEERING</v>
          </cell>
          <cell r="O170">
            <v>0</v>
          </cell>
          <cell r="P170">
            <v>0</v>
          </cell>
          <cell r="Q170">
            <v>0</v>
          </cell>
          <cell r="Y170" t="str">
            <v>WK Count</v>
          </cell>
          <cell r="Z170" t="str">
            <v>Total Days</v>
          </cell>
        </row>
        <row r="171">
          <cell r="A171" t="str">
            <v>PREP</v>
          </cell>
          <cell r="B171">
            <v>0</v>
          </cell>
          <cell r="C171">
            <v>0</v>
          </cell>
          <cell r="D171">
            <v>0</v>
          </cell>
          <cell r="E171">
            <v>0</v>
          </cell>
          <cell r="F171" t="str">
            <v>ANIMATION</v>
          </cell>
          <cell r="G171">
            <v>0</v>
          </cell>
          <cell r="H171">
            <v>0</v>
          </cell>
          <cell r="I171" t="str">
            <v>INK &amp; PAINT</v>
          </cell>
          <cell r="J171">
            <v>0</v>
          </cell>
          <cell r="K171">
            <v>0</v>
          </cell>
          <cell r="L171" t="str">
            <v>ALPHA</v>
          </cell>
          <cell r="M171">
            <v>0</v>
          </cell>
          <cell r="N171" t="str">
            <v>BETA</v>
          </cell>
          <cell r="O171">
            <v>0</v>
          </cell>
          <cell r="P171" t="str">
            <v>RTM</v>
          </cell>
          <cell r="Q171">
            <v>0</v>
          </cell>
          <cell r="Y171">
            <v>9</v>
          </cell>
          <cell r="Z171">
            <v>65.73384999999999</v>
          </cell>
        </row>
        <row r="172">
          <cell r="A172" t="str">
            <v>PREP</v>
          </cell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 t="str">
            <v>ANIMATION</v>
          </cell>
          <cell r="G172">
            <v>0</v>
          </cell>
          <cell r="H172">
            <v>0</v>
          </cell>
          <cell r="I172" t="str">
            <v>INK &amp; PAINT</v>
          </cell>
          <cell r="J172">
            <v>0</v>
          </cell>
          <cell r="K172">
            <v>0</v>
          </cell>
          <cell r="L172" t="str">
            <v>ALPHA</v>
          </cell>
          <cell r="M172">
            <v>0</v>
          </cell>
          <cell r="N172" t="str">
            <v>BETA</v>
          </cell>
          <cell r="O172">
            <v>0</v>
          </cell>
          <cell r="P172" t="str">
            <v>RTM</v>
          </cell>
          <cell r="Q172">
            <v>0</v>
          </cell>
          <cell r="Y172">
            <v>9</v>
          </cell>
          <cell r="Z172">
            <v>65.73384999999999</v>
          </cell>
        </row>
        <row r="174">
          <cell r="Y174">
            <v>0</v>
          </cell>
          <cell r="Z174">
            <v>0</v>
          </cell>
        </row>
        <row r="175">
          <cell r="Y175">
            <v>0</v>
          </cell>
          <cell r="Z175">
            <v>0</v>
          </cell>
        </row>
        <row r="176">
          <cell r="Y176">
            <v>0</v>
          </cell>
          <cell r="Z176">
            <v>0</v>
          </cell>
        </row>
        <row r="177">
          <cell r="Y177">
            <v>0</v>
          </cell>
          <cell r="Z177">
            <v>0</v>
          </cell>
        </row>
        <row r="178">
          <cell r="Y178">
            <v>0</v>
          </cell>
          <cell r="Z178">
            <v>0</v>
          </cell>
        </row>
        <row r="179">
          <cell r="Y179">
            <v>0</v>
          </cell>
          <cell r="Z179">
            <v>0</v>
          </cell>
        </row>
        <row r="180">
          <cell r="Y180">
            <v>0</v>
          </cell>
          <cell r="Z180">
            <v>0</v>
          </cell>
        </row>
        <row r="181">
          <cell r="Y181">
            <v>0</v>
          </cell>
          <cell r="Z181">
            <v>0</v>
          </cell>
        </row>
        <row r="182">
          <cell r="A182" t="str">
            <v>Wks</v>
          </cell>
          <cell r="B182" t="str">
            <v>Days</v>
          </cell>
          <cell r="C182">
            <v>0</v>
          </cell>
          <cell r="D182">
            <v>0</v>
          </cell>
          <cell r="E182">
            <v>0</v>
          </cell>
          <cell r="F182" t="str">
            <v>Wks</v>
          </cell>
          <cell r="G182" t="str">
            <v>Days</v>
          </cell>
          <cell r="H182" t="str">
            <v>Frames</v>
          </cell>
          <cell r="I182" t="str">
            <v>Wks</v>
          </cell>
          <cell r="J182" t="str">
            <v>Days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Y182">
            <v>12</v>
          </cell>
          <cell r="Z182">
            <v>57.591386666666665</v>
          </cell>
        </row>
        <row r="183">
          <cell r="A183" t="str">
            <v>Wks</v>
          </cell>
          <cell r="B183" t="str">
            <v>Days</v>
          </cell>
          <cell r="C183">
            <v>0</v>
          </cell>
          <cell r="D183">
            <v>0</v>
          </cell>
          <cell r="E183">
            <v>0</v>
          </cell>
          <cell r="F183" t="str">
            <v>Wks</v>
          </cell>
          <cell r="G183" t="str">
            <v>Days</v>
          </cell>
          <cell r="H183" t="str">
            <v>Frames</v>
          </cell>
          <cell r="I183" t="str">
            <v>Wks</v>
          </cell>
          <cell r="J183" t="str">
            <v>Days</v>
          </cell>
          <cell r="K183">
            <v>21</v>
          </cell>
          <cell r="L183">
            <v>0</v>
          </cell>
          <cell r="M183">
            <v>29</v>
          </cell>
          <cell r="N183">
            <v>0</v>
          </cell>
          <cell r="O183">
            <v>29</v>
          </cell>
          <cell r="P183">
            <v>0</v>
          </cell>
          <cell r="Q183">
            <v>29</v>
          </cell>
          <cell r="Y183">
            <v>12</v>
          </cell>
          <cell r="Z183">
            <v>57.591386666666665</v>
          </cell>
        </row>
        <row r="184">
          <cell r="A184">
            <v>7.3905499999999993</v>
          </cell>
          <cell r="B184">
            <v>65.73384999999999</v>
          </cell>
          <cell r="C184">
            <v>0</v>
          </cell>
          <cell r="D184">
            <v>0</v>
          </cell>
          <cell r="E184">
            <v>0</v>
          </cell>
          <cell r="F184">
            <v>3.9416266666666666</v>
          </cell>
          <cell r="G184">
            <v>57.591386666666665</v>
          </cell>
          <cell r="H184">
            <v>2956.22</v>
          </cell>
          <cell r="I184">
            <v>3.2846888888888888</v>
          </cell>
          <cell r="J184">
            <v>36.992822222222223</v>
          </cell>
          <cell r="K184">
            <v>21</v>
          </cell>
          <cell r="L184">
            <v>0</v>
          </cell>
          <cell r="M184">
            <v>29</v>
          </cell>
          <cell r="N184">
            <v>0</v>
          </cell>
          <cell r="O184">
            <v>29</v>
          </cell>
          <cell r="P184">
            <v>0</v>
          </cell>
          <cell r="Q184">
            <v>29</v>
          </cell>
          <cell r="Y184">
            <v>8</v>
          </cell>
          <cell r="Z184">
            <v>36.992822222222223</v>
          </cell>
        </row>
        <row r="186">
          <cell r="Y186">
            <v>0</v>
          </cell>
          <cell r="Z186">
            <v>0</v>
          </cell>
        </row>
        <row r="187">
          <cell r="Y187">
            <v>0</v>
          </cell>
          <cell r="Z187">
            <v>0</v>
          </cell>
        </row>
        <row r="188">
          <cell r="Y188">
            <v>0</v>
          </cell>
          <cell r="Z188">
            <v>0</v>
          </cell>
        </row>
        <row r="189">
          <cell r="Y189">
            <v>0</v>
          </cell>
          <cell r="Z189">
            <v>0</v>
          </cell>
        </row>
        <row r="190">
          <cell r="Y190">
            <v>0</v>
          </cell>
          <cell r="Z190">
            <v>0</v>
          </cell>
        </row>
        <row r="191">
          <cell r="Y191">
            <v>0</v>
          </cell>
          <cell r="Z191">
            <v>0</v>
          </cell>
        </row>
        <row r="192">
          <cell r="Y192">
            <v>0</v>
          </cell>
          <cell r="Z192">
            <v>0</v>
          </cell>
        </row>
        <row r="193">
          <cell r="Y193">
            <v>0</v>
          </cell>
          <cell r="Z193">
            <v>0</v>
          </cell>
        </row>
        <row r="194">
          <cell r="Y194">
            <v>0</v>
          </cell>
          <cell r="Z194">
            <v>0</v>
          </cell>
        </row>
        <row r="195">
          <cell r="Y195">
            <v>0</v>
          </cell>
          <cell r="Z195">
            <v>0</v>
          </cell>
        </row>
        <row r="196">
          <cell r="Y196">
            <v>0</v>
          </cell>
          <cell r="Z196">
            <v>0</v>
          </cell>
        </row>
        <row r="197">
          <cell r="Y197">
            <v>0</v>
          </cell>
          <cell r="Z197">
            <v>0</v>
          </cell>
        </row>
        <row r="198">
          <cell r="Y198">
            <v>0</v>
          </cell>
          <cell r="Z198">
            <v>0</v>
          </cell>
        </row>
        <row r="199">
          <cell r="Y199">
            <v>0</v>
          </cell>
          <cell r="Z199">
            <v>0</v>
          </cell>
        </row>
        <row r="200">
          <cell r="Y200">
            <v>0</v>
          </cell>
          <cell r="Z200">
            <v>0</v>
          </cell>
        </row>
        <row r="201">
          <cell r="Y201">
            <v>0</v>
          </cell>
          <cell r="Z201">
            <v>0</v>
          </cell>
        </row>
        <row r="202">
          <cell r="Y202">
            <v>0</v>
          </cell>
          <cell r="Z202">
            <v>0</v>
          </cell>
        </row>
        <row r="203">
          <cell r="Y203">
            <v>0</v>
          </cell>
          <cell r="Z203">
            <v>0</v>
          </cell>
        </row>
        <row r="204">
          <cell r="Y204">
            <v>0</v>
          </cell>
          <cell r="Z204">
            <v>0</v>
          </cell>
        </row>
        <row r="205">
          <cell r="Y205">
            <v>0</v>
          </cell>
          <cell r="Z205">
            <v>0</v>
          </cell>
        </row>
        <row r="206">
          <cell r="Y206">
            <v>126</v>
          </cell>
          <cell r="Z206">
            <v>22.992822222222223</v>
          </cell>
        </row>
        <row r="207">
          <cell r="Y207">
            <v>126</v>
          </cell>
          <cell r="Z207">
            <v>22.992822222222223</v>
          </cell>
        </row>
        <row r="208">
          <cell r="Y208">
            <v>0</v>
          </cell>
          <cell r="Z208">
            <v>0</v>
          </cell>
        </row>
        <row r="210">
          <cell r="N210" t="str">
            <v>ENGINEERING</v>
          </cell>
          <cell r="O210">
            <v>0</v>
          </cell>
          <cell r="P210">
            <v>0</v>
          </cell>
          <cell r="Q210">
            <v>0</v>
          </cell>
          <cell r="Y210" t="str">
            <v>WK Count</v>
          </cell>
          <cell r="Z210" t="str">
            <v>Total Days</v>
          </cell>
        </row>
        <row r="211">
          <cell r="N211" t="str">
            <v>ENGINEERING</v>
          </cell>
          <cell r="O211">
            <v>0</v>
          </cell>
          <cell r="P211">
            <v>0</v>
          </cell>
          <cell r="Q211">
            <v>0</v>
          </cell>
          <cell r="Y211" t="str">
            <v>WK Count</v>
          </cell>
          <cell r="Z211" t="str">
            <v>Total Days</v>
          </cell>
        </row>
        <row r="212">
          <cell r="A212" t="str">
            <v>PREP</v>
          </cell>
          <cell r="B212">
            <v>0</v>
          </cell>
          <cell r="C212">
            <v>0</v>
          </cell>
          <cell r="D212">
            <v>0</v>
          </cell>
          <cell r="E212">
            <v>0</v>
          </cell>
          <cell r="F212" t="str">
            <v>ANIMATION</v>
          </cell>
          <cell r="G212">
            <v>0</v>
          </cell>
          <cell r="H212">
            <v>0</v>
          </cell>
          <cell r="I212" t="str">
            <v>INK &amp; PAINT</v>
          </cell>
          <cell r="J212">
            <v>0</v>
          </cell>
          <cell r="K212">
            <v>0</v>
          </cell>
          <cell r="L212" t="str">
            <v>ALPHA</v>
          </cell>
          <cell r="M212">
            <v>0</v>
          </cell>
          <cell r="N212" t="str">
            <v>BETA</v>
          </cell>
          <cell r="O212">
            <v>0</v>
          </cell>
          <cell r="P212" t="str">
            <v>RTM</v>
          </cell>
          <cell r="Q212">
            <v>0</v>
          </cell>
          <cell r="Y212">
            <v>9</v>
          </cell>
          <cell r="Z212">
            <v>57.220141999999996</v>
          </cell>
        </row>
        <row r="213">
          <cell r="A213" t="str">
            <v>PREP</v>
          </cell>
          <cell r="B213" t="str">
            <v>Days</v>
          </cell>
          <cell r="C213">
            <v>0</v>
          </cell>
          <cell r="D213">
            <v>0</v>
          </cell>
          <cell r="E213">
            <v>0</v>
          </cell>
          <cell r="F213" t="str">
            <v>ANIMATION</v>
          </cell>
          <cell r="G213" t="str">
            <v>Days</v>
          </cell>
          <cell r="H213" t="str">
            <v>Frames</v>
          </cell>
          <cell r="I213" t="str">
            <v>INK &amp; PAINT</v>
          </cell>
          <cell r="J213" t="str">
            <v>Days</v>
          </cell>
          <cell r="K213">
            <v>0</v>
          </cell>
          <cell r="L213" t="str">
            <v>ALPHA</v>
          </cell>
          <cell r="M213">
            <v>0</v>
          </cell>
          <cell r="N213" t="str">
            <v>BETA</v>
          </cell>
          <cell r="O213">
            <v>0</v>
          </cell>
          <cell r="P213" t="str">
            <v>RTM</v>
          </cell>
          <cell r="Q213">
            <v>0</v>
          </cell>
          <cell r="Y213">
            <v>9</v>
          </cell>
          <cell r="Z213">
            <v>57.220141999999996</v>
          </cell>
        </row>
        <row r="214">
          <cell r="A214" t="str">
            <v>Wks</v>
          </cell>
          <cell r="B214" t="str">
            <v>Days</v>
          </cell>
          <cell r="C214">
            <v>0</v>
          </cell>
          <cell r="D214">
            <v>0</v>
          </cell>
          <cell r="E214">
            <v>0</v>
          </cell>
          <cell r="F214" t="str">
            <v>Wks</v>
          </cell>
          <cell r="G214" t="str">
            <v>Days</v>
          </cell>
          <cell r="H214" t="str">
            <v>Frames</v>
          </cell>
          <cell r="I214" t="str">
            <v>Wks</v>
          </cell>
          <cell r="J214" t="str">
            <v>Days</v>
          </cell>
          <cell r="K214">
            <v>21</v>
          </cell>
          <cell r="L214">
            <v>0</v>
          </cell>
          <cell r="M214">
            <v>29</v>
          </cell>
          <cell r="N214">
            <v>0</v>
          </cell>
          <cell r="O214">
            <v>29</v>
          </cell>
          <cell r="P214">
            <v>0</v>
          </cell>
          <cell r="Q214">
            <v>29</v>
          </cell>
          <cell r="Y214">
            <v>11</v>
          </cell>
          <cell r="Z214">
            <v>73.220141999999996</v>
          </cell>
        </row>
        <row r="215">
          <cell r="A215">
            <v>6.1743059999999996</v>
          </cell>
          <cell r="B215">
            <v>57.220141999999996</v>
          </cell>
          <cell r="C215">
            <v>0</v>
          </cell>
          <cell r="D215">
            <v>0</v>
          </cell>
          <cell r="E215">
            <v>0</v>
          </cell>
          <cell r="F215">
            <v>6.1743059999999996</v>
          </cell>
          <cell r="G215">
            <v>73.220141999999996</v>
          </cell>
          <cell r="H215">
            <v>3087.1529999999998</v>
          </cell>
          <cell r="I215">
            <v>6.1743059999999996</v>
          </cell>
          <cell r="J215">
            <v>57.220141999999996</v>
          </cell>
          <cell r="K215">
            <v>21</v>
          </cell>
          <cell r="L215">
            <v>0</v>
          </cell>
          <cell r="M215">
            <v>29</v>
          </cell>
          <cell r="N215">
            <v>0</v>
          </cell>
          <cell r="O215">
            <v>29</v>
          </cell>
          <cell r="P215">
            <v>0</v>
          </cell>
          <cell r="Q215">
            <v>29</v>
          </cell>
          <cell r="Y215">
            <v>8</v>
          </cell>
          <cell r="Z215">
            <v>57.220141999999996</v>
          </cell>
        </row>
        <row r="217">
          <cell r="Y217">
            <v>0</v>
          </cell>
          <cell r="Z217">
            <v>0</v>
          </cell>
        </row>
        <row r="218">
          <cell r="Y218">
            <v>0</v>
          </cell>
          <cell r="Z218">
            <v>0</v>
          </cell>
        </row>
        <row r="219">
          <cell r="Y219">
            <v>0</v>
          </cell>
          <cell r="Z219">
            <v>0</v>
          </cell>
        </row>
        <row r="220">
          <cell r="Y220">
            <v>0</v>
          </cell>
          <cell r="Z220">
            <v>0</v>
          </cell>
        </row>
        <row r="221">
          <cell r="Y221">
            <v>0</v>
          </cell>
          <cell r="Z221">
            <v>0</v>
          </cell>
        </row>
        <row r="222">
          <cell r="Y222">
            <v>0</v>
          </cell>
          <cell r="Z222">
            <v>0</v>
          </cell>
        </row>
        <row r="223">
          <cell r="Y223">
            <v>0</v>
          </cell>
          <cell r="Z223">
            <v>0</v>
          </cell>
        </row>
        <row r="224">
          <cell r="Y224">
            <v>0</v>
          </cell>
          <cell r="Z224">
            <v>0</v>
          </cell>
        </row>
        <row r="225">
          <cell r="Y225">
            <v>0</v>
          </cell>
          <cell r="Z225">
            <v>0</v>
          </cell>
        </row>
        <row r="226">
          <cell r="Y226">
            <v>0</v>
          </cell>
          <cell r="Z226">
            <v>0</v>
          </cell>
        </row>
        <row r="227">
          <cell r="Y227">
            <v>119</v>
          </cell>
          <cell r="Z227">
            <v>43.220141999999996</v>
          </cell>
        </row>
        <row r="228">
          <cell r="Y228">
            <v>119</v>
          </cell>
          <cell r="Z228">
            <v>43.220141999999996</v>
          </cell>
        </row>
        <row r="229">
          <cell r="Y229">
            <v>0</v>
          </cell>
          <cell r="Z229">
            <v>0</v>
          </cell>
        </row>
        <row r="231">
          <cell r="N231" t="str">
            <v>ENGINEERING</v>
          </cell>
          <cell r="O231">
            <v>0</v>
          </cell>
          <cell r="P231">
            <v>0</v>
          </cell>
          <cell r="Q231">
            <v>0</v>
          </cell>
          <cell r="Y231" t="str">
            <v>WK Count</v>
          </cell>
          <cell r="Z231" t="str">
            <v>Total Days</v>
          </cell>
        </row>
        <row r="232">
          <cell r="N232" t="str">
            <v>ENGINEERING</v>
          </cell>
          <cell r="O232">
            <v>0</v>
          </cell>
          <cell r="P232">
            <v>0</v>
          </cell>
          <cell r="Q232">
            <v>0</v>
          </cell>
          <cell r="Y232" t="str">
            <v>WK Count</v>
          </cell>
          <cell r="Z232" t="str">
            <v>Total Days</v>
          </cell>
        </row>
        <row r="233">
          <cell r="A233" t="str">
            <v>PREP</v>
          </cell>
          <cell r="B233">
            <v>0</v>
          </cell>
          <cell r="C233">
            <v>0</v>
          </cell>
          <cell r="D233">
            <v>0</v>
          </cell>
          <cell r="E233">
            <v>0</v>
          </cell>
          <cell r="F233" t="str">
            <v>ANIMATION</v>
          </cell>
          <cell r="G233">
            <v>0</v>
          </cell>
          <cell r="H233">
            <v>0</v>
          </cell>
          <cell r="I233" t="str">
            <v>INK &amp; PAINT</v>
          </cell>
          <cell r="J233">
            <v>0</v>
          </cell>
          <cell r="K233">
            <v>0</v>
          </cell>
          <cell r="L233" t="str">
            <v>ALPHA</v>
          </cell>
          <cell r="M233">
            <v>0</v>
          </cell>
          <cell r="N233" t="str">
            <v>BETA</v>
          </cell>
          <cell r="O233">
            <v>0</v>
          </cell>
          <cell r="P233" t="str">
            <v>RTM</v>
          </cell>
          <cell r="Q233">
            <v>0</v>
          </cell>
          <cell r="Y233">
            <v>16</v>
          </cell>
          <cell r="Z233">
            <v>112</v>
          </cell>
        </row>
        <row r="234">
          <cell r="A234" t="str">
            <v>PREP</v>
          </cell>
          <cell r="B234" t="str">
            <v>Days</v>
          </cell>
          <cell r="C234">
            <v>0</v>
          </cell>
          <cell r="D234">
            <v>0</v>
          </cell>
          <cell r="E234">
            <v>0</v>
          </cell>
          <cell r="F234" t="str">
            <v>ANIMATION</v>
          </cell>
          <cell r="G234" t="str">
            <v>Days</v>
          </cell>
          <cell r="H234" t="str">
            <v>Frames</v>
          </cell>
          <cell r="I234" t="str">
            <v>INK &amp; PAINT</v>
          </cell>
          <cell r="J234" t="str">
            <v>Days</v>
          </cell>
          <cell r="K234">
            <v>0</v>
          </cell>
          <cell r="L234" t="str">
            <v>ALPHA</v>
          </cell>
          <cell r="M234">
            <v>0</v>
          </cell>
          <cell r="N234" t="str">
            <v>BETA</v>
          </cell>
          <cell r="O234">
            <v>0</v>
          </cell>
          <cell r="P234" t="str">
            <v>RTM</v>
          </cell>
          <cell r="Q234">
            <v>0</v>
          </cell>
          <cell r="Y234">
            <v>16</v>
          </cell>
          <cell r="Z234">
            <v>112</v>
          </cell>
        </row>
        <row r="235">
          <cell r="A235" t="str">
            <v>Wks</v>
          </cell>
          <cell r="B235" t="str">
            <v>Days</v>
          </cell>
          <cell r="C235">
            <v>0</v>
          </cell>
          <cell r="D235">
            <v>0</v>
          </cell>
          <cell r="E235">
            <v>0</v>
          </cell>
          <cell r="F235" t="str">
            <v>Wks</v>
          </cell>
          <cell r="G235" t="str">
            <v>Days</v>
          </cell>
          <cell r="H235" t="str">
            <v>Frames</v>
          </cell>
          <cell r="I235" t="str">
            <v>Wks</v>
          </cell>
          <cell r="J235" t="str">
            <v>Days</v>
          </cell>
          <cell r="K235">
            <v>21</v>
          </cell>
          <cell r="L235">
            <v>0</v>
          </cell>
          <cell r="M235">
            <v>29</v>
          </cell>
          <cell r="N235">
            <v>0</v>
          </cell>
          <cell r="O235">
            <v>29</v>
          </cell>
          <cell r="P235">
            <v>0</v>
          </cell>
          <cell r="Q235">
            <v>29</v>
          </cell>
          <cell r="Y235">
            <v>19</v>
          </cell>
          <cell r="Z235">
            <v>128</v>
          </cell>
        </row>
        <row r="236">
          <cell r="A236">
            <v>14</v>
          </cell>
          <cell r="B236">
            <v>112</v>
          </cell>
          <cell r="C236">
            <v>0</v>
          </cell>
          <cell r="D236">
            <v>0</v>
          </cell>
          <cell r="E236">
            <v>0</v>
          </cell>
          <cell r="F236">
            <v>14</v>
          </cell>
          <cell r="G236">
            <v>128</v>
          </cell>
          <cell r="H236">
            <v>7000</v>
          </cell>
          <cell r="I236">
            <v>14</v>
          </cell>
          <cell r="J236">
            <v>112</v>
          </cell>
          <cell r="K236">
            <v>21</v>
          </cell>
          <cell r="L236">
            <v>0</v>
          </cell>
          <cell r="M236">
            <v>29</v>
          </cell>
          <cell r="N236">
            <v>0</v>
          </cell>
          <cell r="O236">
            <v>29</v>
          </cell>
          <cell r="P236">
            <v>0</v>
          </cell>
          <cell r="Q236">
            <v>29</v>
          </cell>
          <cell r="Y236">
            <v>16</v>
          </cell>
          <cell r="Z236">
            <v>112</v>
          </cell>
        </row>
        <row r="238">
          <cell r="Y238">
            <v>0</v>
          </cell>
          <cell r="Z238">
            <v>0</v>
          </cell>
        </row>
        <row r="239">
          <cell r="Y239">
            <v>0</v>
          </cell>
          <cell r="Z239">
            <v>0</v>
          </cell>
        </row>
        <row r="240">
          <cell r="Y240">
            <v>0</v>
          </cell>
          <cell r="Z240">
            <v>0</v>
          </cell>
        </row>
        <row r="241">
          <cell r="Y241">
            <v>0</v>
          </cell>
          <cell r="Z241">
            <v>0</v>
          </cell>
        </row>
        <row r="242">
          <cell r="Y242">
            <v>0</v>
          </cell>
          <cell r="Z242">
            <v>0</v>
          </cell>
        </row>
        <row r="243">
          <cell r="Y243">
            <v>0</v>
          </cell>
          <cell r="Z243">
            <v>0</v>
          </cell>
        </row>
        <row r="244">
          <cell r="Y244">
            <v>0</v>
          </cell>
          <cell r="Z244">
            <v>0</v>
          </cell>
        </row>
        <row r="245">
          <cell r="Y245">
            <v>0</v>
          </cell>
          <cell r="Z245">
            <v>0</v>
          </cell>
        </row>
        <row r="246">
          <cell r="Y246">
            <v>0</v>
          </cell>
          <cell r="Z246">
            <v>0</v>
          </cell>
        </row>
        <row r="247">
          <cell r="Y247">
            <v>0</v>
          </cell>
          <cell r="Z247">
            <v>0</v>
          </cell>
        </row>
        <row r="248">
          <cell r="Y248">
            <v>175</v>
          </cell>
          <cell r="Z248">
            <v>98</v>
          </cell>
        </row>
        <row r="249">
          <cell r="Y249">
            <v>175</v>
          </cell>
          <cell r="Z249">
            <v>98</v>
          </cell>
        </row>
        <row r="250">
          <cell r="Y250">
            <v>0</v>
          </cell>
          <cell r="Z250">
            <v>0</v>
          </cell>
        </row>
        <row r="252">
          <cell r="N252" t="str">
            <v>ENGINEERING</v>
          </cell>
          <cell r="O252">
            <v>0</v>
          </cell>
          <cell r="P252">
            <v>0</v>
          </cell>
          <cell r="Q252">
            <v>0</v>
          </cell>
          <cell r="Y252" t="str">
            <v>WK Count</v>
          </cell>
          <cell r="Z252" t="str">
            <v>Total Days</v>
          </cell>
        </row>
        <row r="253">
          <cell r="N253" t="str">
            <v>ENGINEERING</v>
          </cell>
          <cell r="O253">
            <v>0</v>
          </cell>
          <cell r="P253">
            <v>0</v>
          </cell>
          <cell r="Q253">
            <v>0</v>
          </cell>
          <cell r="Y253" t="str">
            <v>WK Count</v>
          </cell>
          <cell r="Z253" t="str">
            <v>Total Days</v>
          </cell>
        </row>
        <row r="254">
          <cell r="A254" t="str">
            <v>PREP</v>
          </cell>
          <cell r="B254">
            <v>0</v>
          </cell>
          <cell r="C254">
            <v>0</v>
          </cell>
          <cell r="D254">
            <v>0</v>
          </cell>
          <cell r="E254">
            <v>0</v>
          </cell>
          <cell r="F254" t="str">
            <v>ANIMATION</v>
          </cell>
          <cell r="G254">
            <v>0</v>
          </cell>
          <cell r="H254">
            <v>0</v>
          </cell>
          <cell r="I254" t="str">
            <v>INK &amp; PAINT</v>
          </cell>
          <cell r="J254">
            <v>0</v>
          </cell>
          <cell r="K254">
            <v>0</v>
          </cell>
          <cell r="L254" t="str">
            <v>ALPHA</v>
          </cell>
          <cell r="M254">
            <v>0</v>
          </cell>
          <cell r="N254" t="str">
            <v>BETA</v>
          </cell>
          <cell r="O254">
            <v>0</v>
          </cell>
          <cell r="P254" t="str">
            <v>RTM</v>
          </cell>
          <cell r="Q254">
            <v>0</v>
          </cell>
          <cell r="Y254">
            <v>12</v>
          </cell>
          <cell r="Z254">
            <v>77.068739999999991</v>
          </cell>
        </row>
        <row r="255">
          <cell r="A255" t="str">
            <v>PREP</v>
          </cell>
          <cell r="B255" t="str">
            <v>Days</v>
          </cell>
          <cell r="C255">
            <v>0</v>
          </cell>
          <cell r="D255">
            <v>0</v>
          </cell>
          <cell r="E255">
            <v>0</v>
          </cell>
          <cell r="F255" t="str">
            <v>ANIMATION</v>
          </cell>
          <cell r="G255" t="str">
            <v>Days</v>
          </cell>
          <cell r="H255" t="str">
            <v>Frames</v>
          </cell>
          <cell r="I255" t="str">
            <v>INK &amp; PAINT</v>
          </cell>
          <cell r="J255" t="str">
            <v>Days</v>
          </cell>
          <cell r="K255">
            <v>0</v>
          </cell>
          <cell r="L255" t="str">
            <v>ALPHA</v>
          </cell>
          <cell r="M255">
            <v>0</v>
          </cell>
          <cell r="N255" t="str">
            <v>BETA</v>
          </cell>
          <cell r="O255">
            <v>0</v>
          </cell>
          <cell r="P255" t="str">
            <v>RTM</v>
          </cell>
          <cell r="Q255">
            <v>0</v>
          </cell>
          <cell r="Y255">
            <v>12</v>
          </cell>
          <cell r="Z255">
            <v>77.068739999999991</v>
          </cell>
        </row>
        <row r="256">
          <cell r="A256" t="str">
            <v>Wks</v>
          </cell>
          <cell r="B256" t="str">
            <v>Days</v>
          </cell>
          <cell r="C256">
            <v>0</v>
          </cell>
          <cell r="D256">
            <v>0</v>
          </cell>
          <cell r="E256">
            <v>0</v>
          </cell>
          <cell r="F256" t="str">
            <v>Wks</v>
          </cell>
          <cell r="G256" t="str">
            <v>Days</v>
          </cell>
          <cell r="H256" t="str">
            <v>Frames</v>
          </cell>
          <cell r="I256" t="str">
            <v>Wks</v>
          </cell>
          <cell r="J256" t="str">
            <v>Days</v>
          </cell>
          <cell r="K256">
            <v>21</v>
          </cell>
          <cell r="L256">
            <v>0</v>
          </cell>
          <cell r="M256">
            <v>29</v>
          </cell>
          <cell r="N256">
            <v>0</v>
          </cell>
          <cell r="O256">
            <v>29</v>
          </cell>
          <cell r="P256">
            <v>0</v>
          </cell>
          <cell r="Q256">
            <v>29</v>
          </cell>
          <cell r="Y256">
            <v>14</v>
          </cell>
          <cell r="Z256">
            <v>93.068739999999991</v>
          </cell>
        </row>
        <row r="257">
          <cell r="A257">
            <v>9.0098199999999995</v>
          </cell>
          <cell r="B257">
            <v>77.068739999999991</v>
          </cell>
          <cell r="C257">
            <v>0</v>
          </cell>
          <cell r="D257">
            <v>0</v>
          </cell>
          <cell r="E257">
            <v>0</v>
          </cell>
          <cell r="F257">
            <v>9.0098199999999995</v>
          </cell>
          <cell r="G257">
            <v>93.068739999999991</v>
          </cell>
          <cell r="H257">
            <v>4504.91</v>
          </cell>
          <cell r="I257">
            <v>9.0098199999999995</v>
          </cell>
          <cell r="J257">
            <v>77.068739999999991</v>
          </cell>
          <cell r="K257">
            <v>21</v>
          </cell>
          <cell r="L257">
            <v>0</v>
          </cell>
          <cell r="M257">
            <v>29</v>
          </cell>
          <cell r="N257">
            <v>0</v>
          </cell>
          <cell r="O257">
            <v>29</v>
          </cell>
          <cell r="P257">
            <v>0</v>
          </cell>
          <cell r="Q257">
            <v>29</v>
          </cell>
          <cell r="Y257">
            <v>11</v>
          </cell>
          <cell r="Z257">
            <v>77.068739999999991</v>
          </cell>
        </row>
        <row r="259">
          <cell r="Y259">
            <v>0</v>
          </cell>
          <cell r="Z259">
            <v>0</v>
          </cell>
        </row>
        <row r="260">
          <cell r="Y260">
            <v>0</v>
          </cell>
          <cell r="Z260">
            <v>0</v>
          </cell>
        </row>
        <row r="261">
          <cell r="Y261">
            <v>0</v>
          </cell>
          <cell r="Z261">
            <v>0</v>
          </cell>
        </row>
        <row r="262">
          <cell r="Y262">
            <v>0</v>
          </cell>
          <cell r="Z262">
            <v>0</v>
          </cell>
        </row>
        <row r="263">
          <cell r="Y263">
            <v>0</v>
          </cell>
          <cell r="Z263">
            <v>0</v>
          </cell>
        </row>
        <row r="264">
          <cell r="Y264">
            <v>0</v>
          </cell>
          <cell r="Z264">
            <v>0</v>
          </cell>
        </row>
        <row r="265">
          <cell r="Y265">
            <v>0</v>
          </cell>
          <cell r="Z265">
            <v>0</v>
          </cell>
        </row>
        <row r="266">
          <cell r="Y266">
            <v>0</v>
          </cell>
          <cell r="Z266">
            <v>0</v>
          </cell>
        </row>
        <row r="267">
          <cell r="Y267">
            <v>0</v>
          </cell>
          <cell r="Z267">
            <v>0</v>
          </cell>
        </row>
        <row r="268">
          <cell r="Y268">
            <v>0</v>
          </cell>
          <cell r="Z268">
            <v>0</v>
          </cell>
        </row>
        <row r="269">
          <cell r="Y269">
            <v>140</v>
          </cell>
          <cell r="Z269">
            <v>63.068739999999991</v>
          </cell>
        </row>
        <row r="270">
          <cell r="Y270">
            <v>140</v>
          </cell>
          <cell r="Z270">
            <v>63.068739999999991</v>
          </cell>
        </row>
        <row r="273">
          <cell r="N273" t="str">
            <v>ENGINEERING</v>
          </cell>
          <cell r="O273">
            <v>0</v>
          </cell>
          <cell r="P273">
            <v>0</v>
          </cell>
          <cell r="Q273">
            <v>0</v>
          </cell>
          <cell r="Y273" t="str">
            <v>WK Count</v>
          </cell>
          <cell r="Z273" t="str">
            <v>Total Days</v>
          </cell>
        </row>
        <row r="274">
          <cell r="N274" t="str">
            <v>ENGINEERING</v>
          </cell>
          <cell r="O274">
            <v>0</v>
          </cell>
          <cell r="P274">
            <v>0</v>
          </cell>
          <cell r="Q274">
            <v>0</v>
          </cell>
          <cell r="Y274" t="str">
            <v>WK Count</v>
          </cell>
          <cell r="Z274" t="str">
            <v>Total Days</v>
          </cell>
        </row>
        <row r="275">
          <cell r="A275" t="str">
            <v>PREP</v>
          </cell>
          <cell r="B275">
            <v>0</v>
          </cell>
          <cell r="C275">
            <v>0</v>
          </cell>
          <cell r="D275">
            <v>0</v>
          </cell>
          <cell r="E275">
            <v>0</v>
          </cell>
          <cell r="F275" t="str">
            <v>ANIMATION</v>
          </cell>
          <cell r="G275">
            <v>0</v>
          </cell>
          <cell r="H275">
            <v>0</v>
          </cell>
          <cell r="I275" t="str">
            <v>INK &amp; PAINT</v>
          </cell>
          <cell r="J275">
            <v>0</v>
          </cell>
          <cell r="K275">
            <v>0</v>
          </cell>
          <cell r="L275" t="str">
            <v>ALPHA</v>
          </cell>
          <cell r="M275">
            <v>0</v>
          </cell>
          <cell r="N275" t="str">
            <v>BETA</v>
          </cell>
          <cell r="O275">
            <v>0</v>
          </cell>
          <cell r="P275" t="str">
            <v>RTM</v>
          </cell>
          <cell r="Q275">
            <v>0</v>
          </cell>
          <cell r="Y275">
            <v>7</v>
          </cell>
          <cell r="Z275">
            <v>52.351039999999998</v>
          </cell>
        </row>
        <row r="276">
          <cell r="A276" t="str">
            <v>PREP</v>
          </cell>
          <cell r="B276" t="str">
            <v>Days</v>
          </cell>
          <cell r="C276">
            <v>0</v>
          </cell>
          <cell r="D276">
            <v>0</v>
          </cell>
          <cell r="E276">
            <v>0</v>
          </cell>
          <cell r="F276" t="str">
            <v>ANIMATION</v>
          </cell>
          <cell r="G276" t="str">
            <v>Days</v>
          </cell>
          <cell r="H276" t="str">
            <v>Frames</v>
          </cell>
          <cell r="I276" t="str">
            <v>INK &amp; PAINT</v>
          </cell>
          <cell r="J276" t="str">
            <v>Days</v>
          </cell>
          <cell r="K276">
            <v>0</v>
          </cell>
          <cell r="L276" t="str">
            <v>ALPHA</v>
          </cell>
          <cell r="M276">
            <v>0</v>
          </cell>
          <cell r="N276" t="str">
            <v>BETA</v>
          </cell>
          <cell r="O276">
            <v>0</v>
          </cell>
          <cell r="P276" t="str">
            <v>RTM</v>
          </cell>
          <cell r="Q276">
            <v>0</v>
          </cell>
          <cell r="Y276">
            <v>7</v>
          </cell>
          <cell r="Z276">
            <v>52.351039999999998</v>
          </cell>
        </row>
        <row r="277">
          <cell r="A277" t="str">
            <v>Wks</v>
          </cell>
          <cell r="B277" t="str">
            <v>Days</v>
          </cell>
          <cell r="C277">
            <v>0</v>
          </cell>
          <cell r="D277">
            <v>0</v>
          </cell>
          <cell r="E277">
            <v>0</v>
          </cell>
          <cell r="F277" t="str">
            <v>Wks</v>
          </cell>
          <cell r="G277" t="str">
            <v>Days</v>
          </cell>
          <cell r="H277" t="str">
            <v>Frames</v>
          </cell>
          <cell r="I277" t="str">
            <v>Wks</v>
          </cell>
          <cell r="J277" t="str">
            <v>Days</v>
          </cell>
          <cell r="K277">
            <v>21</v>
          </cell>
          <cell r="L277">
            <v>0</v>
          </cell>
          <cell r="M277">
            <v>29</v>
          </cell>
          <cell r="N277">
            <v>0</v>
          </cell>
          <cell r="O277">
            <v>29</v>
          </cell>
          <cell r="P277">
            <v>0</v>
          </cell>
          <cell r="Q277">
            <v>29</v>
          </cell>
          <cell r="Y277">
            <v>11</v>
          </cell>
          <cell r="Z277">
            <v>77.938800000000015</v>
          </cell>
        </row>
        <row r="278">
          <cell r="A278">
            <v>5.47872</v>
          </cell>
          <cell r="B278">
            <v>52.351039999999998</v>
          </cell>
          <cell r="C278">
            <v>0</v>
          </cell>
          <cell r="D278">
            <v>0</v>
          </cell>
          <cell r="E278">
            <v>0</v>
          </cell>
          <cell r="F278">
            <v>6.8484000000000007</v>
          </cell>
          <cell r="G278">
            <v>77.938800000000015</v>
          </cell>
          <cell r="H278">
            <v>2739.36</v>
          </cell>
          <cell r="I278">
            <v>6.8484000000000007</v>
          </cell>
          <cell r="J278">
            <v>61.938800000000008</v>
          </cell>
          <cell r="K278">
            <v>21</v>
          </cell>
          <cell r="L278">
            <v>0</v>
          </cell>
          <cell r="M278">
            <v>29</v>
          </cell>
          <cell r="N278">
            <v>0</v>
          </cell>
          <cell r="O278">
            <v>29</v>
          </cell>
          <cell r="P278">
            <v>0</v>
          </cell>
          <cell r="Q278">
            <v>29</v>
          </cell>
          <cell r="Y278">
            <v>9</v>
          </cell>
          <cell r="Z278">
            <v>61.938800000000008</v>
          </cell>
        </row>
        <row r="290">
          <cell r="Y290">
            <v>119</v>
          </cell>
          <cell r="Z290">
            <v>47.938800000000008</v>
          </cell>
        </row>
        <row r="291">
          <cell r="Y291">
            <v>119</v>
          </cell>
          <cell r="Z291">
            <v>47.938800000000008</v>
          </cell>
        </row>
        <row r="294">
          <cell r="N294" t="str">
            <v>ENGINEERING</v>
          </cell>
          <cell r="O294">
            <v>0</v>
          </cell>
          <cell r="P294">
            <v>0</v>
          </cell>
          <cell r="Q294">
            <v>0</v>
          </cell>
          <cell r="Y294" t="str">
            <v>WK Count</v>
          </cell>
          <cell r="Z294" t="str">
            <v>Total Days</v>
          </cell>
        </row>
        <row r="295">
          <cell r="N295" t="str">
            <v>ENGINEERING</v>
          </cell>
          <cell r="O295">
            <v>0</v>
          </cell>
          <cell r="P295">
            <v>0</v>
          </cell>
          <cell r="Q295">
            <v>0</v>
          </cell>
          <cell r="Y295" t="str">
            <v>WK Count</v>
          </cell>
          <cell r="Z295" t="str">
            <v>Total Days</v>
          </cell>
        </row>
        <row r="296">
          <cell r="A296" t="str">
            <v>PREP</v>
          </cell>
          <cell r="B296">
            <v>0</v>
          </cell>
          <cell r="C296">
            <v>0</v>
          </cell>
          <cell r="D296">
            <v>0</v>
          </cell>
          <cell r="E296">
            <v>0</v>
          </cell>
          <cell r="F296" t="str">
            <v>ANIMATION</v>
          </cell>
          <cell r="G296">
            <v>0</v>
          </cell>
          <cell r="H296">
            <v>0</v>
          </cell>
          <cell r="I296" t="str">
            <v>INK &amp; PAINT</v>
          </cell>
          <cell r="J296">
            <v>0</v>
          </cell>
          <cell r="K296">
            <v>0</v>
          </cell>
          <cell r="L296" t="str">
            <v>ALPHA</v>
          </cell>
          <cell r="M296">
            <v>0</v>
          </cell>
          <cell r="N296" t="str">
            <v>BETA</v>
          </cell>
          <cell r="O296">
            <v>0</v>
          </cell>
          <cell r="P296" t="str">
            <v>RTM</v>
          </cell>
          <cell r="Q296">
            <v>0</v>
          </cell>
          <cell r="Y296">
            <v>6</v>
          </cell>
          <cell r="Z296">
            <v>42.297850000000004</v>
          </cell>
        </row>
        <row r="297">
          <cell r="A297" t="str">
            <v>PREP</v>
          </cell>
          <cell r="B297" t="str">
            <v>Days</v>
          </cell>
          <cell r="C297">
            <v>0</v>
          </cell>
          <cell r="D297">
            <v>0</v>
          </cell>
          <cell r="E297">
            <v>0</v>
          </cell>
          <cell r="F297" t="str">
            <v>ANIMATION</v>
          </cell>
          <cell r="G297" t="str">
            <v>Days</v>
          </cell>
          <cell r="H297" t="str">
            <v>Frames</v>
          </cell>
          <cell r="I297" t="str">
            <v>INK &amp; PAINT</v>
          </cell>
          <cell r="J297" t="str">
            <v>Days</v>
          </cell>
          <cell r="K297">
            <v>0</v>
          </cell>
          <cell r="L297" t="str">
            <v>ALPHA</v>
          </cell>
          <cell r="M297">
            <v>0</v>
          </cell>
          <cell r="N297" t="str">
            <v>BETA</v>
          </cell>
          <cell r="O297">
            <v>0</v>
          </cell>
          <cell r="P297" t="str">
            <v>RTM</v>
          </cell>
          <cell r="Q297">
            <v>0</v>
          </cell>
          <cell r="Y297">
            <v>6</v>
          </cell>
          <cell r="Z297">
            <v>42.297850000000004</v>
          </cell>
        </row>
        <row r="298">
          <cell r="A298" t="str">
            <v>Wks</v>
          </cell>
          <cell r="B298" t="str">
            <v>Days</v>
          </cell>
          <cell r="C298">
            <v>0</v>
          </cell>
          <cell r="D298">
            <v>0</v>
          </cell>
          <cell r="E298">
            <v>0</v>
          </cell>
          <cell r="F298" t="str">
            <v>Wks</v>
          </cell>
          <cell r="G298" t="str">
            <v>Days</v>
          </cell>
          <cell r="H298" t="str">
            <v>Frames</v>
          </cell>
          <cell r="I298" t="str">
            <v>Wks</v>
          </cell>
          <cell r="J298" t="str">
            <v>Days</v>
          </cell>
          <cell r="K298">
            <v>21</v>
          </cell>
          <cell r="L298">
            <v>0</v>
          </cell>
          <cell r="M298">
            <v>29</v>
          </cell>
          <cell r="N298">
            <v>0</v>
          </cell>
          <cell r="O298">
            <v>29</v>
          </cell>
          <cell r="P298">
            <v>0</v>
          </cell>
          <cell r="Q298">
            <v>29</v>
          </cell>
          <cell r="Y298">
            <v>11</v>
          </cell>
          <cell r="Z298">
            <v>77.163083333333333</v>
          </cell>
        </row>
        <row r="299">
          <cell r="A299">
            <v>4.0425500000000003</v>
          </cell>
          <cell r="B299">
            <v>42.297850000000004</v>
          </cell>
          <cell r="C299">
            <v>0</v>
          </cell>
          <cell r="D299">
            <v>0</v>
          </cell>
          <cell r="E299">
            <v>0</v>
          </cell>
          <cell r="F299">
            <v>6.7375833333333333</v>
          </cell>
          <cell r="G299">
            <v>77.163083333333333</v>
          </cell>
          <cell r="H299">
            <v>2021.2750000000001</v>
          </cell>
          <cell r="I299">
            <v>4.0425500000000003</v>
          </cell>
          <cell r="J299">
            <v>42.297850000000004</v>
          </cell>
          <cell r="K299">
            <v>21</v>
          </cell>
          <cell r="L299">
            <v>0</v>
          </cell>
          <cell r="M299">
            <v>29</v>
          </cell>
          <cell r="N299">
            <v>0</v>
          </cell>
          <cell r="O299">
            <v>29</v>
          </cell>
          <cell r="P299">
            <v>0</v>
          </cell>
          <cell r="Q299">
            <v>29</v>
          </cell>
          <cell r="Y299">
            <v>6</v>
          </cell>
          <cell r="Z299">
            <v>42.297850000000004</v>
          </cell>
        </row>
        <row r="311">
          <cell r="Y311">
            <v>119</v>
          </cell>
          <cell r="Z311">
            <v>28.297850000000004</v>
          </cell>
        </row>
        <row r="312">
          <cell r="Y312">
            <v>119</v>
          </cell>
          <cell r="Z312">
            <v>28.297850000000004</v>
          </cell>
        </row>
        <row r="322">
          <cell r="N322" t="str">
            <v>ENGINEERING</v>
          </cell>
          <cell r="O322">
            <v>0</v>
          </cell>
          <cell r="P322">
            <v>0</v>
          </cell>
          <cell r="Q322">
            <v>0</v>
          </cell>
          <cell r="Y322" t="str">
            <v>WK Count</v>
          </cell>
          <cell r="Z322" t="str">
            <v>Total Days</v>
          </cell>
        </row>
        <row r="323">
          <cell r="N323" t="str">
            <v>ENGINEERING</v>
          </cell>
          <cell r="O323">
            <v>0</v>
          </cell>
          <cell r="P323">
            <v>0</v>
          </cell>
          <cell r="Q323">
            <v>0</v>
          </cell>
          <cell r="Y323" t="str">
            <v>WK Count</v>
          </cell>
          <cell r="Z323" t="str">
            <v>Total Days</v>
          </cell>
        </row>
        <row r="324">
          <cell r="A324" t="str">
            <v>PREP</v>
          </cell>
          <cell r="B324">
            <v>0</v>
          </cell>
          <cell r="C324">
            <v>0</v>
          </cell>
          <cell r="D324">
            <v>0</v>
          </cell>
          <cell r="E324">
            <v>0</v>
          </cell>
          <cell r="F324" t="str">
            <v>ANIMATION</v>
          </cell>
          <cell r="G324">
            <v>0</v>
          </cell>
          <cell r="H324">
            <v>0</v>
          </cell>
          <cell r="I324" t="str">
            <v>INK &amp; PAINT</v>
          </cell>
          <cell r="J324">
            <v>0</v>
          </cell>
          <cell r="K324">
            <v>0</v>
          </cell>
          <cell r="L324" t="str">
            <v>ALPHA</v>
          </cell>
          <cell r="M324">
            <v>0</v>
          </cell>
          <cell r="N324" t="str">
            <v>BETA</v>
          </cell>
          <cell r="O324">
            <v>0</v>
          </cell>
          <cell r="P324" t="str">
            <v>RTM</v>
          </cell>
          <cell r="Q324">
            <v>0</v>
          </cell>
          <cell r="Y324">
            <v>3</v>
          </cell>
          <cell r="Z324">
            <v>21</v>
          </cell>
        </row>
        <row r="325">
          <cell r="A325" t="str">
            <v>PREP</v>
          </cell>
          <cell r="B325" t="str">
            <v>Days</v>
          </cell>
          <cell r="C325">
            <v>0</v>
          </cell>
          <cell r="D325">
            <v>0</v>
          </cell>
          <cell r="E325">
            <v>0</v>
          </cell>
          <cell r="F325" t="str">
            <v>ANIMATION</v>
          </cell>
          <cell r="G325" t="str">
            <v>Days</v>
          </cell>
          <cell r="H325" t="str">
            <v>Frames</v>
          </cell>
          <cell r="I325" t="str">
            <v>INK &amp; PAINT</v>
          </cell>
          <cell r="J325" t="str">
            <v>Days</v>
          </cell>
          <cell r="K325">
            <v>0</v>
          </cell>
          <cell r="L325" t="str">
            <v>ALPHA</v>
          </cell>
          <cell r="M325">
            <v>0</v>
          </cell>
          <cell r="N325" t="str">
            <v>BETA</v>
          </cell>
          <cell r="O325">
            <v>0</v>
          </cell>
          <cell r="P325" t="str">
            <v>RTM</v>
          </cell>
          <cell r="Q325">
            <v>0</v>
          </cell>
          <cell r="Y325">
            <v>3</v>
          </cell>
          <cell r="Z325">
            <v>21</v>
          </cell>
        </row>
        <row r="326">
          <cell r="A326" t="str">
            <v>Wks</v>
          </cell>
          <cell r="B326" t="str">
            <v>Days</v>
          </cell>
          <cell r="C326">
            <v>0</v>
          </cell>
          <cell r="D326">
            <v>0</v>
          </cell>
          <cell r="E326">
            <v>0</v>
          </cell>
          <cell r="F326" t="str">
            <v>Wks</v>
          </cell>
          <cell r="G326" t="str">
            <v>Days</v>
          </cell>
          <cell r="H326" t="str">
            <v>Frames</v>
          </cell>
          <cell r="I326" t="str">
            <v>Wks</v>
          </cell>
          <cell r="J326" t="str">
            <v>Days</v>
          </cell>
          <cell r="K326">
            <v>21</v>
          </cell>
          <cell r="L326">
            <v>0</v>
          </cell>
          <cell r="M326">
            <v>29</v>
          </cell>
          <cell r="N326">
            <v>0</v>
          </cell>
          <cell r="O326">
            <v>29</v>
          </cell>
          <cell r="P326">
            <v>0</v>
          </cell>
          <cell r="Q326">
            <v>29</v>
          </cell>
          <cell r="Y326">
            <v>3</v>
          </cell>
          <cell r="Z326">
            <v>21</v>
          </cell>
        </row>
        <row r="327">
          <cell r="A327">
            <v>1</v>
          </cell>
          <cell r="B327">
            <v>21</v>
          </cell>
          <cell r="C327">
            <v>0</v>
          </cell>
          <cell r="D327">
            <v>0</v>
          </cell>
          <cell r="E327">
            <v>0</v>
          </cell>
          <cell r="F327">
            <v>1</v>
          </cell>
          <cell r="G327">
            <v>21</v>
          </cell>
          <cell r="H327">
            <v>131</v>
          </cell>
          <cell r="I327">
            <v>1</v>
          </cell>
          <cell r="J327">
            <v>21</v>
          </cell>
          <cell r="K327">
            <v>21</v>
          </cell>
          <cell r="L327">
            <v>0</v>
          </cell>
          <cell r="M327">
            <v>29</v>
          </cell>
          <cell r="N327">
            <v>0</v>
          </cell>
          <cell r="O327">
            <v>29</v>
          </cell>
          <cell r="P327">
            <v>0</v>
          </cell>
          <cell r="Q327">
            <v>29</v>
          </cell>
          <cell r="Y327">
            <v>3</v>
          </cell>
          <cell r="Z327">
            <v>21</v>
          </cell>
        </row>
        <row r="338">
          <cell r="Y338">
            <v>63</v>
          </cell>
          <cell r="Z338">
            <v>7</v>
          </cell>
        </row>
        <row r="339">
          <cell r="Y339">
            <v>63</v>
          </cell>
          <cell r="Z339">
            <v>7</v>
          </cell>
        </row>
        <row r="343">
          <cell r="N343" t="str">
            <v>ENGINEERING</v>
          </cell>
          <cell r="O343">
            <v>0</v>
          </cell>
          <cell r="P343">
            <v>0</v>
          </cell>
          <cell r="Q343">
            <v>0</v>
          </cell>
          <cell r="Y343" t="str">
            <v>WK Count</v>
          </cell>
          <cell r="Z343" t="str">
            <v>Total Days</v>
          </cell>
        </row>
        <row r="344">
          <cell r="N344" t="str">
            <v>ENGINEERING</v>
          </cell>
          <cell r="O344">
            <v>0</v>
          </cell>
          <cell r="P344">
            <v>0</v>
          </cell>
          <cell r="Q344">
            <v>0</v>
          </cell>
          <cell r="Y344" t="str">
            <v>WK Count</v>
          </cell>
          <cell r="Z344" t="str">
            <v>Total Days</v>
          </cell>
        </row>
        <row r="345">
          <cell r="A345" t="str">
            <v>PREP</v>
          </cell>
          <cell r="B345">
            <v>0</v>
          </cell>
          <cell r="C345">
            <v>0</v>
          </cell>
          <cell r="D345">
            <v>0</v>
          </cell>
          <cell r="E345">
            <v>0</v>
          </cell>
          <cell r="F345" t="str">
            <v>ANIMATION</v>
          </cell>
          <cell r="G345">
            <v>0</v>
          </cell>
          <cell r="H345">
            <v>0</v>
          </cell>
          <cell r="I345" t="str">
            <v>INK &amp; PAINT</v>
          </cell>
          <cell r="J345">
            <v>0</v>
          </cell>
          <cell r="K345">
            <v>0</v>
          </cell>
          <cell r="L345" t="str">
            <v>ALPHA</v>
          </cell>
          <cell r="M345">
            <v>0</v>
          </cell>
          <cell r="N345" t="str">
            <v>BETA</v>
          </cell>
          <cell r="O345">
            <v>0</v>
          </cell>
          <cell r="P345" t="str">
            <v>RTM</v>
          </cell>
          <cell r="Q345">
            <v>0</v>
          </cell>
          <cell r="Y345">
            <v>7</v>
          </cell>
          <cell r="Z345">
            <v>49</v>
          </cell>
        </row>
        <row r="346">
          <cell r="A346" t="str">
            <v>PREP</v>
          </cell>
          <cell r="B346" t="str">
            <v>Days</v>
          </cell>
          <cell r="C346">
            <v>0</v>
          </cell>
          <cell r="D346">
            <v>0</v>
          </cell>
          <cell r="E346">
            <v>0</v>
          </cell>
          <cell r="F346" t="str">
            <v>ANIMATION</v>
          </cell>
          <cell r="G346" t="str">
            <v>Days</v>
          </cell>
          <cell r="H346" t="str">
            <v>Frames</v>
          </cell>
          <cell r="I346" t="str">
            <v>INK &amp; PAINT</v>
          </cell>
          <cell r="J346" t="str">
            <v>Days</v>
          </cell>
          <cell r="K346">
            <v>0</v>
          </cell>
          <cell r="L346" t="str">
            <v>ALPHA</v>
          </cell>
          <cell r="M346">
            <v>0</v>
          </cell>
          <cell r="N346" t="str">
            <v>BETA</v>
          </cell>
          <cell r="O346">
            <v>0</v>
          </cell>
          <cell r="P346" t="str">
            <v>RTM</v>
          </cell>
          <cell r="Q346">
            <v>0</v>
          </cell>
          <cell r="Y346">
            <v>7</v>
          </cell>
          <cell r="Z346">
            <v>49</v>
          </cell>
        </row>
        <row r="347">
          <cell r="A347" t="str">
            <v>Wks</v>
          </cell>
          <cell r="B347" t="str">
            <v>Days</v>
          </cell>
          <cell r="C347">
            <v>0</v>
          </cell>
          <cell r="D347">
            <v>0</v>
          </cell>
          <cell r="E347">
            <v>0</v>
          </cell>
          <cell r="F347" t="str">
            <v>Wks</v>
          </cell>
          <cell r="G347" t="str">
            <v>Days</v>
          </cell>
          <cell r="H347" t="str">
            <v>Frames</v>
          </cell>
          <cell r="I347" t="str">
            <v>Wks</v>
          </cell>
          <cell r="J347" t="str">
            <v>Days</v>
          </cell>
          <cell r="K347">
            <v>21</v>
          </cell>
          <cell r="L347">
            <v>0</v>
          </cell>
          <cell r="M347">
            <v>29</v>
          </cell>
          <cell r="N347">
            <v>0</v>
          </cell>
          <cell r="O347">
            <v>29</v>
          </cell>
          <cell r="P347">
            <v>0</v>
          </cell>
          <cell r="Q347">
            <v>29</v>
          </cell>
          <cell r="Y347">
            <v>7</v>
          </cell>
          <cell r="Z347">
            <v>49</v>
          </cell>
        </row>
        <row r="348">
          <cell r="A348">
            <v>5</v>
          </cell>
          <cell r="B348">
            <v>49</v>
          </cell>
          <cell r="C348">
            <v>0</v>
          </cell>
          <cell r="D348">
            <v>0</v>
          </cell>
          <cell r="E348">
            <v>0</v>
          </cell>
          <cell r="F348">
            <v>5</v>
          </cell>
          <cell r="G348">
            <v>49</v>
          </cell>
          <cell r="H348">
            <v>500</v>
          </cell>
          <cell r="I348">
            <v>5</v>
          </cell>
          <cell r="J348">
            <v>49</v>
          </cell>
          <cell r="K348">
            <v>21</v>
          </cell>
          <cell r="L348">
            <v>0</v>
          </cell>
          <cell r="M348">
            <v>29</v>
          </cell>
          <cell r="N348">
            <v>0</v>
          </cell>
          <cell r="O348">
            <v>29</v>
          </cell>
          <cell r="P348">
            <v>0</v>
          </cell>
          <cell r="Q348">
            <v>29</v>
          </cell>
          <cell r="Y348">
            <v>7</v>
          </cell>
          <cell r="Z348">
            <v>49</v>
          </cell>
        </row>
        <row r="359">
          <cell r="Y359">
            <v>91</v>
          </cell>
          <cell r="Z359">
            <v>35</v>
          </cell>
        </row>
        <row r="360">
          <cell r="Y360">
            <v>91</v>
          </cell>
          <cell r="Z360">
            <v>35</v>
          </cell>
        </row>
        <row r="363">
          <cell r="N363" t="str">
            <v>ENGINEERING</v>
          </cell>
          <cell r="O363">
            <v>0</v>
          </cell>
          <cell r="P363">
            <v>0</v>
          </cell>
          <cell r="Q363">
            <v>0</v>
          </cell>
          <cell r="Y363" t="str">
            <v>WK Count</v>
          </cell>
          <cell r="Z363" t="str">
            <v>Total Days</v>
          </cell>
        </row>
        <row r="364">
          <cell r="N364" t="str">
            <v>ENGINEERING</v>
          </cell>
          <cell r="O364">
            <v>0</v>
          </cell>
          <cell r="P364">
            <v>0</v>
          </cell>
          <cell r="Q364">
            <v>0</v>
          </cell>
          <cell r="Y364" t="str">
            <v>WK Count</v>
          </cell>
          <cell r="Z364" t="str">
            <v>Total Days</v>
          </cell>
        </row>
        <row r="365">
          <cell r="A365" t="str">
            <v>PREP</v>
          </cell>
          <cell r="B365">
            <v>0</v>
          </cell>
          <cell r="C365">
            <v>0</v>
          </cell>
          <cell r="D365">
            <v>0</v>
          </cell>
          <cell r="E365">
            <v>0</v>
          </cell>
          <cell r="F365" t="str">
            <v>ANIMATION</v>
          </cell>
          <cell r="G365">
            <v>0</v>
          </cell>
          <cell r="H365">
            <v>0</v>
          </cell>
          <cell r="I365" t="str">
            <v>INK &amp; PAINT</v>
          </cell>
          <cell r="J365">
            <v>0</v>
          </cell>
          <cell r="K365">
            <v>0</v>
          </cell>
          <cell r="L365" t="str">
            <v>ALPHA</v>
          </cell>
          <cell r="M365">
            <v>0</v>
          </cell>
          <cell r="N365" t="str">
            <v>BETA</v>
          </cell>
          <cell r="O365">
            <v>0</v>
          </cell>
          <cell r="P365" t="str">
            <v>RTM</v>
          </cell>
          <cell r="Q365">
            <v>0</v>
          </cell>
          <cell r="Y365">
            <v>7</v>
          </cell>
          <cell r="Z365">
            <v>49</v>
          </cell>
        </row>
        <row r="366">
          <cell r="A366" t="str">
            <v>PREP</v>
          </cell>
          <cell r="B366" t="str">
            <v>Days</v>
          </cell>
          <cell r="C366">
            <v>0</v>
          </cell>
          <cell r="D366">
            <v>0</v>
          </cell>
          <cell r="E366">
            <v>0</v>
          </cell>
          <cell r="F366" t="str">
            <v>ANIMATION</v>
          </cell>
          <cell r="G366" t="str">
            <v>Days</v>
          </cell>
          <cell r="H366" t="str">
            <v>Frames</v>
          </cell>
          <cell r="I366" t="str">
            <v>INK &amp; PAINT</v>
          </cell>
          <cell r="J366" t="str">
            <v>Days</v>
          </cell>
          <cell r="K366">
            <v>0</v>
          </cell>
          <cell r="L366" t="str">
            <v>ALPHA</v>
          </cell>
          <cell r="M366">
            <v>0</v>
          </cell>
          <cell r="N366" t="str">
            <v>BETA</v>
          </cell>
          <cell r="O366">
            <v>0</v>
          </cell>
          <cell r="P366" t="str">
            <v>RTM</v>
          </cell>
          <cell r="Q366">
            <v>0</v>
          </cell>
          <cell r="Y366">
            <v>7</v>
          </cell>
          <cell r="Z366">
            <v>49</v>
          </cell>
        </row>
        <row r="367">
          <cell r="A367" t="str">
            <v>Wks</v>
          </cell>
          <cell r="B367" t="str">
            <v>Days</v>
          </cell>
          <cell r="C367">
            <v>0</v>
          </cell>
          <cell r="D367">
            <v>0</v>
          </cell>
          <cell r="E367">
            <v>0</v>
          </cell>
          <cell r="F367" t="str">
            <v>Wks</v>
          </cell>
          <cell r="G367" t="str">
            <v>Days</v>
          </cell>
          <cell r="H367" t="str">
            <v>Frames</v>
          </cell>
          <cell r="I367" t="str">
            <v>Wks</v>
          </cell>
          <cell r="J367" t="str">
            <v>Days</v>
          </cell>
          <cell r="K367">
            <v>21</v>
          </cell>
          <cell r="L367">
            <v>0</v>
          </cell>
          <cell r="M367">
            <v>29</v>
          </cell>
          <cell r="N367">
            <v>0</v>
          </cell>
          <cell r="O367">
            <v>29</v>
          </cell>
          <cell r="P367">
            <v>0</v>
          </cell>
          <cell r="Q367">
            <v>29</v>
          </cell>
          <cell r="Y367">
            <v>7</v>
          </cell>
          <cell r="Z367">
            <v>49</v>
          </cell>
        </row>
        <row r="368">
          <cell r="A368">
            <v>5</v>
          </cell>
          <cell r="B368">
            <v>49</v>
          </cell>
          <cell r="C368">
            <v>0</v>
          </cell>
          <cell r="D368">
            <v>0</v>
          </cell>
          <cell r="E368">
            <v>0</v>
          </cell>
          <cell r="F368">
            <v>5</v>
          </cell>
          <cell r="G368">
            <v>49</v>
          </cell>
          <cell r="H368">
            <v>500</v>
          </cell>
          <cell r="I368">
            <v>5</v>
          </cell>
          <cell r="J368">
            <v>49</v>
          </cell>
          <cell r="K368">
            <v>21</v>
          </cell>
          <cell r="L368">
            <v>0</v>
          </cell>
          <cell r="M368">
            <v>29</v>
          </cell>
          <cell r="N368">
            <v>0</v>
          </cell>
          <cell r="O368">
            <v>29</v>
          </cell>
          <cell r="P368">
            <v>0</v>
          </cell>
          <cell r="Q368">
            <v>29</v>
          </cell>
          <cell r="Y368">
            <v>7</v>
          </cell>
          <cell r="Z368">
            <v>49</v>
          </cell>
        </row>
        <row r="379">
          <cell r="Y379">
            <v>91</v>
          </cell>
          <cell r="Z379">
            <v>35</v>
          </cell>
        </row>
        <row r="380">
          <cell r="Y380">
            <v>91</v>
          </cell>
          <cell r="Z380">
            <v>35</v>
          </cell>
        </row>
        <row r="383">
          <cell r="N383" t="str">
            <v>ENGINEERING</v>
          </cell>
          <cell r="O383">
            <v>0</v>
          </cell>
          <cell r="P383">
            <v>0</v>
          </cell>
          <cell r="Q383">
            <v>0</v>
          </cell>
          <cell r="Y383" t="str">
            <v>WK Count</v>
          </cell>
          <cell r="Z383" t="str">
            <v>Total Days</v>
          </cell>
        </row>
        <row r="384">
          <cell r="N384" t="str">
            <v>ENGINEERING</v>
          </cell>
          <cell r="O384">
            <v>0</v>
          </cell>
          <cell r="P384">
            <v>0</v>
          </cell>
          <cell r="Q384">
            <v>0</v>
          </cell>
          <cell r="Y384" t="str">
            <v>WK Count</v>
          </cell>
          <cell r="Z384" t="str">
            <v>Total Days</v>
          </cell>
        </row>
        <row r="385">
          <cell r="A385" t="str">
            <v>PREP</v>
          </cell>
          <cell r="B385">
            <v>0</v>
          </cell>
          <cell r="C385">
            <v>0</v>
          </cell>
          <cell r="D385">
            <v>0</v>
          </cell>
          <cell r="E385">
            <v>0</v>
          </cell>
          <cell r="F385" t="str">
            <v>ANIMATION</v>
          </cell>
          <cell r="G385">
            <v>0</v>
          </cell>
          <cell r="H385">
            <v>0</v>
          </cell>
          <cell r="I385" t="str">
            <v>INK &amp; PAINT</v>
          </cell>
          <cell r="J385">
            <v>0</v>
          </cell>
          <cell r="K385">
            <v>0</v>
          </cell>
          <cell r="L385" t="str">
            <v>ALPHA</v>
          </cell>
          <cell r="M385">
            <v>0</v>
          </cell>
          <cell r="N385" t="str">
            <v>BETA</v>
          </cell>
          <cell r="O385">
            <v>0</v>
          </cell>
          <cell r="P385" t="str">
            <v>RTM</v>
          </cell>
          <cell r="Q385">
            <v>0</v>
          </cell>
          <cell r="Y385">
            <v>4</v>
          </cell>
          <cell r="Z385">
            <v>25.0642</v>
          </cell>
        </row>
        <row r="386">
          <cell r="A386" t="str">
            <v>PREP</v>
          </cell>
          <cell r="B386" t="str">
            <v>Days</v>
          </cell>
          <cell r="C386">
            <v>0</v>
          </cell>
          <cell r="D386">
            <v>0</v>
          </cell>
          <cell r="E386">
            <v>0</v>
          </cell>
          <cell r="F386" t="str">
            <v>ANIMATION</v>
          </cell>
          <cell r="G386" t="str">
            <v>Days</v>
          </cell>
          <cell r="H386" t="str">
            <v>Frames</v>
          </cell>
          <cell r="I386" t="str">
            <v>INK &amp; PAINT</v>
          </cell>
          <cell r="J386" t="str">
            <v>Days</v>
          </cell>
          <cell r="K386">
            <v>0</v>
          </cell>
          <cell r="L386" t="str">
            <v>ALPHA</v>
          </cell>
          <cell r="M386">
            <v>0</v>
          </cell>
          <cell r="N386" t="str">
            <v>BETA</v>
          </cell>
          <cell r="O386">
            <v>0</v>
          </cell>
          <cell r="P386" t="str">
            <v>RTM</v>
          </cell>
          <cell r="Q386">
            <v>0</v>
          </cell>
          <cell r="Y386">
            <v>4</v>
          </cell>
          <cell r="Z386">
            <v>25.0642</v>
          </cell>
        </row>
        <row r="387">
          <cell r="A387" t="str">
            <v>Wks</v>
          </cell>
          <cell r="B387" t="str">
            <v>Days</v>
          </cell>
          <cell r="C387">
            <v>0</v>
          </cell>
          <cell r="D387">
            <v>0</v>
          </cell>
          <cell r="E387">
            <v>0</v>
          </cell>
          <cell r="F387" t="str">
            <v>Wks</v>
          </cell>
          <cell r="G387" t="str">
            <v>Days</v>
          </cell>
          <cell r="H387" t="str">
            <v>Frames</v>
          </cell>
          <cell r="I387" t="str">
            <v>Wks</v>
          </cell>
          <cell r="J387" t="str">
            <v>Days</v>
          </cell>
          <cell r="K387">
            <v>21</v>
          </cell>
          <cell r="L387">
            <v>0</v>
          </cell>
          <cell r="M387">
            <v>29</v>
          </cell>
          <cell r="N387">
            <v>0</v>
          </cell>
          <cell r="O387">
            <v>29</v>
          </cell>
          <cell r="P387">
            <v>0</v>
          </cell>
          <cell r="Q387">
            <v>29</v>
          </cell>
          <cell r="Y387">
            <v>4</v>
          </cell>
          <cell r="Z387">
            <v>25.0642</v>
          </cell>
        </row>
        <row r="388">
          <cell r="A388">
            <v>1.5806</v>
          </cell>
          <cell r="B388">
            <v>25.0642</v>
          </cell>
          <cell r="C388">
            <v>0</v>
          </cell>
          <cell r="D388">
            <v>0</v>
          </cell>
          <cell r="E388">
            <v>0</v>
          </cell>
          <cell r="F388">
            <v>1.5806</v>
          </cell>
          <cell r="G388">
            <v>25.0642</v>
          </cell>
          <cell r="H388">
            <v>158.06</v>
          </cell>
          <cell r="I388">
            <v>1.5806</v>
          </cell>
          <cell r="J388">
            <v>25.0642</v>
          </cell>
          <cell r="K388">
            <v>21</v>
          </cell>
          <cell r="L388">
            <v>0</v>
          </cell>
          <cell r="M388">
            <v>29</v>
          </cell>
          <cell r="N388">
            <v>0</v>
          </cell>
          <cell r="O388">
            <v>29</v>
          </cell>
          <cell r="P388">
            <v>0</v>
          </cell>
          <cell r="Q388">
            <v>29</v>
          </cell>
          <cell r="Y388">
            <v>4</v>
          </cell>
          <cell r="Z388">
            <v>25.0642</v>
          </cell>
        </row>
        <row r="399">
          <cell r="Y399">
            <v>70</v>
          </cell>
          <cell r="Z399">
            <v>11.0642</v>
          </cell>
        </row>
        <row r="400">
          <cell r="Y400">
            <v>70</v>
          </cell>
          <cell r="Z400">
            <v>11.0642</v>
          </cell>
        </row>
        <row r="403">
          <cell r="N403" t="str">
            <v>ENGINEERING</v>
          </cell>
          <cell r="O403">
            <v>0</v>
          </cell>
          <cell r="P403">
            <v>0</v>
          </cell>
          <cell r="Q403">
            <v>0</v>
          </cell>
          <cell r="Y403" t="str">
            <v>WK Count</v>
          </cell>
          <cell r="Z403" t="str">
            <v>Total Days</v>
          </cell>
        </row>
        <row r="404">
          <cell r="N404" t="str">
            <v>ENGINEERING</v>
          </cell>
          <cell r="O404">
            <v>0</v>
          </cell>
          <cell r="P404">
            <v>0</v>
          </cell>
          <cell r="Q404">
            <v>0</v>
          </cell>
          <cell r="Y404" t="str">
            <v>WK Count</v>
          </cell>
          <cell r="Z404" t="str">
            <v>Total Days</v>
          </cell>
        </row>
        <row r="405">
          <cell r="A405" t="str">
            <v>PREP</v>
          </cell>
          <cell r="B405">
            <v>0</v>
          </cell>
          <cell r="C405">
            <v>0</v>
          </cell>
          <cell r="D405">
            <v>0</v>
          </cell>
          <cell r="E405">
            <v>0</v>
          </cell>
          <cell r="F405" t="str">
            <v>ANIMATION</v>
          </cell>
          <cell r="G405">
            <v>0</v>
          </cell>
          <cell r="H405">
            <v>0</v>
          </cell>
          <cell r="I405" t="str">
            <v>INK &amp; PAINT</v>
          </cell>
          <cell r="J405">
            <v>0</v>
          </cell>
          <cell r="K405">
            <v>0</v>
          </cell>
          <cell r="L405" t="str">
            <v>ALPHA</v>
          </cell>
          <cell r="M405">
            <v>0</v>
          </cell>
          <cell r="N405" t="str">
            <v>BETA</v>
          </cell>
          <cell r="O405">
            <v>0</v>
          </cell>
          <cell r="P405" t="str">
            <v>RTM</v>
          </cell>
          <cell r="Q405">
            <v>0</v>
          </cell>
          <cell r="Y405">
            <v>7</v>
          </cell>
          <cell r="Z405">
            <v>49</v>
          </cell>
        </row>
        <row r="406">
          <cell r="A406" t="str">
            <v>PREP</v>
          </cell>
          <cell r="B406" t="str">
            <v>Days</v>
          </cell>
          <cell r="C406">
            <v>0</v>
          </cell>
          <cell r="D406">
            <v>0</v>
          </cell>
          <cell r="E406">
            <v>0</v>
          </cell>
          <cell r="F406" t="str">
            <v>ANIMATION</v>
          </cell>
          <cell r="G406" t="str">
            <v>Days</v>
          </cell>
          <cell r="H406" t="str">
            <v>Frames</v>
          </cell>
          <cell r="I406" t="str">
            <v>INK &amp; PAINT</v>
          </cell>
          <cell r="J406" t="str">
            <v>Days</v>
          </cell>
          <cell r="K406">
            <v>0</v>
          </cell>
          <cell r="L406" t="str">
            <v>ALPHA</v>
          </cell>
          <cell r="M406">
            <v>0</v>
          </cell>
          <cell r="N406" t="str">
            <v>BETA</v>
          </cell>
          <cell r="O406">
            <v>0</v>
          </cell>
          <cell r="P406" t="str">
            <v>RTM</v>
          </cell>
          <cell r="Q406">
            <v>0</v>
          </cell>
          <cell r="Y406">
            <v>7</v>
          </cell>
          <cell r="Z406">
            <v>49</v>
          </cell>
        </row>
        <row r="407">
          <cell r="A407" t="str">
            <v>Wks</v>
          </cell>
          <cell r="B407" t="str">
            <v>Days</v>
          </cell>
          <cell r="C407">
            <v>0</v>
          </cell>
          <cell r="D407">
            <v>0</v>
          </cell>
          <cell r="E407">
            <v>0</v>
          </cell>
          <cell r="F407" t="str">
            <v>Wks</v>
          </cell>
          <cell r="G407" t="str">
            <v>Days</v>
          </cell>
          <cell r="H407" t="str">
            <v>Frames</v>
          </cell>
          <cell r="I407" t="str">
            <v>Wks</v>
          </cell>
          <cell r="J407" t="str">
            <v>Days</v>
          </cell>
          <cell r="K407">
            <v>21</v>
          </cell>
          <cell r="L407">
            <v>0</v>
          </cell>
          <cell r="M407">
            <v>29</v>
          </cell>
          <cell r="N407">
            <v>0</v>
          </cell>
          <cell r="O407">
            <v>29</v>
          </cell>
          <cell r="P407">
            <v>0</v>
          </cell>
          <cell r="Q407">
            <v>29</v>
          </cell>
          <cell r="Y407">
            <v>7</v>
          </cell>
          <cell r="Z407">
            <v>49</v>
          </cell>
        </row>
        <row r="408">
          <cell r="A408">
            <v>5</v>
          </cell>
          <cell r="B408">
            <v>49</v>
          </cell>
          <cell r="C408">
            <v>0</v>
          </cell>
          <cell r="D408">
            <v>0</v>
          </cell>
          <cell r="E408">
            <v>0</v>
          </cell>
          <cell r="F408">
            <v>5</v>
          </cell>
          <cell r="G408">
            <v>49</v>
          </cell>
          <cell r="H408">
            <v>500</v>
          </cell>
          <cell r="I408">
            <v>5</v>
          </cell>
          <cell r="J408">
            <v>49</v>
          </cell>
          <cell r="K408">
            <v>21</v>
          </cell>
          <cell r="L408">
            <v>0</v>
          </cell>
          <cell r="M408">
            <v>29</v>
          </cell>
          <cell r="N408">
            <v>0</v>
          </cell>
          <cell r="O408">
            <v>29</v>
          </cell>
          <cell r="P408">
            <v>0</v>
          </cell>
          <cell r="Q408">
            <v>29</v>
          </cell>
          <cell r="Y408">
            <v>7</v>
          </cell>
          <cell r="Z408">
            <v>49</v>
          </cell>
        </row>
        <row r="419">
          <cell r="Y419">
            <v>91</v>
          </cell>
          <cell r="Z419">
            <v>35</v>
          </cell>
        </row>
        <row r="420">
          <cell r="Y420">
            <v>91</v>
          </cell>
          <cell r="Z420">
            <v>35</v>
          </cell>
        </row>
        <row r="423">
          <cell r="N423" t="str">
            <v>ENGINEERING</v>
          </cell>
          <cell r="O423">
            <v>0</v>
          </cell>
          <cell r="P423">
            <v>0</v>
          </cell>
          <cell r="Q423">
            <v>0</v>
          </cell>
          <cell r="Y423" t="str">
            <v>WK Count</v>
          </cell>
          <cell r="Z423" t="str">
            <v>Total Days</v>
          </cell>
        </row>
        <row r="424">
          <cell r="N424" t="str">
            <v>ENGINEERING</v>
          </cell>
          <cell r="O424">
            <v>0</v>
          </cell>
          <cell r="P424">
            <v>0</v>
          </cell>
          <cell r="Q424">
            <v>0</v>
          </cell>
          <cell r="Y424" t="str">
            <v>WK Count</v>
          </cell>
          <cell r="Z424" t="str">
            <v>Total Days</v>
          </cell>
        </row>
        <row r="425">
          <cell r="A425" t="str">
            <v>PREP</v>
          </cell>
          <cell r="B425">
            <v>0</v>
          </cell>
          <cell r="C425">
            <v>0</v>
          </cell>
          <cell r="D425">
            <v>0</v>
          </cell>
          <cell r="E425">
            <v>0</v>
          </cell>
          <cell r="F425" t="str">
            <v>ANIMATION</v>
          </cell>
          <cell r="G425">
            <v>0</v>
          </cell>
          <cell r="H425">
            <v>0</v>
          </cell>
          <cell r="I425" t="str">
            <v>INK &amp; PAINT</v>
          </cell>
          <cell r="J425">
            <v>0</v>
          </cell>
          <cell r="K425">
            <v>0</v>
          </cell>
          <cell r="L425" t="str">
            <v>ALPHA</v>
          </cell>
          <cell r="M425">
            <v>0</v>
          </cell>
          <cell r="N425" t="str">
            <v>BETA</v>
          </cell>
          <cell r="O425">
            <v>0</v>
          </cell>
          <cell r="P425" t="str">
            <v>RTM</v>
          </cell>
          <cell r="Q425">
            <v>0</v>
          </cell>
          <cell r="Y425">
            <v>4</v>
          </cell>
          <cell r="Z425">
            <v>25.0642</v>
          </cell>
        </row>
        <row r="426">
          <cell r="A426" t="str">
            <v>PREP</v>
          </cell>
          <cell r="B426" t="str">
            <v>Days</v>
          </cell>
          <cell r="C426">
            <v>0</v>
          </cell>
          <cell r="D426">
            <v>0</v>
          </cell>
          <cell r="E426">
            <v>0</v>
          </cell>
          <cell r="F426" t="str">
            <v>ANIMATION</v>
          </cell>
          <cell r="G426" t="str">
            <v>Days</v>
          </cell>
          <cell r="H426" t="str">
            <v>Frames</v>
          </cell>
          <cell r="I426" t="str">
            <v>INK &amp; PAINT</v>
          </cell>
          <cell r="J426" t="str">
            <v>Days</v>
          </cell>
          <cell r="K426">
            <v>0</v>
          </cell>
          <cell r="L426" t="str">
            <v>ALPHA</v>
          </cell>
          <cell r="M426">
            <v>0</v>
          </cell>
          <cell r="N426" t="str">
            <v>BETA</v>
          </cell>
          <cell r="O426">
            <v>0</v>
          </cell>
          <cell r="P426" t="str">
            <v>RTM</v>
          </cell>
          <cell r="Q426">
            <v>0</v>
          </cell>
          <cell r="Y426">
            <v>4</v>
          </cell>
          <cell r="Z426">
            <v>25.0642</v>
          </cell>
        </row>
        <row r="427">
          <cell r="A427" t="str">
            <v>Wks</v>
          </cell>
          <cell r="B427" t="str">
            <v>Days</v>
          </cell>
          <cell r="C427">
            <v>0</v>
          </cell>
          <cell r="D427">
            <v>0</v>
          </cell>
          <cell r="E427">
            <v>0</v>
          </cell>
          <cell r="F427" t="str">
            <v>Wks</v>
          </cell>
          <cell r="G427" t="str">
            <v>Days</v>
          </cell>
          <cell r="H427" t="str">
            <v>Frames</v>
          </cell>
          <cell r="I427" t="str">
            <v>Wks</v>
          </cell>
          <cell r="J427" t="str">
            <v>Days</v>
          </cell>
          <cell r="K427">
            <v>21</v>
          </cell>
          <cell r="L427">
            <v>0</v>
          </cell>
          <cell r="M427">
            <v>29</v>
          </cell>
          <cell r="N427">
            <v>0</v>
          </cell>
          <cell r="O427">
            <v>29</v>
          </cell>
          <cell r="P427">
            <v>0</v>
          </cell>
          <cell r="Q427">
            <v>29</v>
          </cell>
          <cell r="Y427">
            <v>4</v>
          </cell>
          <cell r="Z427">
            <v>25.0642</v>
          </cell>
        </row>
        <row r="428">
          <cell r="A428">
            <v>1.5806</v>
          </cell>
          <cell r="B428">
            <v>25.0642</v>
          </cell>
          <cell r="C428">
            <v>0</v>
          </cell>
          <cell r="D428">
            <v>0</v>
          </cell>
          <cell r="E428">
            <v>0</v>
          </cell>
          <cell r="F428">
            <v>1.5806</v>
          </cell>
          <cell r="G428">
            <v>25.0642</v>
          </cell>
          <cell r="H428">
            <v>158.06</v>
          </cell>
          <cell r="I428">
            <v>1.5806</v>
          </cell>
          <cell r="J428">
            <v>25.0642</v>
          </cell>
          <cell r="K428">
            <v>21</v>
          </cell>
          <cell r="L428">
            <v>0</v>
          </cell>
          <cell r="M428">
            <v>29</v>
          </cell>
          <cell r="N428">
            <v>0</v>
          </cell>
          <cell r="O428">
            <v>29</v>
          </cell>
          <cell r="P428">
            <v>0</v>
          </cell>
          <cell r="Q428">
            <v>29</v>
          </cell>
          <cell r="Y428">
            <v>4</v>
          </cell>
          <cell r="Z428">
            <v>25.0642</v>
          </cell>
        </row>
        <row r="439">
          <cell r="Y439">
            <v>70</v>
          </cell>
          <cell r="Z439">
            <v>11.0642</v>
          </cell>
        </row>
        <row r="440">
          <cell r="Y440">
            <v>70</v>
          </cell>
          <cell r="Z440">
            <v>11.0642</v>
          </cell>
        </row>
        <row r="443">
          <cell r="N443" t="str">
            <v>ENGINEERING</v>
          </cell>
          <cell r="O443">
            <v>0</v>
          </cell>
          <cell r="P443">
            <v>0</v>
          </cell>
          <cell r="Q443">
            <v>0</v>
          </cell>
          <cell r="Y443" t="str">
            <v>WK Count</v>
          </cell>
          <cell r="Z443" t="str">
            <v>Total Days</v>
          </cell>
        </row>
        <row r="444">
          <cell r="N444" t="str">
            <v>ENGINEERING</v>
          </cell>
          <cell r="O444">
            <v>0</v>
          </cell>
          <cell r="P444">
            <v>0</v>
          </cell>
          <cell r="Q444">
            <v>0</v>
          </cell>
          <cell r="Y444" t="str">
            <v>WK Count</v>
          </cell>
          <cell r="Z444" t="str">
            <v>Total Days</v>
          </cell>
        </row>
        <row r="445">
          <cell r="A445" t="str">
            <v>PREP</v>
          </cell>
          <cell r="B445">
            <v>0</v>
          </cell>
          <cell r="C445">
            <v>0</v>
          </cell>
          <cell r="D445">
            <v>0</v>
          </cell>
          <cell r="E445">
            <v>0</v>
          </cell>
          <cell r="F445" t="str">
            <v>ANIMATION</v>
          </cell>
          <cell r="G445">
            <v>0</v>
          </cell>
          <cell r="H445">
            <v>0</v>
          </cell>
          <cell r="I445" t="str">
            <v>INK &amp; PAINT</v>
          </cell>
          <cell r="J445">
            <v>0</v>
          </cell>
          <cell r="K445">
            <v>0</v>
          </cell>
          <cell r="L445" t="str">
            <v>ALPHA</v>
          </cell>
          <cell r="M445">
            <v>0</v>
          </cell>
          <cell r="N445" t="str">
            <v>BETA</v>
          </cell>
          <cell r="O445">
            <v>0</v>
          </cell>
          <cell r="P445" t="str">
            <v>RTM</v>
          </cell>
          <cell r="Q445">
            <v>0</v>
          </cell>
          <cell r="Y445">
            <v>4</v>
          </cell>
          <cell r="Z445">
            <v>32.440100000000001</v>
          </cell>
        </row>
        <row r="446">
          <cell r="A446" t="str">
            <v>PREP</v>
          </cell>
          <cell r="B446" t="str">
            <v>Days</v>
          </cell>
          <cell r="C446">
            <v>0</v>
          </cell>
          <cell r="D446">
            <v>0</v>
          </cell>
          <cell r="E446">
            <v>0</v>
          </cell>
          <cell r="F446" t="str">
            <v>ANIMATION</v>
          </cell>
          <cell r="G446" t="str">
            <v>Days</v>
          </cell>
          <cell r="H446" t="str">
            <v>Frames</v>
          </cell>
          <cell r="I446" t="str">
            <v>INK &amp; PAINT</v>
          </cell>
          <cell r="J446" t="str">
            <v>Days</v>
          </cell>
          <cell r="K446">
            <v>0</v>
          </cell>
          <cell r="L446" t="str">
            <v>ALPHA</v>
          </cell>
          <cell r="M446">
            <v>0</v>
          </cell>
          <cell r="N446" t="str">
            <v>BETA</v>
          </cell>
          <cell r="O446">
            <v>0</v>
          </cell>
          <cell r="P446" t="str">
            <v>RTM</v>
          </cell>
          <cell r="Q446">
            <v>0</v>
          </cell>
          <cell r="Y446">
            <v>4</v>
          </cell>
          <cell r="Z446">
            <v>32.440100000000001</v>
          </cell>
        </row>
        <row r="447">
          <cell r="A447" t="str">
            <v>Wks</v>
          </cell>
          <cell r="B447" t="str">
            <v>Days</v>
          </cell>
          <cell r="C447">
            <v>0</v>
          </cell>
          <cell r="D447">
            <v>0</v>
          </cell>
          <cell r="E447">
            <v>0</v>
          </cell>
          <cell r="F447" t="str">
            <v>Wks</v>
          </cell>
          <cell r="G447" t="str">
            <v>Days</v>
          </cell>
          <cell r="H447" t="str">
            <v>Frames</v>
          </cell>
          <cell r="I447" t="str">
            <v>Wks</v>
          </cell>
          <cell r="J447" t="str">
            <v>Days</v>
          </cell>
          <cell r="K447">
            <v>21</v>
          </cell>
          <cell r="L447">
            <v>0</v>
          </cell>
          <cell r="M447">
            <v>29</v>
          </cell>
          <cell r="N447">
            <v>0</v>
          </cell>
          <cell r="O447">
            <v>29</v>
          </cell>
          <cell r="P447">
            <v>0</v>
          </cell>
          <cell r="Q447">
            <v>29</v>
          </cell>
          <cell r="Y447">
            <v>4</v>
          </cell>
          <cell r="Z447">
            <v>32.440100000000001</v>
          </cell>
        </row>
        <row r="448">
          <cell r="A448">
            <v>2.6343000000000001</v>
          </cell>
          <cell r="B448">
            <v>32.440100000000001</v>
          </cell>
          <cell r="C448">
            <v>0</v>
          </cell>
          <cell r="D448">
            <v>0</v>
          </cell>
          <cell r="E448">
            <v>0</v>
          </cell>
          <cell r="F448">
            <v>2.6343000000000001</v>
          </cell>
          <cell r="G448">
            <v>32.440100000000001</v>
          </cell>
          <cell r="H448">
            <v>263.43</v>
          </cell>
          <cell r="I448">
            <v>2.6343000000000001</v>
          </cell>
          <cell r="J448">
            <v>32.440100000000001</v>
          </cell>
          <cell r="K448">
            <v>21</v>
          </cell>
          <cell r="L448">
            <v>0</v>
          </cell>
          <cell r="M448">
            <v>29</v>
          </cell>
          <cell r="N448">
            <v>0</v>
          </cell>
          <cell r="O448">
            <v>29</v>
          </cell>
          <cell r="P448">
            <v>0</v>
          </cell>
          <cell r="Q448">
            <v>29</v>
          </cell>
          <cell r="Y448">
            <v>4</v>
          </cell>
          <cell r="Z448">
            <v>32.440100000000001</v>
          </cell>
        </row>
        <row r="459">
          <cell r="Y459">
            <v>70</v>
          </cell>
          <cell r="Z459">
            <v>18.440100000000001</v>
          </cell>
        </row>
        <row r="460">
          <cell r="Y460">
            <v>70</v>
          </cell>
          <cell r="Z460">
            <v>18.440100000000001</v>
          </cell>
        </row>
        <row r="463">
          <cell r="N463" t="str">
            <v>ENGINEERING</v>
          </cell>
          <cell r="O463">
            <v>0</v>
          </cell>
          <cell r="P463">
            <v>0</v>
          </cell>
          <cell r="Q463">
            <v>0</v>
          </cell>
          <cell r="Y463" t="str">
            <v>WK Count</v>
          </cell>
          <cell r="Z463" t="str">
            <v>Total Days</v>
          </cell>
        </row>
        <row r="464">
          <cell r="N464" t="str">
            <v>ENGINEERING</v>
          </cell>
          <cell r="O464">
            <v>0</v>
          </cell>
          <cell r="P464">
            <v>0</v>
          </cell>
          <cell r="Q464">
            <v>0</v>
          </cell>
          <cell r="Y464" t="str">
            <v>WK Count</v>
          </cell>
          <cell r="Z464" t="str">
            <v>Total Days</v>
          </cell>
        </row>
        <row r="465">
          <cell r="A465" t="str">
            <v>PREP</v>
          </cell>
          <cell r="B465">
            <v>0</v>
          </cell>
          <cell r="C465">
            <v>0</v>
          </cell>
          <cell r="D465">
            <v>0</v>
          </cell>
          <cell r="E465">
            <v>0</v>
          </cell>
          <cell r="F465" t="str">
            <v>ANIMATION</v>
          </cell>
          <cell r="G465">
            <v>0</v>
          </cell>
          <cell r="H465">
            <v>0</v>
          </cell>
          <cell r="I465" t="str">
            <v>INK &amp; PAINT</v>
          </cell>
          <cell r="J465">
            <v>0</v>
          </cell>
          <cell r="K465">
            <v>0</v>
          </cell>
          <cell r="L465" t="str">
            <v>ALPHA</v>
          </cell>
          <cell r="M465">
            <v>0</v>
          </cell>
          <cell r="N465" t="str">
            <v>BETA</v>
          </cell>
          <cell r="O465">
            <v>0</v>
          </cell>
          <cell r="P465" t="str">
            <v>RTM</v>
          </cell>
          <cell r="Q465">
            <v>0</v>
          </cell>
          <cell r="Y465">
            <v>3</v>
          </cell>
          <cell r="Z465">
            <v>25.0642</v>
          </cell>
        </row>
        <row r="466">
          <cell r="A466" t="str">
            <v>PREP</v>
          </cell>
          <cell r="B466" t="str">
            <v>Days</v>
          </cell>
          <cell r="C466">
            <v>0</v>
          </cell>
          <cell r="D466">
            <v>0</v>
          </cell>
          <cell r="E466">
            <v>0</v>
          </cell>
          <cell r="F466" t="str">
            <v>ANIMATION</v>
          </cell>
          <cell r="G466" t="str">
            <v>Days</v>
          </cell>
          <cell r="H466" t="str">
            <v>Frames</v>
          </cell>
          <cell r="I466" t="str">
            <v>INK &amp; PAINT</v>
          </cell>
          <cell r="J466" t="str">
            <v>Days</v>
          </cell>
          <cell r="K466">
            <v>0</v>
          </cell>
          <cell r="L466" t="str">
            <v>ALPHA</v>
          </cell>
          <cell r="M466">
            <v>0</v>
          </cell>
          <cell r="N466" t="str">
            <v>BETA</v>
          </cell>
          <cell r="O466">
            <v>0</v>
          </cell>
          <cell r="P466" t="str">
            <v>RTM</v>
          </cell>
          <cell r="Q466">
            <v>0</v>
          </cell>
          <cell r="Y466">
            <v>3</v>
          </cell>
          <cell r="Z466">
            <v>25.0642</v>
          </cell>
        </row>
        <row r="467">
          <cell r="A467" t="str">
            <v>Wks</v>
          </cell>
          <cell r="B467" t="str">
            <v>Days</v>
          </cell>
          <cell r="C467">
            <v>0</v>
          </cell>
          <cell r="D467">
            <v>0</v>
          </cell>
          <cell r="E467">
            <v>0</v>
          </cell>
          <cell r="F467" t="str">
            <v>Wks</v>
          </cell>
          <cell r="G467" t="str">
            <v>Days</v>
          </cell>
          <cell r="H467" t="str">
            <v>Frames</v>
          </cell>
          <cell r="I467" t="str">
            <v>Wks</v>
          </cell>
          <cell r="J467" t="str">
            <v>Days</v>
          </cell>
          <cell r="K467">
            <v>21</v>
          </cell>
          <cell r="L467">
            <v>0</v>
          </cell>
          <cell r="M467">
            <v>29</v>
          </cell>
          <cell r="N467">
            <v>0</v>
          </cell>
          <cell r="O467">
            <v>29</v>
          </cell>
          <cell r="P467">
            <v>0</v>
          </cell>
          <cell r="Q467">
            <v>29</v>
          </cell>
          <cell r="Y467">
            <v>3</v>
          </cell>
          <cell r="Z467">
            <v>25.0642</v>
          </cell>
        </row>
        <row r="468">
          <cell r="A468">
            <v>1.5806</v>
          </cell>
          <cell r="B468">
            <v>25.0642</v>
          </cell>
          <cell r="C468">
            <v>0</v>
          </cell>
          <cell r="D468">
            <v>0</v>
          </cell>
          <cell r="E468">
            <v>0</v>
          </cell>
          <cell r="F468">
            <v>1.5806</v>
          </cell>
          <cell r="G468">
            <v>25.0642</v>
          </cell>
          <cell r="H468">
            <v>158.06</v>
          </cell>
          <cell r="I468">
            <v>1.5806</v>
          </cell>
          <cell r="J468">
            <v>25.0642</v>
          </cell>
          <cell r="K468">
            <v>21</v>
          </cell>
          <cell r="L468">
            <v>0</v>
          </cell>
          <cell r="M468">
            <v>29</v>
          </cell>
          <cell r="N468">
            <v>0</v>
          </cell>
          <cell r="O468">
            <v>29</v>
          </cell>
          <cell r="P468">
            <v>0</v>
          </cell>
          <cell r="Q468">
            <v>29</v>
          </cell>
          <cell r="Y468">
            <v>3</v>
          </cell>
          <cell r="Z468">
            <v>25.0642</v>
          </cell>
        </row>
        <row r="479">
          <cell r="Y479">
            <v>63</v>
          </cell>
          <cell r="Z479">
            <v>11.0642</v>
          </cell>
        </row>
        <row r="480">
          <cell r="Y480">
            <v>63</v>
          </cell>
          <cell r="Z480">
            <v>11.0642</v>
          </cell>
        </row>
        <row r="483">
          <cell r="N483" t="str">
            <v>ENGINEERING</v>
          </cell>
          <cell r="O483">
            <v>0</v>
          </cell>
          <cell r="P483">
            <v>0</v>
          </cell>
          <cell r="Q483">
            <v>0</v>
          </cell>
          <cell r="Y483" t="str">
            <v>WK Count</v>
          </cell>
          <cell r="Z483" t="str">
            <v>Total Days</v>
          </cell>
        </row>
        <row r="484">
          <cell r="N484" t="str">
            <v>ENGINEERING</v>
          </cell>
          <cell r="O484">
            <v>0</v>
          </cell>
          <cell r="P484">
            <v>0</v>
          </cell>
          <cell r="Q484">
            <v>0</v>
          </cell>
          <cell r="Y484" t="str">
            <v>WK Count</v>
          </cell>
          <cell r="Z484" t="str">
            <v>Total Days</v>
          </cell>
        </row>
        <row r="485">
          <cell r="A485" t="str">
            <v>PREP</v>
          </cell>
          <cell r="B485">
            <v>0</v>
          </cell>
          <cell r="C485">
            <v>0</v>
          </cell>
          <cell r="D485">
            <v>0</v>
          </cell>
          <cell r="E485">
            <v>0</v>
          </cell>
          <cell r="F485" t="str">
            <v>ANIMATION</v>
          </cell>
          <cell r="G485">
            <v>0</v>
          </cell>
          <cell r="H485">
            <v>0</v>
          </cell>
          <cell r="I485" t="str">
            <v>INK &amp; PAINT</v>
          </cell>
          <cell r="J485">
            <v>0</v>
          </cell>
          <cell r="K485">
            <v>0</v>
          </cell>
          <cell r="L485" t="str">
            <v>ALPHA</v>
          </cell>
          <cell r="M485">
            <v>0</v>
          </cell>
          <cell r="N485" t="str">
            <v>BETA</v>
          </cell>
          <cell r="O485">
            <v>0</v>
          </cell>
          <cell r="P485" t="str">
            <v>RTM</v>
          </cell>
          <cell r="Q485">
            <v>0</v>
          </cell>
          <cell r="Y485">
            <v>7</v>
          </cell>
          <cell r="Z485">
            <v>46.393619999999999</v>
          </cell>
        </row>
        <row r="486">
          <cell r="A486" t="str">
            <v>PREP</v>
          </cell>
          <cell r="B486" t="str">
            <v>Days</v>
          </cell>
          <cell r="C486">
            <v>0</v>
          </cell>
          <cell r="D486">
            <v>0</v>
          </cell>
          <cell r="E486">
            <v>0</v>
          </cell>
          <cell r="F486" t="str">
            <v>ANIMATION</v>
          </cell>
          <cell r="G486" t="str">
            <v>Days</v>
          </cell>
          <cell r="H486" t="str">
            <v>Frames</v>
          </cell>
          <cell r="I486" t="str">
            <v>INK &amp; PAINT</v>
          </cell>
          <cell r="J486" t="str">
            <v>Days</v>
          </cell>
          <cell r="K486">
            <v>0</v>
          </cell>
          <cell r="L486" t="str">
            <v>ALPHA</v>
          </cell>
          <cell r="M486">
            <v>0</v>
          </cell>
          <cell r="N486" t="str">
            <v>BETA</v>
          </cell>
          <cell r="O486">
            <v>0</v>
          </cell>
          <cell r="P486" t="str">
            <v>RTM</v>
          </cell>
          <cell r="Q486">
            <v>0</v>
          </cell>
          <cell r="Y486">
            <v>7</v>
          </cell>
          <cell r="Z486">
            <v>46.393619999999999</v>
          </cell>
        </row>
        <row r="487">
          <cell r="A487" t="str">
            <v>Wks</v>
          </cell>
          <cell r="B487" t="str">
            <v>Days</v>
          </cell>
          <cell r="C487">
            <v>0</v>
          </cell>
          <cell r="D487">
            <v>0</v>
          </cell>
          <cell r="E487">
            <v>0</v>
          </cell>
          <cell r="F487" t="str">
            <v>Wks</v>
          </cell>
          <cell r="G487" t="str">
            <v>Days</v>
          </cell>
          <cell r="H487" t="str">
            <v>Frames</v>
          </cell>
          <cell r="I487" t="str">
            <v>Wks</v>
          </cell>
          <cell r="J487" t="str">
            <v>Days</v>
          </cell>
          <cell r="K487">
            <v>21</v>
          </cell>
          <cell r="L487">
            <v>0</v>
          </cell>
          <cell r="M487">
            <v>29</v>
          </cell>
          <cell r="N487">
            <v>0</v>
          </cell>
          <cell r="O487">
            <v>29</v>
          </cell>
          <cell r="P487">
            <v>0</v>
          </cell>
          <cell r="Q487">
            <v>29</v>
          </cell>
          <cell r="Y487">
            <v>9</v>
          </cell>
          <cell r="Z487">
            <v>62.393619999999999</v>
          </cell>
        </row>
        <row r="488">
          <cell r="A488">
            <v>4.6276599999999997</v>
          </cell>
          <cell r="B488">
            <v>46.393619999999999</v>
          </cell>
          <cell r="C488">
            <v>0</v>
          </cell>
          <cell r="D488">
            <v>0</v>
          </cell>
          <cell r="E488">
            <v>0</v>
          </cell>
          <cell r="F488">
            <v>4.6276599999999997</v>
          </cell>
          <cell r="G488">
            <v>62.393619999999999</v>
          </cell>
          <cell r="H488">
            <v>2313.83</v>
          </cell>
          <cell r="I488">
            <v>4.6276599999999997</v>
          </cell>
          <cell r="J488">
            <v>46.393619999999999</v>
          </cell>
          <cell r="K488">
            <v>21</v>
          </cell>
          <cell r="L488">
            <v>0</v>
          </cell>
          <cell r="M488">
            <v>29</v>
          </cell>
          <cell r="N488">
            <v>0</v>
          </cell>
          <cell r="O488">
            <v>29</v>
          </cell>
          <cell r="P488">
            <v>0</v>
          </cell>
          <cell r="Q488">
            <v>29</v>
          </cell>
          <cell r="Y488">
            <v>6</v>
          </cell>
          <cell r="Z488">
            <v>46.393619999999999</v>
          </cell>
        </row>
        <row r="500">
          <cell r="Y500">
            <v>105</v>
          </cell>
          <cell r="Z500">
            <v>32.393619999999999</v>
          </cell>
        </row>
        <row r="501">
          <cell r="Y501">
            <v>105</v>
          </cell>
          <cell r="Z501">
            <v>32.393619999999999</v>
          </cell>
        </row>
        <row r="504">
          <cell r="N504" t="str">
            <v>ENGINEERING</v>
          </cell>
          <cell r="O504">
            <v>0</v>
          </cell>
          <cell r="P504">
            <v>0</v>
          </cell>
          <cell r="Q504">
            <v>0</v>
          </cell>
          <cell r="Y504" t="str">
            <v>WK Count</v>
          </cell>
          <cell r="Z504" t="str">
            <v>Total Days</v>
          </cell>
        </row>
        <row r="505">
          <cell r="N505" t="str">
            <v>ENGINEERING</v>
          </cell>
          <cell r="O505">
            <v>0</v>
          </cell>
          <cell r="P505">
            <v>0</v>
          </cell>
          <cell r="Q505">
            <v>0</v>
          </cell>
          <cell r="Y505" t="str">
            <v>WK Count</v>
          </cell>
          <cell r="Z505" t="str">
            <v>Total Days</v>
          </cell>
        </row>
        <row r="506">
          <cell r="A506" t="str">
            <v>PREP</v>
          </cell>
          <cell r="B506">
            <v>0</v>
          </cell>
          <cell r="C506">
            <v>0</v>
          </cell>
          <cell r="D506">
            <v>0</v>
          </cell>
          <cell r="E506">
            <v>0</v>
          </cell>
          <cell r="F506" t="str">
            <v>ANIMATION</v>
          </cell>
          <cell r="G506">
            <v>0</v>
          </cell>
          <cell r="H506">
            <v>0</v>
          </cell>
          <cell r="I506" t="str">
            <v>INK &amp; PAINT</v>
          </cell>
          <cell r="J506">
            <v>0</v>
          </cell>
          <cell r="K506">
            <v>0</v>
          </cell>
          <cell r="L506" t="str">
            <v>ALPHA</v>
          </cell>
          <cell r="M506">
            <v>0</v>
          </cell>
          <cell r="N506" t="str">
            <v>BETA</v>
          </cell>
          <cell r="O506">
            <v>0</v>
          </cell>
          <cell r="P506" t="str">
            <v>RTM</v>
          </cell>
          <cell r="Q506">
            <v>0</v>
          </cell>
          <cell r="Y506">
            <v>25</v>
          </cell>
          <cell r="Z506">
            <v>175.96809999999999</v>
          </cell>
        </row>
        <row r="507">
          <cell r="A507" t="str">
            <v>PREP</v>
          </cell>
          <cell r="B507" t="str">
            <v>Days</v>
          </cell>
          <cell r="C507">
            <v>0</v>
          </cell>
          <cell r="D507">
            <v>0</v>
          </cell>
          <cell r="E507">
            <v>0</v>
          </cell>
          <cell r="F507" t="str">
            <v>ANIMATION</v>
          </cell>
          <cell r="G507" t="str">
            <v>Days</v>
          </cell>
          <cell r="H507" t="str">
            <v>Frames</v>
          </cell>
          <cell r="I507" t="str">
            <v>INK &amp; PAINT</v>
          </cell>
          <cell r="J507" t="str">
            <v>Days</v>
          </cell>
          <cell r="K507">
            <v>0</v>
          </cell>
          <cell r="L507" t="str">
            <v>ALPHA</v>
          </cell>
          <cell r="M507">
            <v>0</v>
          </cell>
          <cell r="N507" t="str">
            <v>BETA</v>
          </cell>
          <cell r="O507">
            <v>0</v>
          </cell>
          <cell r="P507" t="str">
            <v>RTM</v>
          </cell>
          <cell r="Q507">
            <v>0</v>
          </cell>
          <cell r="Y507">
            <v>25</v>
          </cell>
          <cell r="Z507">
            <v>175.96809999999999</v>
          </cell>
        </row>
        <row r="508">
          <cell r="A508" t="str">
            <v>Wks</v>
          </cell>
          <cell r="B508" t="str">
            <v>Days</v>
          </cell>
          <cell r="C508">
            <v>0</v>
          </cell>
          <cell r="D508">
            <v>0</v>
          </cell>
          <cell r="E508">
            <v>0</v>
          </cell>
          <cell r="F508" t="str">
            <v>Wks</v>
          </cell>
          <cell r="G508" t="str">
            <v>Days</v>
          </cell>
          <cell r="H508" t="str">
            <v>Frames</v>
          </cell>
          <cell r="I508" t="str">
            <v>Wks</v>
          </cell>
          <cell r="J508" t="str">
            <v>Days</v>
          </cell>
          <cell r="K508">
            <v>21</v>
          </cell>
          <cell r="L508">
            <v>0</v>
          </cell>
          <cell r="M508">
            <v>29</v>
          </cell>
          <cell r="N508">
            <v>0</v>
          </cell>
          <cell r="O508">
            <v>29</v>
          </cell>
          <cell r="P508">
            <v>0</v>
          </cell>
          <cell r="Q508">
            <v>29</v>
          </cell>
          <cell r="Y508">
            <v>28</v>
          </cell>
          <cell r="Z508">
            <v>191.96809999999999</v>
          </cell>
        </row>
        <row r="509">
          <cell r="A509">
            <v>23.138300000000001</v>
          </cell>
          <cell r="B509">
            <v>175.96809999999999</v>
          </cell>
          <cell r="C509">
            <v>0</v>
          </cell>
          <cell r="D509">
            <v>0</v>
          </cell>
          <cell r="E509">
            <v>0</v>
          </cell>
          <cell r="F509">
            <v>23.138300000000001</v>
          </cell>
          <cell r="G509">
            <v>191.96809999999999</v>
          </cell>
          <cell r="H509">
            <v>2313.83</v>
          </cell>
          <cell r="I509">
            <v>23.138300000000001</v>
          </cell>
          <cell r="J509">
            <v>175.96809999999999</v>
          </cell>
          <cell r="K509">
            <v>21</v>
          </cell>
          <cell r="L509">
            <v>0</v>
          </cell>
          <cell r="M509">
            <v>29</v>
          </cell>
          <cell r="N509">
            <v>0</v>
          </cell>
          <cell r="O509">
            <v>29</v>
          </cell>
          <cell r="P509">
            <v>0</v>
          </cell>
          <cell r="Q509">
            <v>29</v>
          </cell>
          <cell r="Y509">
            <v>25</v>
          </cell>
          <cell r="Z509">
            <v>175.96809999999999</v>
          </cell>
        </row>
        <row r="521">
          <cell r="Y521">
            <v>238</v>
          </cell>
          <cell r="Z521">
            <v>161.96809999999999</v>
          </cell>
        </row>
        <row r="522">
          <cell r="Y522">
            <v>238</v>
          </cell>
          <cell r="Z522">
            <v>161.96809999999999</v>
          </cell>
        </row>
        <row r="525">
          <cell r="N525" t="str">
            <v>ENGINEERING</v>
          </cell>
          <cell r="O525">
            <v>0</v>
          </cell>
          <cell r="P525">
            <v>0</v>
          </cell>
          <cell r="Q525">
            <v>0</v>
          </cell>
          <cell r="Y525" t="str">
            <v>WK Count</v>
          </cell>
          <cell r="Z525" t="str">
            <v>Total Days</v>
          </cell>
        </row>
        <row r="526">
          <cell r="N526" t="str">
            <v>ENGINEERING</v>
          </cell>
          <cell r="O526">
            <v>0</v>
          </cell>
          <cell r="P526">
            <v>0</v>
          </cell>
          <cell r="Q526">
            <v>0</v>
          </cell>
          <cell r="Y526" t="str">
            <v>WK Count</v>
          </cell>
          <cell r="Z526" t="str">
            <v>Total Days</v>
          </cell>
        </row>
        <row r="527">
          <cell r="A527" t="str">
            <v>PREP</v>
          </cell>
          <cell r="B527">
            <v>0</v>
          </cell>
          <cell r="C527">
            <v>0</v>
          </cell>
          <cell r="D527">
            <v>0</v>
          </cell>
          <cell r="E527">
            <v>0</v>
          </cell>
          <cell r="F527" t="str">
            <v>ANIMATION</v>
          </cell>
          <cell r="G527">
            <v>0</v>
          </cell>
          <cell r="H527">
            <v>0</v>
          </cell>
          <cell r="I527" t="str">
            <v>INK &amp; PAINT</v>
          </cell>
          <cell r="J527">
            <v>0</v>
          </cell>
          <cell r="K527">
            <v>0</v>
          </cell>
          <cell r="L527" t="str">
            <v>ALPHA</v>
          </cell>
          <cell r="M527">
            <v>0</v>
          </cell>
          <cell r="N527" t="str">
            <v>BETA</v>
          </cell>
          <cell r="O527">
            <v>0</v>
          </cell>
          <cell r="P527" t="str">
            <v>RTM</v>
          </cell>
          <cell r="Q527">
            <v>0</v>
          </cell>
          <cell r="Y527">
            <v>14</v>
          </cell>
          <cell r="Z527">
            <v>98</v>
          </cell>
        </row>
        <row r="528">
          <cell r="A528" t="str">
            <v>PREP</v>
          </cell>
          <cell r="B528" t="str">
            <v>Days</v>
          </cell>
          <cell r="C528">
            <v>0</v>
          </cell>
          <cell r="D528">
            <v>0</v>
          </cell>
          <cell r="E528">
            <v>0</v>
          </cell>
          <cell r="F528" t="str">
            <v>ANIMATION</v>
          </cell>
          <cell r="G528" t="str">
            <v>Days</v>
          </cell>
          <cell r="H528" t="str">
            <v>Frames</v>
          </cell>
          <cell r="I528" t="str">
            <v>INK &amp; PAINT</v>
          </cell>
          <cell r="J528" t="str">
            <v>Days</v>
          </cell>
          <cell r="K528">
            <v>0</v>
          </cell>
          <cell r="L528" t="str">
            <v>ALPHA</v>
          </cell>
          <cell r="M528">
            <v>0</v>
          </cell>
          <cell r="N528" t="str">
            <v>BETA</v>
          </cell>
          <cell r="O528">
            <v>0</v>
          </cell>
          <cell r="P528" t="str">
            <v>RTM</v>
          </cell>
          <cell r="Q528">
            <v>0</v>
          </cell>
          <cell r="Y528">
            <v>14</v>
          </cell>
          <cell r="Z528">
            <v>98</v>
          </cell>
        </row>
        <row r="529">
          <cell r="A529" t="str">
            <v>Wks</v>
          </cell>
          <cell r="B529" t="str">
            <v>Days</v>
          </cell>
          <cell r="C529">
            <v>0</v>
          </cell>
          <cell r="D529">
            <v>0</v>
          </cell>
          <cell r="E529">
            <v>0</v>
          </cell>
          <cell r="F529" t="str">
            <v>Wks</v>
          </cell>
          <cell r="G529" t="str">
            <v>Days</v>
          </cell>
          <cell r="H529" t="str">
            <v>Frames</v>
          </cell>
          <cell r="I529" t="str">
            <v>Wks</v>
          </cell>
          <cell r="J529" t="str">
            <v>Days</v>
          </cell>
          <cell r="K529">
            <v>21</v>
          </cell>
          <cell r="L529">
            <v>0</v>
          </cell>
          <cell r="M529">
            <v>29</v>
          </cell>
          <cell r="N529">
            <v>0</v>
          </cell>
          <cell r="O529">
            <v>29</v>
          </cell>
          <cell r="P529">
            <v>0</v>
          </cell>
          <cell r="Q529">
            <v>29</v>
          </cell>
          <cell r="Y529">
            <v>17</v>
          </cell>
          <cell r="Z529">
            <v>114</v>
          </cell>
        </row>
        <row r="530">
          <cell r="A530">
            <v>12</v>
          </cell>
          <cell r="B530">
            <v>98</v>
          </cell>
          <cell r="C530">
            <v>0</v>
          </cell>
          <cell r="D530">
            <v>0</v>
          </cell>
          <cell r="E530">
            <v>0</v>
          </cell>
          <cell r="F530">
            <v>12</v>
          </cell>
          <cell r="G530">
            <v>114</v>
          </cell>
          <cell r="H530">
            <v>6000</v>
          </cell>
          <cell r="I530">
            <v>12</v>
          </cell>
          <cell r="J530">
            <v>98</v>
          </cell>
          <cell r="K530">
            <v>21</v>
          </cell>
          <cell r="L530">
            <v>0</v>
          </cell>
          <cell r="M530">
            <v>29</v>
          </cell>
          <cell r="N530">
            <v>0</v>
          </cell>
          <cell r="O530">
            <v>29</v>
          </cell>
          <cell r="P530">
            <v>0</v>
          </cell>
          <cell r="Q530">
            <v>29</v>
          </cell>
          <cell r="Y530">
            <v>14</v>
          </cell>
          <cell r="Z530">
            <v>98</v>
          </cell>
        </row>
        <row r="542">
          <cell r="Y542">
            <v>161</v>
          </cell>
          <cell r="Z542">
            <v>84</v>
          </cell>
        </row>
        <row r="543">
          <cell r="Y543">
            <v>161</v>
          </cell>
          <cell r="Z543">
            <v>84</v>
          </cell>
        </row>
        <row r="546">
          <cell r="N546" t="str">
            <v>ENGINEERING</v>
          </cell>
          <cell r="O546">
            <v>0</v>
          </cell>
          <cell r="P546">
            <v>0</v>
          </cell>
          <cell r="Q546">
            <v>0</v>
          </cell>
          <cell r="Y546" t="str">
            <v>WK Count</v>
          </cell>
          <cell r="Z546" t="str">
            <v>Total Days</v>
          </cell>
        </row>
        <row r="547">
          <cell r="N547" t="str">
            <v>ENGINEERING</v>
          </cell>
          <cell r="O547">
            <v>0</v>
          </cell>
          <cell r="P547">
            <v>0</v>
          </cell>
          <cell r="Q547">
            <v>0</v>
          </cell>
          <cell r="Y547" t="str">
            <v>WK Count</v>
          </cell>
          <cell r="Z547" t="str">
            <v>Total Days</v>
          </cell>
        </row>
        <row r="548">
          <cell r="A548" t="str">
            <v>PREP</v>
          </cell>
          <cell r="B548">
            <v>0</v>
          </cell>
          <cell r="C548">
            <v>0</v>
          </cell>
          <cell r="D548">
            <v>0</v>
          </cell>
          <cell r="E548">
            <v>0</v>
          </cell>
          <cell r="F548" t="str">
            <v>ANIMATION</v>
          </cell>
          <cell r="G548">
            <v>0</v>
          </cell>
          <cell r="H548">
            <v>0</v>
          </cell>
          <cell r="I548" t="str">
            <v>INK &amp; PAINT</v>
          </cell>
          <cell r="J548">
            <v>0</v>
          </cell>
          <cell r="K548">
            <v>0</v>
          </cell>
          <cell r="L548" t="str">
            <v>ALPHA</v>
          </cell>
          <cell r="M548">
            <v>0</v>
          </cell>
          <cell r="N548" t="str">
            <v>BETA</v>
          </cell>
          <cell r="O548">
            <v>0</v>
          </cell>
          <cell r="P548" t="str">
            <v>RTM</v>
          </cell>
          <cell r="Q548">
            <v>0</v>
          </cell>
          <cell r="Y548">
            <v>6</v>
          </cell>
          <cell r="Z548">
            <v>36.435933333333338</v>
          </cell>
        </row>
        <row r="549">
          <cell r="A549" t="str">
            <v>PREP</v>
          </cell>
          <cell r="B549" t="str">
            <v>Days</v>
          </cell>
          <cell r="C549">
            <v>0</v>
          </cell>
          <cell r="D549">
            <v>0</v>
          </cell>
          <cell r="E549">
            <v>0</v>
          </cell>
          <cell r="F549" t="str">
            <v>ANIMATION</v>
          </cell>
          <cell r="G549" t="str">
            <v>Days</v>
          </cell>
          <cell r="H549" t="str">
            <v>Frames</v>
          </cell>
          <cell r="I549" t="str">
            <v>INK &amp; PAINT</v>
          </cell>
          <cell r="J549" t="str">
            <v>Days</v>
          </cell>
          <cell r="K549">
            <v>0</v>
          </cell>
          <cell r="L549" t="str">
            <v>ALPHA</v>
          </cell>
          <cell r="M549">
            <v>0</v>
          </cell>
          <cell r="N549" t="str">
            <v>BETA</v>
          </cell>
          <cell r="O549">
            <v>0</v>
          </cell>
          <cell r="P549" t="str">
            <v>RTM</v>
          </cell>
          <cell r="Q549">
            <v>0</v>
          </cell>
          <cell r="Y549">
            <v>6</v>
          </cell>
          <cell r="Z549">
            <v>36.435933333333338</v>
          </cell>
        </row>
        <row r="550">
          <cell r="A550" t="str">
            <v>Wks</v>
          </cell>
          <cell r="B550" t="str">
            <v>Days</v>
          </cell>
          <cell r="C550">
            <v>0</v>
          </cell>
          <cell r="D550">
            <v>0</v>
          </cell>
          <cell r="E550">
            <v>0</v>
          </cell>
          <cell r="F550" t="str">
            <v>Wks</v>
          </cell>
          <cell r="G550" t="str">
            <v>Days</v>
          </cell>
          <cell r="H550" t="str">
            <v>Frames</v>
          </cell>
          <cell r="I550" t="str">
            <v>Wks</v>
          </cell>
          <cell r="J550" t="str">
            <v>Days</v>
          </cell>
          <cell r="K550">
            <v>21</v>
          </cell>
          <cell r="L550">
            <v>0</v>
          </cell>
          <cell r="M550">
            <v>29</v>
          </cell>
          <cell r="N550">
            <v>0</v>
          </cell>
          <cell r="O550">
            <v>29</v>
          </cell>
          <cell r="P550">
            <v>0</v>
          </cell>
          <cell r="Q550">
            <v>29</v>
          </cell>
          <cell r="Y550">
            <v>8</v>
          </cell>
          <cell r="Z550">
            <v>52.435933333333338</v>
          </cell>
        </row>
        <row r="551">
          <cell r="A551">
            <v>3.2051333333333334</v>
          </cell>
          <cell r="B551">
            <v>36.435933333333338</v>
          </cell>
          <cell r="C551">
            <v>0</v>
          </cell>
          <cell r="D551">
            <v>0</v>
          </cell>
          <cell r="E551">
            <v>0</v>
          </cell>
          <cell r="F551">
            <v>3.2051333333333334</v>
          </cell>
          <cell r="G551">
            <v>52.435933333333338</v>
          </cell>
          <cell r="H551">
            <v>480.77</v>
          </cell>
          <cell r="I551">
            <v>3.2051333333333334</v>
          </cell>
          <cell r="J551">
            <v>36.435933333333338</v>
          </cell>
          <cell r="K551">
            <v>21</v>
          </cell>
          <cell r="L551">
            <v>0</v>
          </cell>
          <cell r="M551">
            <v>29</v>
          </cell>
          <cell r="N551">
            <v>0</v>
          </cell>
          <cell r="O551">
            <v>29</v>
          </cell>
          <cell r="P551">
            <v>0</v>
          </cell>
          <cell r="Q551">
            <v>29</v>
          </cell>
          <cell r="Y551">
            <v>5</v>
          </cell>
          <cell r="Z551">
            <v>36.435933333333338</v>
          </cell>
        </row>
        <row r="563">
          <cell r="Y563">
            <v>98</v>
          </cell>
          <cell r="Z563">
            <v>22.435933333333338</v>
          </cell>
        </row>
        <row r="564">
          <cell r="Y564">
            <v>98</v>
          </cell>
          <cell r="Z564">
            <v>22.435933333333338</v>
          </cell>
        </row>
        <row r="567">
          <cell r="N567" t="str">
            <v>ENGINEERING</v>
          </cell>
          <cell r="O567">
            <v>0</v>
          </cell>
          <cell r="P567">
            <v>0</v>
          </cell>
          <cell r="Q567">
            <v>0</v>
          </cell>
          <cell r="Y567" t="str">
            <v>WK Count</v>
          </cell>
          <cell r="Z567" t="str">
            <v>Total Days</v>
          </cell>
        </row>
        <row r="568">
          <cell r="N568" t="str">
            <v>ENGINEERING</v>
          </cell>
          <cell r="O568">
            <v>0</v>
          </cell>
          <cell r="P568">
            <v>0</v>
          </cell>
          <cell r="Q568">
            <v>0</v>
          </cell>
          <cell r="Y568" t="str">
            <v>WK Count</v>
          </cell>
          <cell r="Z568" t="str">
            <v>Total Days</v>
          </cell>
        </row>
        <row r="569">
          <cell r="A569" t="str">
            <v>PREP</v>
          </cell>
          <cell r="B569">
            <v>0</v>
          </cell>
          <cell r="C569">
            <v>0</v>
          </cell>
          <cell r="D569">
            <v>0</v>
          </cell>
          <cell r="E569">
            <v>0</v>
          </cell>
          <cell r="F569" t="str">
            <v>ANIMATION</v>
          </cell>
          <cell r="G569">
            <v>0</v>
          </cell>
          <cell r="H569">
            <v>0</v>
          </cell>
          <cell r="I569" t="str">
            <v>INK &amp; PAINT</v>
          </cell>
          <cell r="J569">
            <v>0</v>
          </cell>
          <cell r="K569">
            <v>0</v>
          </cell>
          <cell r="L569" t="str">
            <v>ALPHA</v>
          </cell>
          <cell r="M569">
            <v>0</v>
          </cell>
          <cell r="N569" t="str">
            <v>BETA</v>
          </cell>
          <cell r="O569">
            <v>0</v>
          </cell>
          <cell r="P569" t="str">
            <v>RTM</v>
          </cell>
          <cell r="Q569">
            <v>0</v>
          </cell>
          <cell r="Y569">
            <v>25</v>
          </cell>
          <cell r="Z569">
            <v>175</v>
          </cell>
        </row>
        <row r="570">
          <cell r="A570" t="str">
            <v>PREP</v>
          </cell>
          <cell r="B570" t="str">
            <v>Days</v>
          </cell>
          <cell r="C570">
            <v>0</v>
          </cell>
          <cell r="D570">
            <v>0</v>
          </cell>
          <cell r="E570">
            <v>0</v>
          </cell>
          <cell r="F570" t="str">
            <v>ANIMATION</v>
          </cell>
          <cell r="G570" t="str">
            <v>Days</v>
          </cell>
          <cell r="H570" t="str">
            <v>Frames</v>
          </cell>
          <cell r="I570" t="str">
            <v>INK &amp; PAINT</v>
          </cell>
          <cell r="J570" t="str">
            <v>Days</v>
          </cell>
          <cell r="K570">
            <v>0</v>
          </cell>
          <cell r="L570" t="str">
            <v>ALPHA</v>
          </cell>
          <cell r="M570">
            <v>0</v>
          </cell>
          <cell r="N570" t="str">
            <v>BETA</v>
          </cell>
          <cell r="O570">
            <v>0</v>
          </cell>
          <cell r="P570" t="str">
            <v>RTM</v>
          </cell>
          <cell r="Q570">
            <v>0</v>
          </cell>
          <cell r="Y570">
            <v>25</v>
          </cell>
          <cell r="Z570">
            <v>175</v>
          </cell>
        </row>
        <row r="571">
          <cell r="A571" t="str">
            <v>Wks</v>
          </cell>
          <cell r="B571" t="str">
            <v>Days</v>
          </cell>
          <cell r="C571">
            <v>0</v>
          </cell>
          <cell r="D571">
            <v>0</v>
          </cell>
          <cell r="E571">
            <v>0</v>
          </cell>
          <cell r="F571" t="str">
            <v>Wks</v>
          </cell>
          <cell r="G571" t="str">
            <v>Days</v>
          </cell>
          <cell r="H571" t="str">
            <v>Frames</v>
          </cell>
          <cell r="I571" t="str">
            <v>Wks</v>
          </cell>
          <cell r="J571" t="str">
            <v>Days</v>
          </cell>
          <cell r="K571">
            <v>21</v>
          </cell>
          <cell r="L571">
            <v>0</v>
          </cell>
          <cell r="M571">
            <v>29</v>
          </cell>
          <cell r="N571">
            <v>0</v>
          </cell>
          <cell r="O571">
            <v>29</v>
          </cell>
          <cell r="P571">
            <v>0</v>
          </cell>
          <cell r="Q571">
            <v>29</v>
          </cell>
          <cell r="Y571">
            <v>29</v>
          </cell>
          <cell r="Z571">
            <v>201</v>
          </cell>
        </row>
        <row r="572">
          <cell r="A572">
            <v>23</v>
          </cell>
          <cell r="B572">
            <v>175</v>
          </cell>
          <cell r="C572">
            <v>0</v>
          </cell>
          <cell r="D572">
            <v>0</v>
          </cell>
          <cell r="E572">
            <v>0</v>
          </cell>
          <cell r="F572">
            <v>23</v>
          </cell>
          <cell r="G572">
            <v>201</v>
          </cell>
          <cell r="H572">
            <v>11500</v>
          </cell>
          <cell r="I572">
            <v>23</v>
          </cell>
          <cell r="J572">
            <v>175</v>
          </cell>
          <cell r="K572">
            <v>21</v>
          </cell>
          <cell r="L572">
            <v>0</v>
          </cell>
          <cell r="M572">
            <v>29</v>
          </cell>
          <cell r="N572">
            <v>0</v>
          </cell>
          <cell r="O572">
            <v>29</v>
          </cell>
          <cell r="P572">
            <v>0</v>
          </cell>
          <cell r="Q572">
            <v>29</v>
          </cell>
          <cell r="Y572">
            <v>25</v>
          </cell>
          <cell r="Z572">
            <v>175</v>
          </cell>
        </row>
        <row r="584">
          <cell r="Y584">
            <v>245</v>
          </cell>
          <cell r="Z584">
            <v>161</v>
          </cell>
        </row>
        <row r="585">
          <cell r="Y585">
            <v>245</v>
          </cell>
          <cell r="Z585">
            <v>161</v>
          </cell>
        </row>
        <row r="587">
          <cell r="Y587">
            <v>0</v>
          </cell>
          <cell r="Z587">
            <v>0</v>
          </cell>
        </row>
        <row r="588">
          <cell r="Y588">
            <v>0</v>
          </cell>
          <cell r="Z588">
            <v>0</v>
          </cell>
        </row>
        <row r="589">
          <cell r="Y589" t="e">
            <v>#REF!</v>
          </cell>
          <cell r="Z589" t="e">
            <v>#REF!</v>
          </cell>
        </row>
        <row r="590">
          <cell r="Y590">
            <v>0</v>
          </cell>
          <cell r="Z590">
            <v>0</v>
          </cell>
        </row>
        <row r="591">
          <cell r="Y591" t="e">
            <v>#REF!</v>
          </cell>
          <cell r="Z591" t="e">
            <v>#REF!</v>
          </cell>
        </row>
        <row r="592">
          <cell r="Y592" t="e">
            <v>#REF!</v>
          </cell>
          <cell r="Z592" t="e">
            <v>#REF!</v>
          </cell>
        </row>
        <row r="593">
          <cell r="Y593" t="e">
            <v>#REF!</v>
          </cell>
          <cell r="Z593" t="e">
            <v>#REF!</v>
          </cell>
        </row>
        <row r="594">
          <cell r="Y594" t="e">
            <v>#REF!</v>
          </cell>
          <cell r="Z594" t="e">
            <v>#REF!</v>
          </cell>
        </row>
        <row r="595">
          <cell r="Y595" t="e">
            <v>#REF!</v>
          </cell>
          <cell r="Z595" t="e">
            <v>#REF!</v>
          </cell>
        </row>
        <row r="596">
          <cell r="Y596" t="e">
            <v>#REF!</v>
          </cell>
          <cell r="Z596" t="e">
            <v>#REF!</v>
          </cell>
        </row>
        <row r="597">
          <cell r="Y597" t="e">
            <v>#REF!</v>
          </cell>
          <cell r="Z597" t="e">
            <v>#REF!</v>
          </cell>
        </row>
        <row r="598">
          <cell r="Y598" t="e">
            <v>#REF!</v>
          </cell>
          <cell r="Z598" t="e">
            <v>#REF!</v>
          </cell>
        </row>
        <row r="599">
          <cell r="Y599" t="e">
            <v>#REF!</v>
          </cell>
          <cell r="Z599" t="e">
            <v>#REF!</v>
          </cell>
        </row>
        <row r="600">
          <cell r="Y600" t="e">
            <v>#REF!</v>
          </cell>
          <cell r="Z600" t="e">
            <v>#REF!</v>
          </cell>
        </row>
        <row r="601">
          <cell r="Y601" t="e">
            <v>#REF!</v>
          </cell>
          <cell r="Z601" t="e">
            <v>#REF!</v>
          </cell>
        </row>
        <row r="602">
          <cell r="Y602" t="e">
            <v>#REF!</v>
          </cell>
          <cell r="Z602" t="e">
            <v>#REF!</v>
          </cell>
        </row>
        <row r="603">
          <cell r="Y603" t="e">
            <v>#REF!</v>
          </cell>
          <cell r="Z603" t="e">
            <v>#REF!</v>
          </cell>
        </row>
        <row r="604">
          <cell r="Y604" t="e">
            <v>#REF!</v>
          </cell>
          <cell r="Z604" t="e">
            <v>#REF!</v>
          </cell>
        </row>
        <row r="605">
          <cell r="Y605" t="e">
            <v>#REF!</v>
          </cell>
          <cell r="Z605" t="e">
            <v>#REF!</v>
          </cell>
        </row>
        <row r="606">
          <cell r="Y606" t="e">
            <v>#REF!</v>
          </cell>
          <cell r="Z606" t="e">
            <v>#REF!</v>
          </cell>
        </row>
        <row r="607">
          <cell r="Y607" t="e">
            <v>#REF!</v>
          </cell>
          <cell r="Z607" t="e">
            <v>#REF!</v>
          </cell>
        </row>
        <row r="608">
          <cell r="Y608" t="e">
            <v>#REF!</v>
          </cell>
          <cell r="Z608" t="e">
            <v>#REF!</v>
          </cell>
        </row>
        <row r="609">
          <cell r="Y609" t="e">
            <v>#REF!</v>
          </cell>
          <cell r="Z609" t="e">
            <v>#REF!</v>
          </cell>
        </row>
        <row r="610">
          <cell r="Y610">
            <v>0</v>
          </cell>
          <cell r="Z610">
            <v>0</v>
          </cell>
        </row>
        <row r="611">
          <cell r="Y611">
            <v>0</v>
          </cell>
          <cell r="Z611">
            <v>0</v>
          </cell>
        </row>
        <row r="612">
          <cell r="Y612" t="e">
            <v>#REF!</v>
          </cell>
          <cell r="Z612" t="e">
            <v>#REF!</v>
          </cell>
        </row>
        <row r="20513">
          <cell r="A20513" t="str">
            <v>PREP</v>
          </cell>
          <cell r="B20513" t="str">
            <v>Days</v>
          </cell>
        </row>
        <row r="65536">
          <cell r="N65536" t="str">
            <v>ENGINEERING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>
        <row r="1">
          <cell r="E1">
            <v>0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>
        <row r="1">
          <cell r="D1" t="str">
            <v>No BA Rekon:</v>
          </cell>
        </row>
      </sheetData>
      <sheetData sheetId="88">
        <row r="1">
          <cell r="D1" t="str">
            <v>No BA Rekon:</v>
          </cell>
        </row>
      </sheetData>
      <sheetData sheetId="89">
        <row r="1">
          <cell r="D1" t="str">
            <v>No BA Rekon:</v>
          </cell>
        </row>
      </sheetData>
      <sheetData sheetId="90">
        <row r="1">
          <cell r="D1" t="str">
            <v>No BA Rekon:</v>
          </cell>
        </row>
      </sheetData>
      <sheetData sheetId="91">
        <row r="1">
          <cell r="D1" t="str">
            <v>No BA Rekon:</v>
          </cell>
        </row>
      </sheetData>
      <sheetData sheetId="92">
        <row r="1">
          <cell r="A1" t="str">
            <v>Item Code</v>
          </cell>
        </row>
      </sheetData>
      <sheetData sheetId="93">
        <row r="1">
          <cell r="D1" t="str">
            <v>No BA Rekon:</v>
          </cell>
        </row>
      </sheetData>
      <sheetData sheetId="94">
        <row r="1">
          <cell r="A1" t="str">
            <v>Item Code</v>
          </cell>
        </row>
      </sheetData>
      <sheetData sheetId="95">
        <row r="1">
          <cell r="D1" t="str">
            <v>No BA Rekon:</v>
          </cell>
        </row>
      </sheetData>
      <sheetData sheetId="96">
        <row r="1">
          <cell r="D1" t="str">
            <v>No BA Rekon:</v>
          </cell>
        </row>
      </sheetData>
      <sheetData sheetId="97">
        <row r="1">
          <cell r="D1" t="str">
            <v>No BA Rekon:</v>
          </cell>
        </row>
      </sheetData>
      <sheetData sheetId="98">
        <row r="1">
          <cell r="D1" t="str">
            <v>No BA Rekon:</v>
          </cell>
        </row>
      </sheetData>
      <sheetData sheetId="99">
        <row r="1">
          <cell r="D1" t="str">
            <v>No BA Rekon:</v>
          </cell>
        </row>
      </sheetData>
      <sheetData sheetId="100">
        <row r="1">
          <cell r="D1" t="str">
            <v>No BA Rekon:</v>
          </cell>
        </row>
      </sheetData>
      <sheetData sheetId="101">
        <row r="1">
          <cell r="D1" t="str">
            <v>No BA Rekon:</v>
          </cell>
        </row>
      </sheetData>
      <sheetData sheetId="102">
        <row r="1">
          <cell r="D1" t="str">
            <v>No BA Rekon:</v>
          </cell>
        </row>
      </sheetData>
      <sheetData sheetId="103">
        <row r="1">
          <cell r="D1" t="str">
            <v>No BA Rekon:</v>
          </cell>
        </row>
      </sheetData>
      <sheetData sheetId="104">
        <row r="1">
          <cell r="D1" t="str">
            <v>No BA Rekon:</v>
          </cell>
        </row>
      </sheetData>
      <sheetData sheetId="105">
        <row r="1">
          <cell r="D1" t="str">
            <v>No BA Rekon:</v>
          </cell>
        </row>
      </sheetData>
      <sheetData sheetId="106">
        <row r="1">
          <cell r="D1" t="str">
            <v>No BA Rekon:</v>
          </cell>
        </row>
      </sheetData>
      <sheetData sheetId="107">
        <row r="1">
          <cell r="D1" t="str">
            <v>No BA Rekon:</v>
          </cell>
        </row>
      </sheetData>
      <sheetData sheetId="108">
        <row r="1">
          <cell r="D1" t="str">
            <v>No BA Rekon:</v>
          </cell>
        </row>
      </sheetData>
      <sheetData sheetId="109">
        <row r="1">
          <cell r="D1" t="str">
            <v>No BA Rekon:</v>
          </cell>
        </row>
      </sheetData>
      <sheetData sheetId="110">
        <row r="1">
          <cell r="D1" t="str">
            <v>No BA Rekon:</v>
          </cell>
        </row>
      </sheetData>
      <sheetData sheetId="111">
        <row r="1">
          <cell r="D1" t="str">
            <v>No BA Rekon:</v>
          </cell>
        </row>
      </sheetData>
      <sheetData sheetId="112">
        <row r="1">
          <cell r="D1" t="str">
            <v>No BA Rekon:</v>
          </cell>
        </row>
      </sheetData>
      <sheetData sheetId="113">
        <row r="1">
          <cell r="D1" t="str">
            <v>No BA Rekon:</v>
          </cell>
        </row>
      </sheetData>
      <sheetData sheetId="114">
        <row r="1">
          <cell r="D1" t="str">
            <v>No BA Rekon:</v>
          </cell>
        </row>
      </sheetData>
      <sheetData sheetId="115">
        <row r="1">
          <cell r="D1" t="str">
            <v>No BA Rekon:</v>
          </cell>
        </row>
      </sheetData>
      <sheetData sheetId="116">
        <row r="1">
          <cell r="D1" t="str">
            <v>No BA Rekon:</v>
          </cell>
        </row>
      </sheetData>
      <sheetData sheetId="117">
        <row r="2">
          <cell r="G2">
            <v>16</v>
          </cell>
        </row>
      </sheetData>
      <sheetData sheetId="118">
        <row r="2">
          <cell r="G2">
            <v>16</v>
          </cell>
        </row>
      </sheetData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>
        <row r="1">
          <cell r="D1" t="str">
            <v>No BA Rekon:</v>
          </cell>
        </row>
      </sheetData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>
        <row r="1">
          <cell r="D1" t="str">
            <v>No BA Rekon:</v>
          </cell>
        </row>
      </sheetData>
      <sheetData sheetId="223">
        <row r="1">
          <cell r="D1" t="str">
            <v>No BA Rekon:</v>
          </cell>
        </row>
      </sheetData>
      <sheetData sheetId="224">
        <row r="1">
          <cell r="D1" t="str">
            <v>No BA Rekon:</v>
          </cell>
        </row>
      </sheetData>
      <sheetData sheetId="225"/>
      <sheetData sheetId="226"/>
      <sheetData sheetId="227">
        <row r="1">
          <cell r="D1" t="str">
            <v>No BA Rekon:</v>
          </cell>
        </row>
      </sheetData>
      <sheetData sheetId="228">
        <row r="1">
          <cell r="D1" t="str">
            <v>No BA Rekon:</v>
          </cell>
        </row>
      </sheetData>
      <sheetData sheetId="229">
        <row r="1">
          <cell r="D1" t="str">
            <v>No BA Rekon:</v>
          </cell>
        </row>
      </sheetData>
      <sheetData sheetId="230">
        <row r="1">
          <cell r="D1" t="str">
            <v>No BA Rekon:</v>
          </cell>
        </row>
      </sheetData>
      <sheetData sheetId="231">
        <row r="1">
          <cell r="D1" t="str">
            <v>No BA Rekon:</v>
          </cell>
        </row>
      </sheetData>
      <sheetData sheetId="232">
        <row r="1">
          <cell r="D1" t="str">
            <v>No BA Rekon:</v>
          </cell>
        </row>
      </sheetData>
      <sheetData sheetId="233">
        <row r="1">
          <cell r="D1" t="str">
            <v>No BA Rekon:</v>
          </cell>
        </row>
      </sheetData>
      <sheetData sheetId="234">
        <row r="1">
          <cell r="D1" t="str">
            <v>No BA Rekon:</v>
          </cell>
        </row>
      </sheetData>
      <sheetData sheetId="235">
        <row r="1">
          <cell r="D1" t="str">
            <v>No BA Rekon:</v>
          </cell>
        </row>
      </sheetData>
      <sheetData sheetId="236">
        <row r="1">
          <cell r="D1" t="str">
            <v>No BA Rekon:</v>
          </cell>
        </row>
      </sheetData>
      <sheetData sheetId="237">
        <row r="1">
          <cell r="D1" t="str">
            <v>No BA Rekon:</v>
          </cell>
        </row>
      </sheetData>
      <sheetData sheetId="238">
        <row r="1">
          <cell r="D1" t="str">
            <v>No BA Rekon:</v>
          </cell>
        </row>
      </sheetData>
      <sheetData sheetId="239">
        <row r="1">
          <cell r="D1" t="str">
            <v>No BA Rekon:</v>
          </cell>
        </row>
      </sheetData>
      <sheetData sheetId="240">
        <row r="1">
          <cell r="D1" t="str">
            <v>No BA Rekon:</v>
          </cell>
        </row>
      </sheetData>
      <sheetData sheetId="241">
        <row r="1">
          <cell r="D1" t="str">
            <v>No BA Rekon:</v>
          </cell>
        </row>
      </sheetData>
      <sheetData sheetId="242">
        <row r="1">
          <cell r="D1" t="str">
            <v>No BA Rekon:</v>
          </cell>
        </row>
      </sheetData>
      <sheetData sheetId="243">
        <row r="1">
          <cell r="D1" t="str">
            <v>No BA Rekon:</v>
          </cell>
        </row>
      </sheetData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>
        <row r="1">
          <cell r="D1" t="str">
            <v>No BA Rekon:</v>
          </cell>
        </row>
      </sheetData>
      <sheetData sheetId="412">
        <row r="1">
          <cell r="D1" t="str">
            <v>No BA Rekon:</v>
          </cell>
        </row>
      </sheetData>
      <sheetData sheetId="413">
        <row r="1">
          <cell r="D1" t="str">
            <v>No BA Rekon:</v>
          </cell>
        </row>
      </sheetData>
      <sheetData sheetId="414">
        <row r="1">
          <cell r="D1" t="str">
            <v>No BA Rekon:</v>
          </cell>
        </row>
      </sheetData>
      <sheetData sheetId="415">
        <row r="1">
          <cell r="D1" t="str">
            <v>No BA Rekon:</v>
          </cell>
        </row>
      </sheetData>
      <sheetData sheetId="416">
        <row r="1">
          <cell r="D1" t="str">
            <v>No BA Rekon:</v>
          </cell>
        </row>
      </sheetData>
      <sheetData sheetId="417">
        <row r="1">
          <cell r="D1" t="str">
            <v>No BA Rekon:</v>
          </cell>
        </row>
      </sheetData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>
        <row r="1">
          <cell r="D1" t="str">
            <v>No BA Rekon:</v>
          </cell>
        </row>
      </sheetData>
      <sheetData sheetId="504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>
        <row r="1">
          <cell r="D1" t="str">
            <v>No BA Rekon:</v>
          </cell>
        </row>
      </sheetData>
      <sheetData sheetId="543">
        <row r="1">
          <cell r="D1" t="str">
            <v>No BA Rekon:</v>
          </cell>
        </row>
      </sheetData>
      <sheetData sheetId="544">
        <row r="1">
          <cell r="D1" t="str">
            <v>No BA Rekon:</v>
          </cell>
        </row>
      </sheetData>
      <sheetData sheetId="545">
        <row r="1">
          <cell r="D1" t="str">
            <v>No BA Rekon:</v>
          </cell>
        </row>
      </sheetData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>
        <row r="1">
          <cell r="D1" t="str">
            <v>No BA Rekon:</v>
          </cell>
        </row>
      </sheetData>
      <sheetData sheetId="616">
        <row r="1">
          <cell r="A1" t="str">
            <v>Item Code</v>
          </cell>
        </row>
      </sheetData>
      <sheetData sheetId="617">
        <row r="1">
          <cell r="D1" t="str">
            <v>No BA Rekon:</v>
          </cell>
        </row>
      </sheetData>
      <sheetData sheetId="618">
        <row r="1">
          <cell r="A1" t="str">
            <v>Item Code</v>
          </cell>
        </row>
      </sheetData>
      <sheetData sheetId="619">
        <row r="1">
          <cell r="D1" t="str">
            <v>No BA Rekon:</v>
          </cell>
        </row>
      </sheetData>
      <sheetData sheetId="620">
        <row r="1">
          <cell r="D1" t="str">
            <v>No BA Rekon:</v>
          </cell>
        </row>
      </sheetData>
      <sheetData sheetId="621">
        <row r="1">
          <cell r="D1" t="str">
            <v>No BA Rekon:</v>
          </cell>
        </row>
      </sheetData>
      <sheetData sheetId="622">
        <row r="1">
          <cell r="D1" t="str">
            <v>No BA Rekon:</v>
          </cell>
        </row>
      </sheetData>
      <sheetData sheetId="623">
        <row r="1">
          <cell r="D1" t="str">
            <v>No BA Rekon:</v>
          </cell>
        </row>
      </sheetData>
      <sheetData sheetId="624">
        <row r="1">
          <cell r="D1" t="str">
            <v>No BA Rekon:</v>
          </cell>
        </row>
      </sheetData>
      <sheetData sheetId="625">
        <row r="1">
          <cell r="D1" t="str">
            <v>No BA Rekon:</v>
          </cell>
        </row>
      </sheetData>
      <sheetData sheetId="626">
        <row r="1">
          <cell r="D1" t="str">
            <v>No BA Rekon:</v>
          </cell>
        </row>
      </sheetData>
      <sheetData sheetId="627">
        <row r="1">
          <cell r="D1" t="str">
            <v>No BA Rekon:</v>
          </cell>
        </row>
      </sheetData>
      <sheetData sheetId="628">
        <row r="1">
          <cell r="D1" t="str">
            <v>No BA Rekon:</v>
          </cell>
        </row>
      </sheetData>
      <sheetData sheetId="629">
        <row r="1">
          <cell r="D1" t="str">
            <v>No BA Rekon:</v>
          </cell>
        </row>
      </sheetData>
      <sheetData sheetId="630">
        <row r="1">
          <cell r="D1" t="str">
            <v>No BA Rekon:</v>
          </cell>
        </row>
      </sheetData>
      <sheetData sheetId="631">
        <row r="1">
          <cell r="D1" t="str">
            <v>No BA Rekon:</v>
          </cell>
        </row>
      </sheetData>
      <sheetData sheetId="632">
        <row r="1">
          <cell r="D1" t="str">
            <v>No BA Rekon:</v>
          </cell>
        </row>
      </sheetData>
      <sheetData sheetId="633">
        <row r="1">
          <cell r="D1" t="str">
            <v>No BA Rekon:</v>
          </cell>
        </row>
      </sheetData>
      <sheetData sheetId="634">
        <row r="1">
          <cell r="D1" t="str">
            <v>No BA Rekon:</v>
          </cell>
        </row>
      </sheetData>
      <sheetData sheetId="635">
        <row r="1">
          <cell r="D1" t="str">
            <v>No BA Rekon:</v>
          </cell>
        </row>
      </sheetData>
      <sheetData sheetId="636">
        <row r="1">
          <cell r="D1" t="str">
            <v>No BA Rekon:</v>
          </cell>
        </row>
      </sheetData>
      <sheetData sheetId="637">
        <row r="1">
          <cell r="D1" t="str">
            <v>No BA Rekon:</v>
          </cell>
        </row>
      </sheetData>
      <sheetData sheetId="638">
        <row r="1">
          <cell r="D1" t="str">
            <v>No BA Rekon:</v>
          </cell>
        </row>
      </sheetData>
      <sheetData sheetId="639">
        <row r="1">
          <cell r="D1" t="str">
            <v>No BA Rekon:</v>
          </cell>
        </row>
      </sheetData>
      <sheetData sheetId="640">
        <row r="1">
          <cell r="D1" t="str">
            <v>No BA Rekon:</v>
          </cell>
        </row>
      </sheetData>
      <sheetData sheetId="641">
        <row r="1">
          <cell r="D1" t="str">
            <v>No BA Rekon:</v>
          </cell>
        </row>
      </sheetData>
      <sheetData sheetId="642">
        <row r="1">
          <cell r="D1" t="str">
            <v>No BA Rekon:</v>
          </cell>
        </row>
      </sheetData>
      <sheetData sheetId="643">
        <row r="1">
          <cell r="D1" t="str">
            <v>No BA Rekon:</v>
          </cell>
        </row>
      </sheetData>
      <sheetData sheetId="644">
        <row r="1">
          <cell r="D1" t="str">
            <v>No BA Rekon:</v>
          </cell>
        </row>
      </sheetData>
      <sheetData sheetId="645">
        <row r="1">
          <cell r="D1" t="str">
            <v>No BA Rekon:</v>
          </cell>
        </row>
      </sheetData>
      <sheetData sheetId="646">
        <row r="1">
          <cell r="D1" t="str">
            <v>No BA Rekon:</v>
          </cell>
        </row>
      </sheetData>
      <sheetData sheetId="647" refreshError="1"/>
      <sheetData sheetId="648" refreshError="1"/>
      <sheetData sheetId="649" refreshError="1"/>
      <sheetData sheetId="650">
        <row r="1">
          <cell r="D1" t="str">
            <v>No BA Rekon:</v>
          </cell>
        </row>
      </sheetData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>
        <row r="1">
          <cell r="D1" t="str">
            <v>No BA Rekon:</v>
          </cell>
        </row>
      </sheetData>
      <sheetData sheetId="705">
        <row r="1">
          <cell r="D1" t="str">
            <v>No BA Rekon:</v>
          </cell>
        </row>
      </sheetData>
      <sheetData sheetId="706">
        <row r="1">
          <cell r="D1" t="str">
            <v>No BA Rekon:</v>
          </cell>
        </row>
      </sheetData>
      <sheetData sheetId="707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>
        <row r="1">
          <cell r="A1" t="str">
            <v>Item Code</v>
          </cell>
        </row>
      </sheetData>
      <sheetData sheetId="742">
        <row r="1">
          <cell r="A1" t="str">
            <v>Item Code</v>
          </cell>
        </row>
      </sheetData>
      <sheetData sheetId="743">
        <row r="1">
          <cell r="A1" t="str">
            <v>Item Code</v>
          </cell>
        </row>
      </sheetData>
      <sheetData sheetId="744">
        <row r="1">
          <cell r="A1" t="str">
            <v>Item Code</v>
          </cell>
        </row>
      </sheetData>
      <sheetData sheetId="745">
        <row r="1">
          <cell r="A1" t="str">
            <v>Item Code</v>
          </cell>
        </row>
      </sheetData>
      <sheetData sheetId="746">
        <row r="1">
          <cell r="A1" t="str">
            <v>Item Code</v>
          </cell>
        </row>
      </sheetData>
      <sheetData sheetId="747">
        <row r="1">
          <cell r="A1" t="str">
            <v>Item Code</v>
          </cell>
        </row>
      </sheetData>
      <sheetData sheetId="748">
        <row r="1">
          <cell r="A1" t="str">
            <v>Item Code</v>
          </cell>
        </row>
      </sheetData>
      <sheetData sheetId="749"/>
      <sheetData sheetId="750">
        <row r="1">
          <cell r="A1" t="str">
            <v>Item Code</v>
          </cell>
        </row>
      </sheetData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/>
      <sheetData sheetId="1046"/>
      <sheetData sheetId="1047"/>
      <sheetData sheetId="1048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/>
      <sheetData sheetId="1080"/>
      <sheetData sheetId="108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>
        <row r="1">
          <cell r="D1" t="str">
            <v>No BA Rekon:</v>
          </cell>
        </row>
      </sheetData>
      <sheetData sheetId="1143">
        <row r="1">
          <cell r="D1" t="str">
            <v>No BA Rekon:</v>
          </cell>
        </row>
      </sheetData>
      <sheetData sheetId="1144">
        <row r="1">
          <cell r="D1" t="str">
            <v>No BA Rekon:</v>
          </cell>
        </row>
      </sheetData>
      <sheetData sheetId="1145">
        <row r="1">
          <cell r="D1" t="str">
            <v>No BA Rekon:</v>
          </cell>
        </row>
      </sheetData>
      <sheetData sheetId="1146">
        <row r="1">
          <cell r="D1" t="str">
            <v>No BA Rekon:</v>
          </cell>
        </row>
      </sheetData>
      <sheetData sheetId="1147">
        <row r="1">
          <cell r="D1" t="str">
            <v>No BA Rekon:</v>
          </cell>
        </row>
      </sheetData>
      <sheetData sheetId="1148"/>
      <sheetData sheetId="1149">
        <row r="1">
          <cell r="D1" t="str">
            <v>No BA Rekon:</v>
          </cell>
        </row>
      </sheetData>
      <sheetData sheetId="1150">
        <row r="1">
          <cell r="D1" t="str">
            <v>No BA Rekon:</v>
          </cell>
        </row>
      </sheetData>
      <sheetData sheetId="1151">
        <row r="1">
          <cell r="D1" t="str">
            <v>No BA Rekon:</v>
          </cell>
        </row>
      </sheetData>
      <sheetData sheetId="1152">
        <row r="1">
          <cell r="D1" t="str">
            <v>No BA Rekon:</v>
          </cell>
        </row>
      </sheetData>
      <sheetData sheetId="1153">
        <row r="1">
          <cell r="D1" t="str">
            <v>No BA Rekon:</v>
          </cell>
        </row>
      </sheetData>
      <sheetData sheetId="1154">
        <row r="1">
          <cell r="D1" t="str">
            <v>No BA Rekon:</v>
          </cell>
        </row>
      </sheetData>
      <sheetData sheetId="1155">
        <row r="1">
          <cell r="D1" t="str">
            <v>No BA Rekon:</v>
          </cell>
        </row>
      </sheetData>
      <sheetData sheetId="1156">
        <row r="1">
          <cell r="D1" t="str">
            <v>No BA Rekon:</v>
          </cell>
        </row>
      </sheetData>
      <sheetData sheetId="1157">
        <row r="1">
          <cell r="D1" t="str">
            <v>No BA Rekon:</v>
          </cell>
        </row>
      </sheetData>
      <sheetData sheetId="1158">
        <row r="1">
          <cell r="D1" t="str">
            <v>No BA Rekon:</v>
          </cell>
        </row>
      </sheetData>
      <sheetData sheetId="1159">
        <row r="1">
          <cell r="D1" t="str">
            <v>No BA Rekon:</v>
          </cell>
        </row>
      </sheetData>
      <sheetData sheetId="1160">
        <row r="1">
          <cell r="D1" t="str">
            <v>No BA Rekon:</v>
          </cell>
        </row>
      </sheetData>
      <sheetData sheetId="1161">
        <row r="1">
          <cell r="D1" t="str">
            <v>No BA Rekon:</v>
          </cell>
        </row>
      </sheetData>
      <sheetData sheetId="1162">
        <row r="1">
          <cell r="D1" t="str">
            <v>No BA Rekon:</v>
          </cell>
        </row>
      </sheetData>
      <sheetData sheetId="1163">
        <row r="1">
          <cell r="D1" t="str">
            <v>No BA Rekon:</v>
          </cell>
        </row>
      </sheetData>
      <sheetData sheetId="1164">
        <row r="1">
          <cell r="D1" t="str">
            <v>No BA Rekon:</v>
          </cell>
        </row>
      </sheetData>
      <sheetData sheetId="1165">
        <row r="1">
          <cell r="D1" t="str">
            <v>No BA Rekon:</v>
          </cell>
        </row>
      </sheetData>
      <sheetData sheetId="1166">
        <row r="1">
          <cell r="D1" t="str">
            <v>No BA Rekon:</v>
          </cell>
        </row>
      </sheetData>
      <sheetData sheetId="1167">
        <row r="1">
          <cell r="D1" t="str">
            <v>No BA Rekon:</v>
          </cell>
        </row>
      </sheetData>
      <sheetData sheetId="1168">
        <row r="1">
          <cell r="D1" t="str">
            <v>No BA Rekon:</v>
          </cell>
        </row>
      </sheetData>
      <sheetData sheetId="1169">
        <row r="1">
          <cell r="D1" t="str">
            <v>No BA Rekon:</v>
          </cell>
        </row>
      </sheetData>
      <sheetData sheetId="1170">
        <row r="1">
          <cell r="D1" t="str">
            <v>No BA Rekon:</v>
          </cell>
        </row>
      </sheetData>
      <sheetData sheetId="1171">
        <row r="1">
          <cell r="D1" t="str">
            <v>No BA Rekon:</v>
          </cell>
        </row>
      </sheetData>
      <sheetData sheetId="1172">
        <row r="1">
          <cell r="D1" t="str">
            <v>No BA Rekon:</v>
          </cell>
        </row>
      </sheetData>
      <sheetData sheetId="1173">
        <row r="1">
          <cell r="D1" t="str">
            <v>No BA Rekon:</v>
          </cell>
        </row>
      </sheetData>
      <sheetData sheetId="1174">
        <row r="1">
          <cell r="D1" t="str">
            <v>No BA Rekon:</v>
          </cell>
        </row>
      </sheetData>
      <sheetData sheetId="1175">
        <row r="1">
          <cell r="D1" t="str">
            <v>No BA Rekon:</v>
          </cell>
        </row>
      </sheetData>
      <sheetData sheetId="1176">
        <row r="1">
          <cell r="D1" t="str">
            <v>No BA Rekon:</v>
          </cell>
        </row>
      </sheetData>
      <sheetData sheetId="1177">
        <row r="1">
          <cell r="D1" t="str">
            <v>No BA Rekon:</v>
          </cell>
        </row>
      </sheetData>
      <sheetData sheetId="1178">
        <row r="1">
          <cell r="D1" t="str">
            <v>No BA Rekon:</v>
          </cell>
        </row>
      </sheetData>
      <sheetData sheetId="1179">
        <row r="1">
          <cell r="D1" t="str">
            <v>No BA Rekon:</v>
          </cell>
        </row>
      </sheetData>
      <sheetData sheetId="1180">
        <row r="1">
          <cell r="D1" t="str">
            <v>No BA Rekon:</v>
          </cell>
        </row>
      </sheetData>
      <sheetData sheetId="1181">
        <row r="1">
          <cell r="D1" t="str">
            <v>No BA Rekon:</v>
          </cell>
        </row>
      </sheetData>
      <sheetData sheetId="1182">
        <row r="1">
          <cell r="D1" t="str">
            <v>No BA Rekon:</v>
          </cell>
        </row>
      </sheetData>
      <sheetData sheetId="1183"/>
      <sheetData sheetId="1184">
        <row r="1">
          <cell r="D1" t="str">
            <v>No BA Rekon:</v>
          </cell>
        </row>
      </sheetData>
      <sheetData sheetId="1185">
        <row r="1">
          <cell r="D1" t="str">
            <v>No BA Rekon:</v>
          </cell>
        </row>
      </sheetData>
      <sheetData sheetId="1186">
        <row r="1">
          <cell r="D1" t="str">
            <v>No BA Rekon:</v>
          </cell>
        </row>
      </sheetData>
      <sheetData sheetId="1187">
        <row r="1">
          <cell r="D1" t="str">
            <v>No BA Rekon:</v>
          </cell>
        </row>
      </sheetData>
      <sheetData sheetId="1188">
        <row r="1">
          <cell r="D1" t="str">
            <v>No BA Rekon:</v>
          </cell>
        </row>
      </sheetData>
      <sheetData sheetId="1189">
        <row r="1">
          <cell r="D1" t="str">
            <v>No BA Rekon:</v>
          </cell>
        </row>
      </sheetData>
      <sheetData sheetId="1190"/>
      <sheetData sheetId="1191">
        <row r="1">
          <cell r="D1" t="str">
            <v>No BA Rekon:</v>
          </cell>
        </row>
      </sheetData>
      <sheetData sheetId="1192">
        <row r="1">
          <cell r="D1" t="str">
            <v>No BA Rekon:</v>
          </cell>
        </row>
      </sheetData>
      <sheetData sheetId="1193">
        <row r="1">
          <cell r="D1" t="str">
            <v>No BA Rekon:</v>
          </cell>
        </row>
      </sheetData>
      <sheetData sheetId="1194">
        <row r="1">
          <cell r="D1" t="str">
            <v>No BA Rekon:</v>
          </cell>
        </row>
      </sheetData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/>
      <sheetData sheetId="1213"/>
      <sheetData sheetId="1214"/>
      <sheetData sheetId="1215">
        <row r="1">
          <cell r="A1" t="str">
            <v>MAP Listing Fees Propopsal 2019</v>
          </cell>
        </row>
      </sheetData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>
        <row r="1">
          <cell r="A1" t="str">
            <v>Item Code</v>
          </cell>
        </row>
      </sheetData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 refreshError="1"/>
      <sheetData sheetId="1348" refreshError="1"/>
      <sheetData sheetId="1349" refreshError="1"/>
      <sheetData sheetId="1350" refreshError="1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 refreshError="1"/>
      <sheetData sheetId="1405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 refreshError="1"/>
      <sheetData sheetId="1436"/>
      <sheetData sheetId="1437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 refreshError="1"/>
      <sheetData sheetId="1485" refreshError="1"/>
      <sheetData sheetId="1486">
        <row r="1">
          <cell r="D1" t="str">
            <v>No BA Rekon:</v>
          </cell>
        </row>
      </sheetData>
      <sheetData sheetId="1487">
        <row r="1">
          <cell r="D1" t="str">
            <v>No BA Rekon:</v>
          </cell>
        </row>
      </sheetData>
      <sheetData sheetId="1488">
        <row r="1">
          <cell r="D1" t="str">
            <v>No BA Rekon:</v>
          </cell>
        </row>
      </sheetData>
      <sheetData sheetId="1489">
        <row r="1">
          <cell r="D1" t="str">
            <v>No BA Rekon:</v>
          </cell>
        </row>
      </sheetData>
      <sheetData sheetId="1490">
        <row r="1">
          <cell r="D1" t="str">
            <v>No BA Rekon:</v>
          </cell>
        </row>
      </sheetData>
      <sheetData sheetId="1491">
        <row r="1">
          <cell r="D1" t="str">
            <v>No BA Rekon:</v>
          </cell>
        </row>
      </sheetData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 refreshError="1"/>
      <sheetData sheetId="1503" refreshError="1"/>
      <sheetData sheetId="1504" refreshError="1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>
        <row r="1">
          <cell r="A1" t="str">
            <v>Item Code</v>
          </cell>
        </row>
      </sheetData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/>
      <sheetData sheetId="1989"/>
      <sheetData sheetId="1990"/>
      <sheetData sheetId="1991" refreshError="1"/>
      <sheetData sheetId="1992"/>
      <sheetData sheetId="1993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매출(영업 VS 경리)"/>
      <sheetName val="수입금액조정"/>
      <sheetName val="현금및현금등가물"/>
      <sheetName val="외화현금및현금등가물"/>
      <sheetName val="단기금융상품명세서"/>
      <sheetName val="유가증권"/>
      <sheetName val="재고자산"/>
      <sheetName val="장기금융상품"/>
      <sheetName val="유형자산"/>
      <sheetName val="보유토지"/>
      <sheetName val="선급금"/>
      <sheetName val="미수금"/>
      <sheetName val="외화미수금"/>
      <sheetName val="미수수익"/>
      <sheetName val="선급비용"/>
      <sheetName val="장기선급비용"/>
      <sheetName val="기타당좌자산"/>
      <sheetName val="임차보증금"/>
      <sheetName val="투자자산"/>
      <sheetName val="외화단기차입금"/>
      <sheetName val="유동성장기부채"/>
      <sheetName val="유동성외화장기부채"/>
      <sheetName val="장기차입금"/>
      <sheetName val="외화장기차입금"/>
      <sheetName val="선수금"/>
      <sheetName val="미지급비용"/>
      <sheetName val="미지급금"/>
      <sheetName val="외화미지급금"/>
      <sheetName val="임대보증금"/>
      <sheetName val="예수금"/>
      <sheetName val="우선주자본금변동"/>
      <sheetName val="선납법인세"/>
      <sheetName val="감가상각누계"/>
      <sheetName val="외화외상매입금"/>
      <sheetName val="단기차입금"/>
      <sheetName val="외화단기차입금-구매"/>
      <sheetName val="외화단기차입금_재무"/>
      <sheetName val="퇴직급여충당금"/>
      <sheetName val="기술료등"/>
      <sheetName val="감가상각"/>
      <sheetName val="Pinjaman"/>
      <sheetName val="마감장"/>
      <sheetName val="Simpanan"/>
      <sheetName val="XREF"/>
      <sheetName val="controll"/>
      <sheetName val="사업소득자세수추계"/>
      <sheetName val="$ v. Peers"/>
      <sheetName val="Mkt Cap"/>
      <sheetName val="97년추정손익계산서"/>
      <sheetName val="업무분장 "/>
      <sheetName val="공통"/>
      <sheetName val="외화평가"/>
      <sheetName val="시뮬레이션정보"/>
      <sheetName val="2q00 psl"/>
      <sheetName val="대구파크쿨링타워"/>
      <sheetName val="자재,노무CODE"/>
      <sheetName val="Lguide"/>
      <sheetName val="무형"/>
      <sheetName val="サンプル輸送費"/>
      <sheetName val="FS"/>
      <sheetName val="Cost sharing"/>
      <sheetName val="大额银行交易测试"/>
      <sheetName val="所得税调节表"/>
      <sheetName val="재료비"/>
      <sheetName val="수정시산표"/>
      <sheetName val="기획1"/>
      <sheetName val="간주기안"/>
      <sheetName val="의제기안"/>
      <sheetName val="CAUDIT"/>
      <sheetName val="채권"/>
      <sheetName val="기초해지2"/>
      <sheetName val="PAJE,PRJE"/>
      <sheetName val="WTB"/>
      <sheetName val="실행철강하도"/>
      <sheetName val="US Codes"/>
      <sheetName val="Table Array"/>
      <sheetName val="MacPro"/>
      <sheetName val="LOKASI STOCK"/>
      <sheetName val="FBP"/>
      <sheetName val="TB-WP"/>
      <sheetName val="31夹层类-1-3"/>
      <sheetName val="Walkthrough "/>
      <sheetName val="Prepaid expense Final-IDSL1"/>
      <sheetName val="FS-Consol"/>
      <sheetName val="C.A"/>
      <sheetName val="별표 "/>
    </sheetNames>
    <sheetDataSet>
      <sheetData sheetId="0" refreshError="1">
        <row r="4">
          <cell r="G4" t="str">
            <v>동우화인켐㈜ 서울사무소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FD"/>
      <sheetName val="PFD"/>
      <sheetName val="BFD (東友)"/>
      <sheetName val="RK-#1"/>
      <sheetName val="RK-#1 (2)"/>
      <sheetName val="Sheet1"/>
      <sheetName val="Sheet2"/>
      <sheetName val="Sheet3"/>
      <sheetName val="계정code"/>
      <sheetName val="매출(영업 VS 경리)"/>
      <sheetName val="선급비용"/>
      <sheetName val="고정자산원본"/>
      <sheetName val="3.PT개발계획"/>
      <sheetName val="회수내역"/>
      <sheetName val="현금흐름표"/>
      <sheetName val="INFG1198"/>
      <sheetName val="INMD1198"/>
      <sheetName val="WI"/>
      <sheetName val="HSA"/>
      <sheetName val="계획"/>
      <sheetName val="리드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거래처_차트_영업외비용"/>
      <sheetName val="유형_챠트_영업외비용"/>
      <sheetName val="유형_영업외비용"/>
      <sheetName val="거래처_영업외비용"/>
      <sheetName val=" "/>
      <sheetName val="분석-영업외비용"/>
      <sheetName val="5월경비_영업외비용"/>
      <sheetName val="월별경비_영업외비용"/>
      <sheetName val="5월생산"/>
      <sheetName val="RK-#1"/>
      <sheetName val="기획1"/>
      <sheetName val="재무상태변동표"/>
      <sheetName val="5131"/>
      <sheetName val="Non-Statistical Sampling Master"/>
      <sheetName val="회사정보"/>
      <sheetName val="매출(영업 VS 경리)"/>
      <sheetName val="BS"/>
      <sheetName val="Sheet1"/>
      <sheetName val="검산금액"/>
      <sheetName val="선수보증금"/>
      <sheetName val="Sheet5"/>
      <sheetName val="연체일수"/>
      <sheetName val="잔가합계"/>
      <sheetName val="기초해지2"/>
      <sheetName val="Sheet6"/>
      <sheetName val="중도해지진행업체"/>
      <sheetName val="Permanent info"/>
      <sheetName val="B"/>
      <sheetName val="신기술(비상장)0412"/>
      <sheetName val="리드"/>
      <sheetName val="후순위채05.01.20"/>
      <sheetName val="DATA-2003"/>
      <sheetName val="XREF"/>
      <sheetName val="1.일반사항"/>
      <sheetName val="14.리스"/>
      <sheetName val="32.특관자"/>
      <sheetName val="33.우발,약정"/>
      <sheetName val="유형자산증감"/>
      <sheetName val="#1(BS)"/>
      <sheetName val="#2(IS)"/>
      <sheetName val="#5-1_Purchase"/>
      <sheetName val="WI"/>
      <sheetName val="현금흐름표"/>
      <sheetName val="업무분장(현행)"/>
      <sheetName val="Indoor Disposer"/>
      <sheetName val="Intro"/>
      <sheetName val="세액계산"/>
      <sheetName val="INPUTS"/>
      <sheetName val="민감도분석"/>
      <sheetName val="연간데이터"/>
      <sheetName val="불변현금흐름표"/>
      <sheetName val="배서어음명세서"/>
      <sheetName val="A10-Cover"/>
      <sheetName val="master"/>
      <sheetName val="회수내역"/>
      <sheetName val="HSA"/>
      <sheetName val="CAUDIT"/>
      <sheetName val="25.보증금(임차보증금외)"/>
      <sheetName val="FED DEPR"/>
      <sheetName val="창원외상매출금(원)"/>
      <sheetName val="원_VL"/>
      <sheetName val="Sheet3"/>
      <sheetName val="무형"/>
      <sheetName val="금융소득종합과세"/>
      <sheetName val="근로소득세2001"/>
      <sheetName val="기초해지"/>
      <sheetName val="科目余额表"/>
      <sheetName val="代码表"/>
      <sheetName val="controll"/>
      <sheetName val="마감장"/>
      <sheetName val="대차대조표"/>
      <sheetName val="$ v. Peers"/>
      <sheetName val="Mkt Cap"/>
      <sheetName val="A1"/>
      <sheetName val="선비명세2"/>
      <sheetName val="Links"/>
      <sheetName val="주요제품"/>
      <sheetName val="INFG1198"/>
      <sheetName val="Results"/>
      <sheetName val="대구파크쿨링타워"/>
      <sheetName val="계획"/>
      <sheetName val="Revised PEGS98"/>
      <sheetName val="3-4현"/>
      <sheetName val="3-3현"/>
      <sheetName val="득점현황"/>
      <sheetName val="Asset98-CAK"/>
      <sheetName val="정산표"/>
      <sheetName val="98실적"/>
      <sheetName val="업무분장 "/>
      <sheetName val="연체리스료"/>
      <sheetName val="대손검토"/>
      <sheetName val="실행철강하도"/>
      <sheetName val="36기상반기자금실적"/>
      <sheetName val="1.외주공사"/>
      <sheetName val="2.직영공사"/>
      <sheetName val="Sheet2"/>
      <sheetName val="퇴충98"/>
      <sheetName val="2001Org"/>
      <sheetName val="HB"/>
      <sheetName val="수정시산표"/>
      <sheetName val="Cash&amp;Bank Group Reporting"/>
      <sheetName val="折旧表"/>
      <sheetName val="TEMP1"/>
      <sheetName val="TEMP2"/>
      <sheetName val="손익정산(최종판)"/>
      <sheetName val="집계표"/>
      <sheetName val="제출용BS(한일+할부)"/>
      <sheetName val="comm"/>
      <sheetName val="Bld App and perf"/>
      <sheetName val="Retensi kontrak EPC"/>
      <sheetName val="기본정보입력"/>
      <sheetName val="FA"/>
      <sheetName val="Cover"/>
      <sheetName val="TB(PL)"/>
      <sheetName val="#REF"/>
      <sheetName val="10월시간수당"/>
      <sheetName val="11월시간수당"/>
      <sheetName val="12월시간수당"/>
      <sheetName val="주민번호"/>
      <sheetName val="12월급여"/>
      <sheetName val="SHEET"/>
      <sheetName val="Pinjaman"/>
      <sheetName val="ControlPanel"/>
      <sheetName val="P&amp;L"/>
      <sheetName val="실적"/>
      <sheetName val="출입자명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9">
          <cell r="F19">
            <v>38144.855905361634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-1현"/>
      <sheetName val="3-1"/>
      <sheetName val="3-2현"/>
      <sheetName val="3-2"/>
      <sheetName val="3-3현"/>
      <sheetName val="3-3"/>
      <sheetName val="3-4현"/>
      <sheetName val="3-4"/>
      <sheetName val="3-5현"/>
      <sheetName val="3-5"/>
      <sheetName val="3-6현"/>
      <sheetName val="3-6"/>
      <sheetName val="3-7현"/>
      <sheetName val="3-7"/>
      <sheetName val="3-8현"/>
      <sheetName val="3-8"/>
      <sheetName val="5월경비_영업외비용"/>
      <sheetName val="XREF"/>
      <sheetName val="1999대우연결패키지주석3 "/>
      <sheetName val="증감내역"/>
      <sheetName val="xxxxxx"/>
      <sheetName val="5131"/>
      <sheetName val="업무분장 "/>
      <sheetName val="수정시산표"/>
      <sheetName val="보험료"/>
      <sheetName val="마감장"/>
      <sheetName val="EurotoolsXRates"/>
      <sheetName val="계획"/>
      <sheetName val="리드"/>
      <sheetName val="무형"/>
      <sheetName val="시뮬레이션정보"/>
      <sheetName val="Sheet2"/>
      <sheetName val="DB"/>
      <sheetName val="재고현황(Unit)"/>
      <sheetName val="FINALPHP"/>
      <sheetName val="FA-LISTING"/>
      <sheetName val="월마트"/>
      <sheetName val="Stock Chart"/>
      <sheetName val="붙임2-1  지급조서명세서(2001년분)"/>
      <sheetName val="참조"/>
      <sheetName val="손익계산서 raw data"/>
      <sheetName val="손익내역전년"/>
      <sheetName val="목록"/>
      <sheetName val="값목록(Do not touch)"/>
      <sheetName val="表21 净利润调节表"/>
      <sheetName val="サンプル輸送費"/>
      <sheetName val="3-31"/>
      <sheetName val="产成品材料成本比例"/>
      <sheetName val="이자정산계획"/>
      <sheetName val="유림골조"/>
      <sheetName val="현장"/>
      <sheetName val="재료비"/>
      <sheetName val="CAUDIT"/>
      <sheetName val="BS"/>
      <sheetName val="maccp04"/>
      <sheetName val="기획1"/>
      <sheetName val="Walkthrough "/>
      <sheetName val="Dart_BS"/>
      <sheetName val="Dart_PL"/>
      <sheetName val="list price"/>
      <sheetName val="배서어음명세서"/>
      <sheetName val="실적"/>
      <sheetName val="TEMP1"/>
      <sheetName val="TEMP2"/>
      <sheetName val="정산표"/>
      <sheetName val="MAT_N048"/>
      <sheetName val="대차대조표"/>
      <sheetName val="인사자료총집계"/>
      <sheetName val="회사정보"/>
      <sheetName val="99퇴직"/>
      <sheetName val="별표 "/>
      <sheetName val="비교손익계산서"/>
      <sheetName val="누계실적6"/>
      <sheetName val="자재,노무CODE"/>
      <sheetName val="재공품"/>
      <sheetName val="법인구분"/>
      <sheetName val="기초코드"/>
      <sheetName val="창원외상매출금(원)"/>
      <sheetName val="이자수익OVERALL"/>
      <sheetName val="뒤차축소"/>
      <sheetName val="신기술(비상장)0412"/>
      <sheetName val="후순위채05.01.20"/>
      <sheetName val="Stock Price"/>
      <sheetName val="경비"/>
      <sheetName val="Ctrl"/>
      <sheetName val="감가상각LS"/>
      <sheetName val="LS "/>
      <sheetName val="토목주소"/>
      <sheetName val="프랜트면허"/>
      <sheetName val="대구파크쿨링타워"/>
      <sheetName val="실행철강하도"/>
      <sheetName val="LAJ. SUNDRY"/>
      <sheetName val="laporan"/>
      <sheetName val="T_REFERENSI"/>
      <sheetName val="유형자산증감"/>
      <sheetName val="작업불가"/>
      <sheetName val="대차"/>
      <sheetName val="손익"/>
      <sheetName val="索引"/>
      <sheetName val="건물"/>
      <sheetName val="기계"/>
      <sheetName val="公摊费用及期间费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정리용"/>
      <sheetName val="반품"/>
      <sheetName val="정상"/>
      <sheetName val="폐기-090831"/>
      <sheetName val="재고자산명세서"/>
      <sheetName val="3-31"/>
      <sheetName val="혜주"/>
      <sheetName val="Sheet1"/>
      <sheetName val="마감장"/>
      <sheetName val="이자정산계획"/>
      <sheetName val="I"/>
      <sheetName val="조선소시수"/>
      <sheetName val="FC_CC Mapping"/>
      <sheetName val="CI_GL Mapping"/>
      <sheetName val="BS"/>
      <sheetName val="payroll-final"/>
      <sheetName val="FS-Consol"/>
      <sheetName val="작업불가"/>
      <sheetName val="XREF"/>
      <sheetName val="연불채권"/>
      <sheetName val="신기술(비상장)0412"/>
      <sheetName val="리드"/>
      <sheetName val="후순위채05.01.20"/>
      <sheetName val="무형"/>
    </sheetNames>
    <sheetDataSet>
      <sheetData sheetId="0" refreshError="1"/>
      <sheetData sheetId="1" refreshError="1"/>
      <sheetData sheetId="2" refreshError="1">
        <row r="3">
          <cell r="A3" t="str">
            <v>11</v>
          </cell>
          <cell r="B3" t="str">
            <v>아토포뮬라스페셜기획세트(워싱젤+크림)</v>
          </cell>
          <cell r="L3">
            <v>53</v>
          </cell>
          <cell r="P3">
            <v>53</v>
          </cell>
        </row>
        <row r="4">
          <cell r="A4" t="str">
            <v>AS-0001</v>
          </cell>
          <cell r="B4" t="str">
            <v>옴므어드밴스트EX안티링클후레쉬스킨</v>
          </cell>
          <cell r="F4">
            <v>50</v>
          </cell>
          <cell r="G4">
            <v>1</v>
          </cell>
          <cell r="P4">
            <v>51</v>
          </cell>
        </row>
        <row r="5">
          <cell r="A5" t="str">
            <v>AS-0002</v>
          </cell>
          <cell r="B5" t="str">
            <v>옴므EX안티링클젤에멀전</v>
          </cell>
          <cell r="F5">
            <v>48</v>
          </cell>
          <cell r="G5">
            <v>1</v>
          </cell>
          <cell r="P5">
            <v>49</v>
          </cell>
        </row>
        <row r="6">
          <cell r="A6" t="str">
            <v>AS-0003</v>
          </cell>
          <cell r="B6" t="str">
            <v>음므화이트닝에센스</v>
          </cell>
          <cell r="F6">
            <v>64</v>
          </cell>
          <cell r="P6">
            <v>64</v>
          </cell>
        </row>
        <row r="7">
          <cell r="A7" t="str">
            <v>AS-0004</v>
          </cell>
          <cell r="B7" t="str">
            <v>옴므EX안티링클2종세트</v>
          </cell>
          <cell r="C7">
            <v>22</v>
          </cell>
          <cell r="F7">
            <v>174</v>
          </cell>
          <cell r="P7">
            <v>196</v>
          </cell>
        </row>
        <row r="8">
          <cell r="A8" t="str">
            <v>AS-0005</v>
          </cell>
          <cell r="B8" t="str">
            <v>옴므링클화이트닝2종세트</v>
          </cell>
          <cell r="F8">
            <v>149</v>
          </cell>
          <cell r="P8">
            <v>149</v>
          </cell>
        </row>
        <row r="9">
          <cell r="A9" t="str">
            <v>AS-0006</v>
          </cell>
          <cell r="B9" t="str">
            <v>옴므EX유브이프로텍션</v>
          </cell>
          <cell r="C9">
            <v>7</v>
          </cell>
          <cell r="F9">
            <v>162</v>
          </cell>
          <cell r="P9">
            <v>169</v>
          </cell>
        </row>
        <row r="10">
          <cell r="A10" t="str">
            <v>AT-0001</v>
          </cell>
          <cell r="B10" t="str">
            <v>아토 소프트 워싱 젤</v>
          </cell>
          <cell r="F10">
            <v>4</v>
          </cell>
          <cell r="M10">
            <v>198</v>
          </cell>
          <cell r="P10">
            <v>202</v>
          </cell>
        </row>
        <row r="11">
          <cell r="A11" t="str">
            <v>AT-0002</v>
          </cell>
          <cell r="B11" t="str">
            <v>아토 컨트롤 미스트</v>
          </cell>
          <cell r="F11">
            <v>2</v>
          </cell>
          <cell r="M11">
            <v>42</v>
          </cell>
          <cell r="P11">
            <v>44</v>
          </cell>
        </row>
        <row r="12">
          <cell r="A12" t="str">
            <v>AT-0003</v>
          </cell>
          <cell r="B12" t="str">
            <v>아토 프로텍트 로션</v>
          </cell>
          <cell r="F12">
            <v>78</v>
          </cell>
          <cell r="M12">
            <v>23</v>
          </cell>
          <cell r="P12">
            <v>101</v>
          </cell>
        </row>
        <row r="13">
          <cell r="A13" t="str">
            <v>AT-0004</v>
          </cell>
          <cell r="B13" t="str">
            <v>아토 토피칼 크림</v>
          </cell>
          <cell r="M13">
            <v>156</v>
          </cell>
          <cell r="P13">
            <v>156</v>
          </cell>
        </row>
        <row r="14">
          <cell r="A14" t="str">
            <v>BA-0006</v>
          </cell>
          <cell r="B14" t="str">
            <v>에코그린베이비카모마일선크림</v>
          </cell>
          <cell r="C14">
            <v>19</v>
          </cell>
          <cell r="F14">
            <v>259</v>
          </cell>
          <cell r="G14">
            <v>7</v>
          </cell>
          <cell r="P14">
            <v>285</v>
          </cell>
        </row>
        <row r="15">
          <cell r="A15" t="str">
            <v>BL-0001</v>
          </cell>
          <cell r="B15" t="str">
            <v>Blu: 스킨</v>
          </cell>
          <cell r="F15">
            <v>33</v>
          </cell>
          <cell r="G15">
            <v>23</v>
          </cell>
          <cell r="M15">
            <v>4</v>
          </cell>
          <cell r="P15">
            <v>60</v>
          </cell>
        </row>
        <row r="16">
          <cell r="A16" t="str">
            <v>BL-0002</v>
          </cell>
          <cell r="B16" t="str">
            <v>Blu: 로션</v>
          </cell>
          <cell r="F16">
            <v>11</v>
          </cell>
          <cell r="G16">
            <v>8</v>
          </cell>
          <cell r="K16">
            <v>18</v>
          </cell>
          <cell r="M16">
            <v>15</v>
          </cell>
          <cell r="P16">
            <v>52</v>
          </cell>
        </row>
        <row r="17">
          <cell r="A17" t="str">
            <v>BL-0003</v>
          </cell>
          <cell r="B17" t="str">
            <v>Blu: 2종 세트</v>
          </cell>
          <cell r="F17">
            <v>40</v>
          </cell>
          <cell r="G17">
            <v>15</v>
          </cell>
          <cell r="M17">
            <v>3</v>
          </cell>
          <cell r="P17">
            <v>58</v>
          </cell>
        </row>
        <row r="18">
          <cell r="A18" t="str">
            <v>BL-0004</v>
          </cell>
          <cell r="B18" t="str">
            <v>NEW블루밸런싱스킨(신형)</v>
          </cell>
          <cell r="F18">
            <v>102</v>
          </cell>
          <cell r="G18">
            <v>1</v>
          </cell>
          <cell r="P18">
            <v>103</v>
          </cell>
        </row>
        <row r="19">
          <cell r="A19" t="str">
            <v>BL-0005</v>
          </cell>
          <cell r="B19" t="str">
            <v>NEW블루프로텍트로션(신형)</v>
          </cell>
          <cell r="F19">
            <v>59</v>
          </cell>
          <cell r="P19">
            <v>59</v>
          </cell>
        </row>
        <row r="20">
          <cell r="A20" t="str">
            <v>BL-0006</v>
          </cell>
          <cell r="B20" t="str">
            <v>NEW블루2종세트(신형)</v>
          </cell>
          <cell r="C20">
            <v>2</v>
          </cell>
          <cell r="F20">
            <v>172</v>
          </cell>
          <cell r="G20">
            <v>18</v>
          </cell>
          <cell r="P20">
            <v>192</v>
          </cell>
        </row>
        <row r="21">
          <cell r="A21" t="str">
            <v>BS-0001</v>
          </cell>
          <cell r="B21" t="str">
            <v>솔루션EX후레쉬허브바디워시</v>
          </cell>
          <cell r="F21">
            <v>202</v>
          </cell>
          <cell r="G21">
            <v>34</v>
          </cell>
          <cell r="P21">
            <v>236</v>
          </cell>
        </row>
        <row r="22">
          <cell r="A22" t="str">
            <v>BS-0002</v>
          </cell>
          <cell r="B22" t="str">
            <v>솔루션EX후레쉬허브바디로션</v>
          </cell>
          <cell r="F22">
            <v>118</v>
          </cell>
          <cell r="G22">
            <v>10</v>
          </cell>
          <cell r="P22">
            <v>128</v>
          </cell>
        </row>
        <row r="23">
          <cell r="A23" t="str">
            <v>BS-0004</v>
          </cell>
          <cell r="B23" t="str">
            <v>솔루션EX후레쉬허브바디미스트</v>
          </cell>
          <cell r="E23">
            <v>2</v>
          </cell>
          <cell r="F23">
            <v>236</v>
          </cell>
          <cell r="G23">
            <v>15</v>
          </cell>
          <cell r="P23">
            <v>253</v>
          </cell>
        </row>
        <row r="24">
          <cell r="A24" t="str">
            <v>HY-0003</v>
          </cell>
          <cell r="B24" t="str">
            <v>Extra Hydro 에센스</v>
          </cell>
          <cell r="M24">
            <v>30</v>
          </cell>
          <cell r="P24">
            <v>30</v>
          </cell>
        </row>
        <row r="25">
          <cell r="A25" t="str">
            <v>HY-0004</v>
          </cell>
          <cell r="B25" t="str">
            <v>Extra Hydro 3종세트</v>
          </cell>
          <cell r="G25">
            <v>4</v>
          </cell>
          <cell r="P25">
            <v>4</v>
          </cell>
        </row>
        <row r="26">
          <cell r="A26" t="str">
            <v>HY-0005</v>
          </cell>
          <cell r="B26" t="str">
            <v>Extra Hydro 프로텍티브플루이드</v>
          </cell>
          <cell r="M26">
            <v>3</v>
          </cell>
          <cell r="P26">
            <v>3</v>
          </cell>
        </row>
        <row r="27">
          <cell r="A27" t="str">
            <v>MO-0001</v>
          </cell>
          <cell r="B27" t="str">
            <v>엑스트라모이스쳐 컨트롤 소프너</v>
          </cell>
          <cell r="F27">
            <v>62</v>
          </cell>
          <cell r="G27">
            <v>70</v>
          </cell>
          <cell r="K27">
            <v>3</v>
          </cell>
          <cell r="M27">
            <v>41</v>
          </cell>
          <cell r="P27">
            <v>176</v>
          </cell>
        </row>
        <row r="28">
          <cell r="A28" t="str">
            <v>MO-0002</v>
          </cell>
          <cell r="B28" t="str">
            <v>엑스트라모이스쳐 프로텍티브 플루이드</v>
          </cell>
          <cell r="F28">
            <v>63</v>
          </cell>
          <cell r="G28">
            <v>105</v>
          </cell>
          <cell r="K28">
            <v>3</v>
          </cell>
          <cell r="M28">
            <v>99</v>
          </cell>
          <cell r="P28">
            <v>270</v>
          </cell>
        </row>
        <row r="29">
          <cell r="A29" t="str">
            <v>MO-0003</v>
          </cell>
          <cell r="B29" t="str">
            <v>엑스트라모이스쳐 컨센트레이트 에센스</v>
          </cell>
          <cell r="F29">
            <v>48</v>
          </cell>
          <cell r="G29">
            <v>48</v>
          </cell>
          <cell r="M29">
            <v>54</v>
          </cell>
          <cell r="P29">
            <v>150</v>
          </cell>
        </row>
        <row r="30">
          <cell r="A30" t="str">
            <v>MO-0004</v>
          </cell>
          <cell r="B30" t="str">
            <v>엑스트라모이스쳐 인텐시브 크림</v>
          </cell>
          <cell r="F30">
            <v>101</v>
          </cell>
          <cell r="G30">
            <v>38</v>
          </cell>
          <cell r="K30">
            <v>3</v>
          </cell>
          <cell r="M30">
            <v>21</v>
          </cell>
          <cell r="P30">
            <v>163</v>
          </cell>
        </row>
        <row r="31">
          <cell r="A31" t="str">
            <v>MO-0005</v>
          </cell>
          <cell r="B31" t="str">
            <v>엑스트라모이스쳐 2종세트</v>
          </cell>
          <cell r="F31">
            <v>35</v>
          </cell>
          <cell r="G31">
            <v>51</v>
          </cell>
          <cell r="K31">
            <v>2</v>
          </cell>
          <cell r="M31">
            <v>4</v>
          </cell>
          <cell r="P31">
            <v>92</v>
          </cell>
        </row>
        <row r="32">
          <cell r="A32" t="str">
            <v>MO-0006</v>
          </cell>
          <cell r="B32" t="str">
            <v>엑스트라모이스쳐 3종세트</v>
          </cell>
          <cell r="F32">
            <v>32</v>
          </cell>
          <cell r="G32">
            <v>12</v>
          </cell>
          <cell r="K32">
            <v>2</v>
          </cell>
          <cell r="M32">
            <v>13</v>
          </cell>
          <cell r="P32">
            <v>59</v>
          </cell>
        </row>
        <row r="33">
          <cell r="A33" t="str">
            <v>MS-0001</v>
          </cell>
          <cell r="B33" t="str">
            <v>MS-데톡스 로즈 폼클렌져</v>
          </cell>
          <cell r="F33">
            <v>138</v>
          </cell>
          <cell r="P33">
            <v>138</v>
          </cell>
        </row>
        <row r="34">
          <cell r="A34" t="str">
            <v>MS-0002</v>
          </cell>
          <cell r="B34" t="str">
            <v>MS-로즈 캡슐 소프너</v>
          </cell>
          <cell r="C34">
            <v>6</v>
          </cell>
          <cell r="F34">
            <v>233</v>
          </cell>
          <cell r="P34">
            <v>239</v>
          </cell>
        </row>
        <row r="35">
          <cell r="A35" t="str">
            <v>MS-0003</v>
          </cell>
          <cell r="B35" t="str">
            <v>MS-로즈 젤 플루이드</v>
          </cell>
          <cell r="D35">
            <v>2</v>
          </cell>
          <cell r="F35">
            <v>433</v>
          </cell>
          <cell r="P35">
            <v>435</v>
          </cell>
        </row>
        <row r="36">
          <cell r="A36" t="str">
            <v>MS-0004</v>
          </cell>
          <cell r="B36" t="str">
            <v>MS-로즈 워터드롭 에센스</v>
          </cell>
          <cell r="C36">
            <v>38</v>
          </cell>
          <cell r="F36">
            <v>221</v>
          </cell>
          <cell r="P36">
            <v>259</v>
          </cell>
        </row>
        <row r="37">
          <cell r="A37" t="str">
            <v>MS-0005</v>
          </cell>
          <cell r="B37" t="str">
            <v>MS-로즈 마쉬멜로우 크림</v>
          </cell>
          <cell r="F37">
            <v>281</v>
          </cell>
          <cell r="P37">
            <v>281</v>
          </cell>
        </row>
        <row r="38">
          <cell r="A38" t="str">
            <v>MS-0006</v>
          </cell>
          <cell r="B38" t="str">
            <v>MS-모이스춰솔루션 스킨케어2종</v>
          </cell>
          <cell r="C38">
            <v>17</v>
          </cell>
          <cell r="F38">
            <v>241</v>
          </cell>
          <cell r="G38">
            <v>10</v>
          </cell>
          <cell r="P38">
            <v>268</v>
          </cell>
        </row>
        <row r="39">
          <cell r="A39" t="str">
            <v>MS-0007</v>
          </cell>
          <cell r="B39" t="str">
            <v>MS-모이스춰솔루션 스킨케어3종</v>
          </cell>
          <cell r="F39">
            <v>233</v>
          </cell>
          <cell r="G39">
            <v>6</v>
          </cell>
          <cell r="P39">
            <v>239</v>
          </cell>
        </row>
        <row r="40">
          <cell r="A40" t="str">
            <v>MS-0008</v>
          </cell>
          <cell r="B40" t="str">
            <v>MS-덱톡스 로즈 클렌징크림</v>
          </cell>
          <cell r="F40">
            <v>233</v>
          </cell>
          <cell r="P40">
            <v>233</v>
          </cell>
        </row>
        <row r="41">
          <cell r="A41" t="str">
            <v>MS-0010</v>
          </cell>
          <cell r="B41" t="str">
            <v>MS-데톡스로즈필링젤</v>
          </cell>
          <cell r="F41">
            <v>262</v>
          </cell>
          <cell r="P41">
            <v>262</v>
          </cell>
        </row>
        <row r="42">
          <cell r="A42" t="str">
            <v>MS-0011</v>
          </cell>
          <cell r="B42" t="str">
            <v>MS-데톡스로즈클렌징오일</v>
          </cell>
          <cell r="F42">
            <v>136</v>
          </cell>
          <cell r="P42">
            <v>136</v>
          </cell>
        </row>
        <row r="43">
          <cell r="A43" t="str">
            <v>MS-0012</v>
          </cell>
          <cell r="B43" t="str">
            <v>MS-로즈워터드롭에센스 기획세트</v>
          </cell>
          <cell r="F43">
            <v>33</v>
          </cell>
          <cell r="P43">
            <v>33</v>
          </cell>
        </row>
        <row r="44">
          <cell r="A44" t="str">
            <v>MS-0013</v>
          </cell>
          <cell r="B44" t="str">
            <v>MS-모이스쳐 로즈크림기획세트</v>
          </cell>
          <cell r="F44">
            <v>70</v>
          </cell>
          <cell r="P44">
            <v>70</v>
          </cell>
        </row>
        <row r="45">
          <cell r="A45" t="str">
            <v>MS-5007</v>
          </cell>
          <cell r="B45" t="str">
            <v>데톡스아이앤립리무버</v>
          </cell>
          <cell r="F45">
            <v>13</v>
          </cell>
          <cell r="P45">
            <v>13</v>
          </cell>
        </row>
        <row r="46">
          <cell r="A46" t="str">
            <v>MU-0001</v>
          </cell>
          <cell r="B46" t="str">
            <v>트루UV화이트투웨이 01호</v>
          </cell>
          <cell r="M46">
            <v>102</v>
          </cell>
          <cell r="P46">
            <v>102</v>
          </cell>
        </row>
        <row r="47">
          <cell r="A47" t="str">
            <v>MU-0002</v>
          </cell>
          <cell r="B47" t="str">
            <v>트루UV화이트투웨이 02호</v>
          </cell>
          <cell r="G47">
            <v>1</v>
          </cell>
          <cell r="M47">
            <v>21</v>
          </cell>
          <cell r="P47">
            <v>22</v>
          </cell>
        </row>
        <row r="48">
          <cell r="A48" t="str">
            <v>MU-0003</v>
          </cell>
          <cell r="B48" t="str">
            <v>트루UV화이트투웨이 03호</v>
          </cell>
          <cell r="M48">
            <v>42</v>
          </cell>
          <cell r="P48">
            <v>42</v>
          </cell>
        </row>
        <row r="49">
          <cell r="A49" t="str">
            <v>MU-0004</v>
          </cell>
          <cell r="B49" t="str">
            <v>트루UV화이트팩트 01호</v>
          </cell>
          <cell r="M49">
            <v>45</v>
          </cell>
          <cell r="P49">
            <v>45</v>
          </cell>
        </row>
        <row r="50">
          <cell r="A50" t="str">
            <v>MU-0005</v>
          </cell>
          <cell r="B50" t="str">
            <v>트루UV화이트팩트 02호</v>
          </cell>
          <cell r="G50">
            <v>12</v>
          </cell>
          <cell r="K50">
            <v>1</v>
          </cell>
          <cell r="M50">
            <v>53</v>
          </cell>
          <cell r="P50">
            <v>66</v>
          </cell>
        </row>
        <row r="51">
          <cell r="A51" t="str">
            <v>MU-0006</v>
          </cell>
          <cell r="B51" t="str">
            <v>트루UV화이트팩트 03호</v>
          </cell>
          <cell r="M51">
            <v>33</v>
          </cell>
          <cell r="P51">
            <v>33</v>
          </cell>
        </row>
        <row r="52">
          <cell r="A52" t="str">
            <v>MU-0007</v>
          </cell>
          <cell r="B52" t="str">
            <v>트루UV화이트투웨이(R)01호</v>
          </cell>
          <cell r="M52">
            <v>49</v>
          </cell>
          <cell r="P52">
            <v>49</v>
          </cell>
        </row>
        <row r="53">
          <cell r="A53" t="str">
            <v>MU-0008</v>
          </cell>
          <cell r="B53" t="str">
            <v>트루UV화이트투웨이(R)02호</v>
          </cell>
          <cell r="M53">
            <v>28</v>
          </cell>
          <cell r="P53">
            <v>28</v>
          </cell>
        </row>
        <row r="54">
          <cell r="A54" t="str">
            <v>MU-0009</v>
          </cell>
          <cell r="B54" t="str">
            <v>트루UV화이트투웨이(R)03호</v>
          </cell>
          <cell r="M54">
            <v>24</v>
          </cell>
          <cell r="P54">
            <v>24</v>
          </cell>
        </row>
        <row r="55">
          <cell r="A55" t="str">
            <v>MU-0010</v>
          </cell>
          <cell r="B55" t="str">
            <v>트루UV화이트팩트(R)01호</v>
          </cell>
          <cell r="M55">
            <v>40</v>
          </cell>
          <cell r="P55">
            <v>40</v>
          </cell>
        </row>
        <row r="56">
          <cell r="A56" t="str">
            <v>MU-0011</v>
          </cell>
          <cell r="B56" t="str">
            <v>트루UV화이트팩트(R)02호</v>
          </cell>
          <cell r="M56">
            <v>102</v>
          </cell>
          <cell r="P56">
            <v>102</v>
          </cell>
        </row>
        <row r="57">
          <cell r="A57" t="str">
            <v>MU-0012</v>
          </cell>
          <cell r="B57" t="str">
            <v>트루UV화이트팩트(R)03호</v>
          </cell>
          <cell r="M57">
            <v>83</v>
          </cell>
          <cell r="P57">
            <v>83</v>
          </cell>
        </row>
        <row r="58">
          <cell r="A58" t="str">
            <v>MU-0013</v>
          </cell>
          <cell r="B58" t="str">
            <v>트루화이트닝 메이컵 베이스</v>
          </cell>
          <cell r="G58">
            <v>8</v>
          </cell>
          <cell r="K58">
            <v>25</v>
          </cell>
          <cell r="M58">
            <v>35</v>
          </cell>
          <cell r="P58">
            <v>68</v>
          </cell>
        </row>
        <row r="59">
          <cell r="A59" t="str">
            <v>MU-0014</v>
          </cell>
          <cell r="B59" t="str">
            <v>트루화이트닝 화운데이션 01호</v>
          </cell>
          <cell r="M59">
            <v>186</v>
          </cell>
          <cell r="P59">
            <v>186</v>
          </cell>
        </row>
        <row r="60">
          <cell r="A60" t="str">
            <v>MU-0015</v>
          </cell>
          <cell r="B60" t="str">
            <v>트루화이트닝 화운데이션 02호</v>
          </cell>
          <cell r="G60">
            <v>1</v>
          </cell>
          <cell r="M60">
            <v>89</v>
          </cell>
          <cell r="P60">
            <v>90</v>
          </cell>
        </row>
        <row r="61">
          <cell r="A61" t="str">
            <v>MU-1001</v>
          </cell>
          <cell r="B61" t="str">
            <v>트루모이스쳐 투웨이 21호</v>
          </cell>
          <cell r="G61">
            <v>6</v>
          </cell>
          <cell r="M61">
            <v>33</v>
          </cell>
          <cell r="P61">
            <v>39</v>
          </cell>
        </row>
        <row r="62">
          <cell r="A62" t="str">
            <v>MU-1002</v>
          </cell>
          <cell r="B62" t="str">
            <v>트루모이스쳐 투웨이 23호</v>
          </cell>
          <cell r="F62">
            <v>3</v>
          </cell>
          <cell r="G62">
            <v>13</v>
          </cell>
          <cell r="M62">
            <v>29</v>
          </cell>
          <cell r="P62">
            <v>45</v>
          </cell>
        </row>
        <row r="63">
          <cell r="A63" t="str">
            <v>MU-1003</v>
          </cell>
          <cell r="B63" t="str">
            <v>트루모이스쳐 팩트 21호</v>
          </cell>
          <cell r="G63">
            <v>16</v>
          </cell>
          <cell r="M63">
            <v>17</v>
          </cell>
          <cell r="P63">
            <v>33</v>
          </cell>
        </row>
        <row r="64">
          <cell r="A64" t="str">
            <v>MU-1004</v>
          </cell>
          <cell r="B64" t="str">
            <v>트루모이스쳐 팩트 23호</v>
          </cell>
          <cell r="F64">
            <v>9</v>
          </cell>
          <cell r="G64">
            <v>9</v>
          </cell>
          <cell r="M64">
            <v>57</v>
          </cell>
          <cell r="P64">
            <v>75</v>
          </cell>
        </row>
        <row r="65">
          <cell r="A65" t="str">
            <v>MU-3001</v>
          </cell>
          <cell r="B65" t="str">
            <v>스무딩 블레미쉬 밤</v>
          </cell>
          <cell r="G65">
            <v>98</v>
          </cell>
          <cell r="J65">
            <v>3</v>
          </cell>
          <cell r="K65">
            <v>26</v>
          </cell>
          <cell r="M65">
            <v>7</v>
          </cell>
          <cell r="P65">
            <v>134</v>
          </cell>
        </row>
        <row r="66">
          <cell r="A66" t="str">
            <v>MU-3002</v>
          </cell>
          <cell r="B66" t="str">
            <v>세러브리티스 마스카라</v>
          </cell>
          <cell r="F66">
            <v>144</v>
          </cell>
          <cell r="G66">
            <v>70</v>
          </cell>
          <cell r="K66">
            <v>6</v>
          </cell>
          <cell r="M66">
            <v>1</v>
          </cell>
          <cell r="P66">
            <v>221</v>
          </cell>
        </row>
        <row r="67">
          <cell r="A67" t="str">
            <v>MU-3003</v>
          </cell>
          <cell r="B67" t="str">
            <v>세러브리티스 아이라이너</v>
          </cell>
          <cell r="F67">
            <v>97</v>
          </cell>
          <cell r="G67">
            <v>76</v>
          </cell>
          <cell r="K67">
            <v>3</v>
          </cell>
          <cell r="M67">
            <v>40</v>
          </cell>
          <cell r="P67">
            <v>216</v>
          </cell>
        </row>
        <row r="68">
          <cell r="A68" t="str">
            <v>MU-5000</v>
          </cell>
          <cell r="B68" t="str">
            <v>브러시온샤인 메이크업베이스</v>
          </cell>
          <cell r="F68">
            <v>519</v>
          </cell>
          <cell r="G68">
            <v>45</v>
          </cell>
          <cell r="P68">
            <v>564</v>
          </cell>
        </row>
        <row r="69">
          <cell r="A69" t="str">
            <v>MU-5001</v>
          </cell>
          <cell r="B69" t="str">
            <v>브러시온샤인 화운데이션21호</v>
          </cell>
          <cell r="F69">
            <v>260</v>
          </cell>
          <cell r="G69">
            <v>45</v>
          </cell>
          <cell r="P69">
            <v>305</v>
          </cell>
        </row>
        <row r="70">
          <cell r="A70" t="str">
            <v>MU-5002</v>
          </cell>
          <cell r="B70" t="str">
            <v>브러시온샤인 화운데이션23호</v>
          </cell>
          <cell r="F70">
            <v>332</v>
          </cell>
          <cell r="G70">
            <v>35</v>
          </cell>
          <cell r="P70">
            <v>367</v>
          </cell>
        </row>
        <row r="71">
          <cell r="A71" t="str">
            <v>MU-5003</v>
          </cell>
          <cell r="B71" t="str">
            <v>샤인 컨트롤 팩트21호</v>
          </cell>
          <cell r="F71">
            <v>199</v>
          </cell>
          <cell r="G71">
            <v>27</v>
          </cell>
          <cell r="P71">
            <v>226</v>
          </cell>
        </row>
        <row r="72">
          <cell r="A72" t="str">
            <v>MU-5004</v>
          </cell>
          <cell r="B72" t="str">
            <v>샤인 컨트롤 팩트23호</v>
          </cell>
          <cell r="F72">
            <v>251</v>
          </cell>
          <cell r="G72">
            <v>21</v>
          </cell>
          <cell r="M72">
            <v>4</v>
          </cell>
          <cell r="P72">
            <v>276</v>
          </cell>
        </row>
        <row r="73">
          <cell r="A73" t="str">
            <v>MU-5005</v>
          </cell>
          <cell r="B73" t="str">
            <v>샤인 컨트롤 투웨이21호</v>
          </cell>
          <cell r="F73">
            <v>306</v>
          </cell>
          <cell r="G73">
            <v>27</v>
          </cell>
          <cell r="P73">
            <v>333</v>
          </cell>
        </row>
        <row r="74">
          <cell r="A74" t="str">
            <v>MU-5006</v>
          </cell>
          <cell r="B74" t="str">
            <v>샤인 컨트롤 투웨이23호</v>
          </cell>
          <cell r="F74">
            <v>203</v>
          </cell>
          <cell r="G74">
            <v>26</v>
          </cell>
          <cell r="P74">
            <v>229</v>
          </cell>
        </row>
        <row r="75">
          <cell r="A75" t="str">
            <v>MU-5007</v>
          </cell>
          <cell r="B75" t="str">
            <v>데톡스테라피아이앤리무버</v>
          </cell>
          <cell r="C75">
            <v>10</v>
          </cell>
          <cell r="F75">
            <v>65</v>
          </cell>
          <cell r="P75">
            <v>75</v>
          </cell>
        </row>
        <row r="76">
          <cell r="A76" t="str">
            <v>MU-5010</v>
          </cell>
          <cell r="B76" t="str">
            <v>화이트라메이크업베이스-그린</v>
          </cell>
          <cell r="F76">
            <v>80</v>
          </cell>
          <cell r="G76">
            <v>1</v>
          </cell>
          <cell r="O76">
            <v>92</v>
          </cell>
          <cell r="P76">
            <v>173</v>
          </cell>
        </row>
        <row r="77">
          <cell r="A77" t="str">
            <v>MU-5011</v>
          </cell>
          <cell r="B77" t="str">
            <v>화이트라이트쉬머링베이스-핑크</v>
          </cell>
          <cell r="F77">
            <v>237</v>
          </cell>
          <cell r="O77">
            <v>59</v>
          </cell>
          <cell r="P77">
            <v>296</v>
          </cell>
        </row>
        <row r="78">
          <cell r="A78" t="str">
            <v>MU-5012</v>
          </cell>
          <cell r="B78" t="str">
            <v>화이트라이트화운데이션21호</v>
          </cell>
          <cell r="F78">
            <v>71</v>
          </cell>
          <cell r="O78">
            <v>193</v>
          </cell>
          <cell r="P78">
            <v>264</v>
          </cell>
        </row>
        <row r="79">
          <cell r="A79" t="str">
            <v>MU-5013</v>
          </cell>
          <cell r="B79" t="str">
            <v>화이트라이트화운데이션23호</v>
          </cell>
          <cell r="D79">
            <v>2</v>
          </cell>
          <cell r="F79">
            <v>52</v>
          </cell>
          <cell r="O79">
            <v>171</v>
          </cell>
          <cell r="P79">
            <v>225</v>
          </cell>
        </row>
        <row r="80">
          <cell r="A80" t="str">
            <v>MU-5014</v>
          </cell>
          <cell r="B80" t="str">
            <v>화이트라이트팩트21호</v>
          </cell>
          <cell r="C80">
            <v>41</v>
          </cell>
          <cell r="F80">
            <v>135</v>
          </cell>
          <cell r="P80">
            <v>176</v>
          </cell>
        </row>
        <row r="81">
          <cell r="A81" t="str">
            <v>MU-5015</v>
          </cell>
          <cell r="B81" t="str">
            <v>화이트라이트팩트23호</v>
          </cell>
          <cell r="C81">
            <v>7</v>
          </cell>
          <cell r="F81">
            <v>250</v>
          </cell>
          <cell r="P81">
            <v>257</v>
          </cell>
        </row>
        <row r="82">
          <cell r="A82" t="str">
            <v>MU-5016</v>
          </cell>
          <cell r="B82" t="str">
            <v>화이트라이트투웨이21호</v>
          </cell>
          <cell r="C82">
            <v>29</v>
          </cell>
          <cell r="F82">
            <v>212</v>
          </cell>
          <cell r="P82">
            <v>241</v>
          </cell>
        </row>
        <row r="83">
          <cell r="A83" t="str">
            <v>MU-5017</v>
          </cell>
          <cell r="B83" t="str">
            <v>화이트라이트투웨이23호</v>
          </cell>
          <cell r="C83">
            <v>10</v>
          </cell>
          <cell r="F83">
            <v>117</v>
          </cell>
          <cell r="P83">
            <v>127</v>
          </cell>
        </row>
        <row r="84">
          <cell r="A84" t="str">
            <v>MU-5018</v>
          </cell>
          <cell r="B84" t="str">
            <v>화이트라이트트리플비비크림</v>
          </cell>
          <cell r="C84">
            <v>16</v>
          </cell>
          <cell r="F84">
            <v>109</v>
          </cell>
          <cell r="P84">
            <v>125</v>
          </cell>
        </row>
        <row r="85">
          <cell r="A85" t="str">
            <v>MU-5019</v>
          </cell>
          <cell r="B85" t="str">
            <v>화이트라이트비비썬밤</v>
          </cell>
          <cell r="C85">
            <v>352</v>
          </cell>
          <cell r="F85">
            <v>169</v>
          </cell>
          <cell r="P85">
            <v>521</v>
          </cell>
        </row>
        <row r="86">
          <cell r="A86" t="str">
            <v>PO00003</v>
          </cell>
          <cell r="B86" t="str">
            <v>Pore Tightening 아쿠아 크림</v>
          </cell>
          <cell r="F86">
            <v>24</v>
          </cell>
          <cell r="G86">
            <v>24</v>
          </cell>
          <cell r="K86">
            <v>4</v>
          </cell>
          <cell r="M86">
            <v>41</v>
          </cell>
          <cell r="P86">
            <v>93</v>
          </cell>
        </row>
        <row r="87">
          <cell r="A87" t="str">
            <v>PO-0001</v>
          </cell>
          <cell r="B87" t="str">
            <v>Pore Tightening 아스트리젠트</v>
          </cell>
          <cell r="F87">
            <v>33</v>
          </cell>
          <cell r="G87">
            <v>2</v>
          </cell>
          <cell r="M87">
            <v>46</v>
          </cell>
          <cell r="P87">
            <v>81</v>
          </cell>
        </row>
        <row r="88">
          <cell r="A88" t="str">
            <v>PO-0002</v>
          </cell>
          <cell r="B88" t="str">
            <v>(신) Pore Tightening 에센스</v>
          </cell>
          <cell r="G88">
            <v>50</v>
          </cell>
          <cell r="M88">
            <v>89</v>
          </cell>
          <cell r="P88">
            <v>139</v>
          </cell>
        </row>
        <row r="89">
          <cell r="A89" t="str">
            <v>PO-0004</v>
          </cell>
          <cell r="B89" t="str">
            <v>모공에센스(구형)</v>
          </cell>
          <cell r="G89">
            <v>3</v>
          </cell>
          <cell r="M89">
            <v>6</v>
          </cell>
          <cell r="P89">
            <v>9</v>
          </cell>
        </row>
        <row r="90">
          <cell r="A90" t="str">
            <v>PS-0001</v>
          </cell>
          <cell r="B90" t="str">
            <v>PS-데톡스 그레이프씨드 젤클렌저</v>
          </cell>
          <cell r="F90">
            <v>370</v>
          </cell>
          <cell r="P90">
            <v>370</v>
          </cell>
        </row>
        <row r="91">
          <cell r="A91" t="str">
            <v>PS-0002</v>
          </cell>
          <cell r="B91" t="str">
            <v>PS-그레이프씨드 후레쉬토너</v>
          </cell>
          <cell r="F91">
            <v>292</v>
          </cell>
          <cell r="I91">
            <v>3</v>
          </cell>
          <cell r="P91">
            <v>295</v>
          </cell>
        </row>
        <row r="92">
          <cell r="A92" t="str">
            <v>PS-0003</v>
          </cell>
          <cell r="B92" t="str">
            <v>PS-그레이프씨드 젤플루이드</v>
          </cell>
          <cell r="D92">
            <v>3</v>
          </cell>
          <cell r="F92">
            <v>473</v>
          </cell>
          <cell r="P92">
            <v>476</v>
          </cell>
        </row>
        <row r="93">
          <cell r="A93" t="str">
            <v>PS-0004</v>
          </cell>
          <cell r="B93" t="str">
            <v>PS-그레이프씨드 젤리에센스</v>
          </cell>
          <cell r="F93">
            <v>297</v>
          </cell>
          <cell r="P93">
            <v>297</v>
          </cell>
        </row>
        <row r="94">
          <cell r="A94" t="str">
            <v>PS-0005</v>
          </cell>
          <cell r="B94" t="str">
            <v>PS-그레이프씨드 워터크림</v>
          </cell>
          <cell r="C94">
            <v>8</v>
          </cell>
          <cell r="F94">
            <v>268</v>
          </cell>
          <cell r="P94">
            <v>276</v>
          </cell>
        </row>
        <row r="95">
          <cell r="A95" t="str">
            <v>PS-0006</v>
          </cell>
          <cell r="B95" t="str">
            <v>PS-퓨리화잉 스킨케어2종</v>
          </cell>
          <cell r="C95">
            <v>7</v>
          </cell>
          <cell r="F95">
            <v>388</v>
          </cell>
          <cell r="G95">
            <v>1</v>
          </cell>
          <cell r="P95">
            <v>396</v>
          </cell>
        </row>
        <row r="96">
          <cell r="A96" t="str">
            <v>PS-0007</v>
          </cell>
          <cell r="B96" t="str">
            <v>PS-퓨리화잉 스킨케어3종</v>
          </cell>
          <cell r="F96">
            <v>338</v>
          </cell>
          <cell r="P96">
            <v>338</v>
          </cell>
        </row>
        <row r="97">
          <cell r="A97" t="str">
            <v>PS-0010</v>
          </cell>
          <cell r="B97" t="str">
            <v>PS-그레이프씨드젤리에센스기획세트</v>
          </cell>
          <cell r="F97">
            <v>95</v>
          </cell>
          <cell r="P97">
            <v>95</v>
          </cell>
        </row>
        <row r="98">
          <cell r="A98" t="str">
            <v>PS-0011</v>
          </cell>
          <cell r="B98" t="str">
            <v>PS-그레이프씨드크림기획세트</v>
          </cell>
          <cell r="D98">
            <v>2</v>
          </cell>
          <cell r="F98">
            <v>48</v>
          </cell>
          <cell r="P98">
            <v>50</v>
          </cell>
        </row>
        <row r="99">
          <cell r="A99" t="str">
            <v>RE-0001</v>
          </cell>
          <cell r="B99" t="str">
            <v>MAGIC REPAIR 징코 스킨</v>
          </cell>
          <cell r="F99">
            <v>139</v>
          </cell>
          <cell r="G99">
            <v>10</v>
          </cell>
          <cell r="K99">
            <v>2</v>
          </cell>
          <cell r="M99">
            <v>103</v>
          </cell>
          <cell r="P99">
            <v>254</v>
          </cell>
        </row>
        <row r="100">
          <cell r="A100" t="str">
            <v>RE-0002</v>
          </cell>
          <cell r="B100" t="str">
            <v>MAGIC REPAIR 징코 로션</v>
          </cell>
          <cell r="F100">
            <v>88</v>
          </cell>
          <cell r="G100">
            <v>21</v>
          </cell>
          <cell r="K100">
            <v>2</v>
          </cell>
          <cell r="M100">
            <v>100</v>
          </cell>
          <cell r="P100">
            <v>211</v>
          </cell>
        </row>
        <row r="101">
          <cell r="A101" t="str">
            <v>RE-0003</v>
          </cell>
          <cell r="B101" t="str">
            <v>MAGIC REPAIR 징코 기초 2종 세트</v>
          </cell>
          <cell r="F101">
            <v>48</v>
          </cell>
          <cell r="G101">
            <v>76</v>
          </cell>
          <cell r="K101">
            <v>6</v>
          </cell>
          <cell r="M101">
            <v>38</v>
          </cell>
          <cell r="P101">
            <v>168</v>
          </cell>
        </row>
        <row r="102">
          <cell r="A102" t="str">
            <v>RE-0004</v>
          </cell>
          <cell r="B102" t="str">
            <v>MAGIC REPAIR 징코 세럼(탄력세럼)</v>
          </cell>
          <cell r="F102">
            <v>129</v>
          </cell>
          <cell r="G102">
            <v>65</v>
          </cell>
          <cell r="K102">
            <v>3</v>
          </cell>
          <cell r="M102">
            <v>38</v>
          </cell>
          <cell r="N102">
            <v>27</v>
          </cell>
          <cell r="P102">
            <v>262</v>
          </cell>
        </row>
        <row r="103">
          <cell r="A103" t="str">
            <v>RE-0005</v>
          </cell>
          <cell r="B103" t="str">
            <v>MAGIC REPAIR 징코 크림(탄력크림)</v>
          </cell>
          <cell r="F103">
            <v>96</v>
          </cell>
          <cell r="G103">
            <v>59</v>
          </cell>
          <cell r="K103">
            <v>1</v>
          </cell>
          <cell r="M103">
            <v>15</v>
          </cell>
          <cell r="P103">
            <v>171</v>
          </cell>
        </row>
        <row r="104">
          <cell r="A104" t="str">
            <v>RE-0006</v>
          </cell>
          <cell r="B104" t="str">
            <v>MAGIC REPAIR 징코 스페셜 2종 세트</v>
          </cell>
          <cell r="F104">
            <v>7</v>
          </cell>
          <cell r="G104">
            <v>68</v>
          </cell>
          <cell r="M104">
            <v>38</v>
          </cell>
          <cell r="P104">
            <v>113</v>
          </cell>
        </row>
        <row r="105">
          <cell r="A105" t="str">
            <v>RE-0007</v>
          </cell>
          <cell r="B105" t="str">
            <v>MAGIC REPAIR 징코 아이크림</v>
          </cell>
          <cell r="F105">
            <v>36</v>
          </cell>
          <cell r="G105">
            <v>101</v>
          </cell>
          <cell r="K105">
            <v>4</v>
          </cell>
          <cell r="M105">
            <v>23</v>
          </cell>
          <cell r="P105">
            <v>164</v>
          </cell>
        </row>
        <row r="106">
          <cell r="A106" t="str">
            <v>TR-0001</v>
          </cell>
          <cell r="B106" t="str">
            <v>A304 클리어워시폼</v>
          </cell>
          <cell r="C106">
            <v>34</v>
          </cell>
          <cell r="F106">
            <v>87</v>
          </cell>
          <cell r="G106">
            <v>36</v>
          </cell>
          <cell r="K106">
            <v>1</v>
          </cell>
          <cell r="M106">
            <v>26</v>
          </cell>
          <cell r="P106">
            <v>184</v>
          </cell>
        </row>
        <row r="107">
          <cell r="A107" t="str">
            <v>TR-0002</v>
          </cell>
          <cell r="B107" t="str">
            <v>A304 클리어 클렌징크림</v>
          </cell>
          <cell r="F107">
            <v>1</v>
          </cell>
          <cell r="G107">
            <v>13</v>
          </cell>
          <cell r="K107">
            <v>1</v>
          </cell>
          <cell r="M107">
            <v>33</v>
          </cell>
          <cell r="P107">
            <v>48</v>
          </cell>
        </row>
        <row r="108">
          <cell r="A108" t="str">
            <v>TR-0003</v>
          </cell>
          <cell r="B108" t="str">
            <v>A304 프로텍트에멀젼</v>
          </cell>
          <cell r="C108">
            <v>75</v>
          </cell>
          <cell r="F108">
            <v>81</v>
          </cell>
          <cell r="G108">
            <v>17</v>
          </cell>
          <cell r="K108">
            <v>1</v>
          </cell>
          <cell r="M108">
            <v>39</v>
          </cell>
          <cell r="P108">
            <v>213</v>
          </cell>
        </row>
        <row r="109">
          <cell r="A109" t="str">
            <v>TR-0004</v>
          </cell>
          <cell r="B109" t="str">
            <v>A304 New 밸런싱스킨</v>
          </cell>
          <cell r="C109">
            <v>55</v>
          </cell>
          <cell r="F109">
            <v>102</v>
          </cell>
          <cell r="G109">
            <v>12</v>
          </cell>
          <cell r="K109">
            <v>1</v>
          </cell>
          <cell r="M109">
            <v>21</v>
          </cell>
          <cell r="P109">
            <v>191</v>
          </cell>
        </row>
        <row r="110">
          <cell r="A110" t="str">
            <v>TR-0005</v>
          </cell>
          <cell r="B110" t="str">
            <v>A304 컨트롤크림</v>
          </cell>
          <cell r="K110">
            <v>10</v>
          </cell>
          <cell r="M110">
            <v>130</v>
          </cell>
          <cell r="P110">
            <v>140</v>
          </cell>
        </row>
        <row r="111">
          <cell r="A111" t="str">
            <v>TR-0006</v>
          </cell>
          <cell r="B111" t="str">
            <v>A304 컨센트레이트에센스</v>
          </cell>
          <cell r="F111">
            <v>70</v>
          </cell>
          <cell r="G111">
            <v>27</v>
          </cell>
          <cell r="M111">
            <v>45</v>
          </cell>
          <cell r="P111">
            <v>142</v>
          </cell>
        </row>
        <row r="112">
          <cell r="A112" t="str">
            <v>TR-0007</v>
          </cell>
          <cell r="B112" t="str">
            <v>A304 New 트러블2종세트</v>
          </cell>
          <cell r="C112">
            <v>13</v>
          </cell>
          <cell r="F112">
            <v>106</v>
          </cell>
          <cell r="G112">
            <v>8</v>
          </cell>
          <cell r="M112">
            <v>5</v>
          </cell>
          <cell r="P112">
            <v>132</v>
          </cell>
        </row>
        <row r="113">
          <cell r="A113" t="str">
            <v>TR-0008</v>
          </cell>
          <cell r="B113" t="str">
            <v>A304 New 트러블3종세트</v>
          </cell>
          <cell r="E113">
            <v>1</v>
          </cell>
          <cell r="F113">
            <v>3</v>
          </cell>
          <cell r="G113">
            <v>1</v>
          </cell>
          <cell r="M113">
            <v>45</v>
          </cell>
          <cell r="P113">
            <v>50</v>
          </cell>
        </row>
        <row r="114">
          <cell r="A114" t="str">
            <v>TR-0009</v>
          </cell>
          <cell r="B114" t="str">
            <v>A304 트러블4종기획세트</v>
          </cell>
          <cell r="M114">
            <v>49</v>
          </cell>
          <cell r="P114">
            <v>49</v>
          </cell>
        </row>
        <row r="115">
          <cell r="A115" t="str">
            <v>TR-0011</v>
          </cell>
          <cell r="B115" t="str">
            <v>A304 클리어워시폼</v>
          </cell>
          <cell r="L115">
            <v>3</v>
          </cell>
          <cell r="P115">
            <v>3</v>
          </cell>
        </row>
        <row r="116">
          <cell r="A116" t="str">
            <v>TR-0012</v>
          </cell>
          <cell r="B116" t="str">
            <v>A304 클리어클렌징 크림</v>
          </cell>
          <cell r="G116">
            <v>27</v>
          </cell>
          <cell r="K116">
            <v>1</v>
          </cell>
          <cell r="M116">
            <v>2</v>
          </cell>
          <cell r="P116">
            <v>30</v>
          </cell>
        </row>
        <row r="117">
          <cell r="A117" t="str">
            <v>WH-0001</v>
          </cell>
          <cell r="B117" t="str">
            <v>Nano White 클레리파잉 소프너</v>
          </cell>
          <cell r="F117">
            <v>7</v>
          </cell>
          <cell r="G117">
            <v>19</v>
          </cell>
          <cell r="K117">
            <v>3</v>
          </cell>
          <cell r="M117">
            <v>28</v>
          </cell>
          <cell r="P117">
            <v>57</v>
          </cell>
        </row>
        <row r="118">
          <cell r="A118" t="str">
            <v>WH-0002</v>
          </cell>
          <cell r="B118" t="str">
            <v>Nano White 프로텍티브 플루이드</v>
          </cell>
          <cell r="F118">
            <v>8</v>
          </cell>
          <cell r="G118">
            <v>49</v>
          </cell>
          <cell r="K118">
            <v>2</v>
          </cell>
          <cell r="M118">
            <v>48</v>
          </cell>
          <cell r="P118">
            <v>107</v>
          </cell>
        </row>
        <row r="119">
          <cell r="A119" t="str">
            <v>WH-0003</v>
          </cell>
          <cell r="B119" t="str">
            <v>Nano White 인텐시브 데이크림</v>
          </cell>
          <cell r="F119">
            <v>3</v>
          </cell>
          <cell r="G119">
            <v>15</v>
          </cell>
          <cell r="K119">
            <v>3</v>
          </cell>
          <cell r="M119">
            <v>88</v>
          </cell>
          <cell r="P119">
            <v>109</v>
          </cell>
        </row>
        <row r="120">
          <cell r="A120" t="str">
            <v>WH-0004</v>
          </cell>
          <cell r="B120" t="str">
            <v>Nano White 리커버리 나이트크림</v>
          </cell>
          <cell r="M120">
            <v>94</v>
          </cell>
          <cell r="P120">
            <v>94</v>
          </cell>
        </row>
        <row r="121">
          <cell r="A121" t="str">
            <v>WH-0005</v>
          </cell>
          <cell r="B121" t="str">
            <v>Nano White 컨센트레이트 에센스</v>
          </cell>
          <cell r="F121">
            <v>2</v>
          </cell>
          <cell r="G121">
            <v>45</v>
          </cell>
          <cell r="H121">
            <v>3</v>
          </cell>
          <cell r="M121">
            <v>29</v>
          </cell>
          <cell r="P121">
            <v>79</v>
          </cell>
        </row>
        <row r="122">
          <cell r="A122" t="str">
            <v>WH-0006</v>
          </cell>
          <cell r="B122" t="str">
            <v>Nano White 스팟코렉터</v>
          </cell>
          <cell r="G122">
            <v>1</v>
          </cell>
          <cell r="J122">
            <v>6</v>
          </cell>
          <cell r="K122">
            <v>3</v>
          </cell>
          <cell r="M122">
            <v>72</v>
          </cell>
          <cell r="P122">
            <v>82</v>
          </cell>
        </row>
        <row r="123">
          <cell r="A123" t="str">
            <v>WH-0007</v>
          </cell>
          <cell r="B123" t="str">
            <v>Nano White UV멀티 액티브 크림</v>
          </cell>
          <cell r="F123">
            <v>6</v>
          </cell>
          <cell r="G123">
            <v>4</v>
          </cell>
          <cell r="K123">
            <v>19</v>
          </cell>
          <cell r="M123">
            <v>45</v>
          </cell>
          <cell r="P123">
            <v>74</v>
          </cell>
        </row>
        <row r="124">
          <cell r="A124" t="str">
            <v>WH-0008</v>
          </cell>
          <cell r="B124" t="str">
            <v>Nano White 썬스크린 리퀴드</v>
          </cell>
          <cell r="C124">
            <v>3</v>
          </cell>
          <cell r="F124">
            <v>137</v>
          </cell>
          <cell r="G124">
            <v>27</v>
          </cell>
          <cell r="M124">
            <v>12</v>
          </cell>
          <cell r="P124">
            <v>179</v>
          </cell>
        </row>
        <row r="125">
          <cell r="A125" t="str">
            <v>WH-0009</v>
          </cell>
          <cell r="B125" t="str">
            <v>Nano White 2종세트</v>
          </cell>
          <cell r="F125">
            <v>76</v>
          </cell>
          <cell r="G125">
            <v>22</v>
          </cell>
          <cell r="K125">
            <v>4</v>
          </cell>
          <cell r="M125">
            <v>24</v>
          </cell>
          <cell r="P125">
            <v>126</v>
          </cell>
        </row>
        <row r="126">
          <cell r="A126" t="str">
            <v>WH-0010</v>
          </cell>
          <cell r="B126" t="str">
            <v>Nano White 3종세트</v>
          </cell>
          <cell r="F126">
            <v>9</v>
          </cell>
          <cell r="G126">
            <v>47</v>
          </cell>
          <cell r="K126">
            <v>6</v>
          </cell>
          <cell r="M126">
            <v>17</v>
          </cell>
          <cell r="P126">
            <v>79</v>
          </cell>
        </row>
        <row r="127">
          <cell r="A127" t="str">
            <v>WH-0011</v>
          </cell>
          <cell r="B127" t="str">
            <v>Nano White 클리어 클린징 폼</v>
          </cell>
          <cell r="F127">
            <v>11</v>
          </cell>
          <cell r="G127">
            <v>35</v>
          </cell>
          <cell r="K127">
            <v>1</v>
          </cell>
          <cell r="M127">
            <v>42</v>
          </cell>
          <cell r="P127">
            <v>89</v>
          </cell>
        </row>
        <row r="128">
          <cell r="A128" t="str">
            <v>WH-0012</v>
          </cell>
          <cell r="B128" t="str">
            <v>Nano White 크리스탈 클린징 오일</v>
          </cell>
          <cell r="M128">
            <v>1</v>
          </cell>
          <cell r="P128">
            <v>1</v>
          </cell>
        </row>
        <row r="129">
          <cell r="A129" t="str">
            <v>WH-0013</v>
          </cell>
          <cell r="B129" t="str">
            <v>Nano White 딥 클린징 밤</v>
          </cell>
          <cell r="F129">
            <v>72</v>
          </cell>
          <cell r="G129">
            <v>11</v>
          </cell>
          <cell r="M129">
            <v>117</v>
          </cell>
          <cell r="P129">
            <v>200</v>
          </cell>
        </row>
        <row r="130">
          <cell r="A130" t="str">
            <v>WH-0014</v>
          </cell>
          <cell r="B130" t="str">
            <v>Nano White 클리어 필링젤</v>
          </cell>
          <cell r="G130">
            <v>34</v>
          </cell>
          <cell r="K130">
            <v>8</v>
          </cell>
          <cell r="M130">
            <v>16</v>
          </cell>
          <cell r="P130">
            <v>58</v>
          </cell>
        </row>
        <row r="131">
          <cell r="A131" t="str">
            <v>WH-0015</v>
          </cell>
          <cell r="B131" t="str">
            <v>Nano White 에센스(단품)</v>
          </cell>
          <cell r="G131">
            <v>5</v>
          </cell>
          <cell r="M131">
            <v>7</v>
          </cell>
          <cell r="P131">
            <v>12</v>
          </cell>
        </row>
        <row r="132">
          <cell r="A132" t="str">
            <v>WH-0016</v>
          </cell>
          <cell r="B132" t="str">
            <v>Nano White스팟코렉터(2*5ML)</v>
          </cell>
          <cell r="M132">
            <v>5</v>
          </cell>
          <cell r="P132">
            <v>5</v>
          </cell>
        </row>
        <row r="133">
          <cell r="A133" t="str">
            <v>WH-0019</v>
          </cell>
          <cell r="B133" t="str">
            <v>미백EX플래티늄아이크림</v>
          </cell>
          <cell r="F133">
            <v>186</v>
          </cell>
          <cell r="P133">
            <v>186</v>
          </cell>
        </row>
        <row r="134">
          <cell r="A134" t="str">
            <v>WH-0020</v>
          </cell>
          <cell r="B134" t="str">
            <v>미백EX플래티늄크림</v>
          </cell>
          <cell r="F134">
            <v>192</v>
          </cell>
          <cell r="P134">
            <v>192</v>
          </cell>
        </row>
        <row r="135">
          <cell r="A135" t="str">
            <v>WH-0021</v>
          </cell>
          <cell r="B135" t="str">
            <v>미백EX플래티늄에센스</v>
          </cell>
          <cell r="F135">
            <v>85</v>
          </cell>
          <cell r="P135">
            <v>85</v>
          </cell>
        </row>
        <row r="136">
          <cell r="A136" t="str">
            <v>WH-0022</v>
          </cell>
          <cell r="B136" t="str">
            <v>미백EX플래티늄2종세트</v>
          </cell>
          <cell r="F136">
            <v>144</v>
          </cell>
          <cell r="G136">
            <v>1</v>
          </cell>
          <cell r="P136">
            <v>145</v>
          </cell>
        </row>
        <row r="137">
          <cell r="A137" t="str">
            <v>WH-0025</v>
          </cell>
          <cell r="B137" t="str">
            <v>나노퍼팩트썬크림</v>
          </cell>
          <cell r="G137">
            <v>1</v>
          </cell>
          <cell r="M137">
            <v>1</v>
          </cell>
          <cell r="P137">
            <v>2</v>
          </cell>
        </row>
        <row r="138">
          <cell r="A138" t="str">
            <v>WH-0030</v>
          </cell>
          <cell r="B138" t="str">
            <v>UV나노퍼팩트썬크림</v>
          </cell>
          <cell r="C138">
            <v>52</v>
          </cell>
          <cell r="P138">
            <v>52</v>
          </cell>
        </row>
        <row r="139">
          <cell r="A139" t="str">
            <v>WR-0001</v>
          </cell>
          <cell r="B139" t="str">
            <v>링클 에센스 기획세트</v>
          </cell>
          <cell r="F139">
            <v>230</v>
          </cell>
          <cell r="G139">
            <v>87</v>
          </cell>
          <cell r="K139">
            <v>6</v>
          </cell>
          <cell r="P139">
            <v>323</v>
          </cell>
        </row>
        <row r="140">
          <cell r="A140" t="str">
            <v>WR-0002</v>
          </cell>
          <cell r="B140" t="str">
            <v>링클 아이크림기획세트</v>
          </cell>
          <cell r="C140">
            <v>54</v>
          </cell>
          <cell r="F140">
            <v>34</v>
          </cell>
          <cell r="G140">
            <v>48</v>
          </cell>
          <cell r="P140">
            <v>136</v>
          </cell>
        </row>
        <row r="141">
          <cell r="A141" t="str">
            <v>WR-0003</v>
          </cell>
          <cell r="B141" t="str">
            <v>링클 라인필러크림</v>
          </cell>
          <cell r="F141">
            <v>30</v>
          </cell>
          <cell r="G141">
            <v>176</v>
          </cell>
          <cell r="K141">
            <v>11</v>
          </cell>
          <cell r="P141">
            <v>217</v>
          </cell>
        </row>
        <row r="142">
          <cell r="A142" t="str">
            <v>WR-0004</v>
          </cell>
          <cell r="B142" t="str">
            <v>링클스페셜2종세트(에센스+크림)</v>
          </cell>
          <cell r="F142">
            <v>11</v>
          </cell>
          <cell r="G142">
            <v>68</v>
          </cell>
          <cell r="P142">
            <v>79</v>
          </cell>
        </row>
      </sheetData>
      <sheetData sheetId="3" refreshError="1">
        <row r="3">
          <cell r="A3" t="str">
            <v>09</v>
          </cell>
          <cell r="B3" t="str">
            <v>미백스팟콜렉터기획(아이크림포함)</v>
          </cell>
          <cell r="C3">
            <v>89</v>
          </cell>
        </row>
        <row r="4">
          <cell r="A4" t="str">
            <v>12</v>
          </cell>
          <cell r="B4" t="str">
            <v>아토포뮬라스페셜기획세트(워싱젤+워싱젤)</v>
          </cell>
          <cell r="C4">
            <v>242</v>
          </cell>
        </row>
        <row r="5">
          <cell r="A5" t="str">
            <v>13</v>
          </cell>
          <cell r="B5" t="str">
            <v>나노나이트크림스페셜기획세트</v>
          </cell>
          <cell r="C5">
            <v>371</v>
          </cell>
        </row>
        <row r="6">
          <cell r="A6" t="str">
            <v>15</v>
          </cell>
          <cell r="B6" t="str">
            <v>MAGIC REPAIR세럼스페셜기획세트</v>
          </cell>
          <cell r="C6">
            <v>244</v>
          </cell>
        </row>
        <row r="7">
          <cell r="A7" t="str">
            <v>17</v>
          </cell>
          <cell r="B7" t="str">
            <v>나비썬리퀴드기획세트-SK밤색(단)</v>
          </cell>
          <cell r="C7">
            <v>1194</v>
          </cell>
        </row>
        <row r="8">
          <cell r="A8" t="str">
            <v>19</v>
          </cell>
          <cell r="B8" t="str">
            <v>나비(옴므)기획세트-SK청색(단)</v>
          </cell>
          <cell r="C8">
            <v>10</v>
          </cell>
        </row>
        <row r="9">
          <cell r="A9" t="str">
            <v>AS-0001</v>
          </cell>
          <cell r="B9" t="str">
            <v>SK카라옴므트링클후레쉬스킨</v>
          </cell>
          <cell r="C9">
            <v>1</v>
          </cell>
        </row>
        <row r="10">
          <cell r="A10" t="str">
            <v>AS-0002</v>
          </cell>
          <cell r="B10" t="str">
            <v>SK카라옴므링클젤에멀젼</v>
          </cell>
          <cell r="C10">
            <v>399</v>
          </cell>
        </row>
        <row r="11">
          <cell r="A11" t="str">
            <v>AS-0003</v>
          </cell>
          <cell r="B11" t="str">
            <v>SK카라옴므화이트닝크림에센스</v>
          </cell>
          <cell r="C11">
            <v>695</v>
          </cell>
        </row>
        <row r="12">
          <cell r="A12" t="str">
            <v>AS-0007</v>
          </cell>
          <cell r="B12" t="str">
            <v>케어카라옴므UV프로텍션로션</v>
          </cell>
          <cell r="C12">
            <v>2536</v>
          </cell>
        </row>
        <row r="13">
          <cell r="A13" t="str">
            <v>AS-0008</v>
          </cell>
          <cell r="B13" t="str">
            <v>케어카라옴므링클2종세트</v>
          </cell>
          <cell r="C13">
            <v>861</v>
          </cell>
        </row>
        <row r="14">
          <cell r="A14" t="str">
            <v>AS-0009</v>
          </cell>
          <cell r="B14" t="str">
            <v>케어카라옴므후레쉬스킨</v>
          </cell>
          <cell r="C14">
            <v>2748</v>
          </cell>
        </row>
        <row r="15">
          <cell r="A15" t="str">
            <v>AS-0010</v>
          </cell>
          <cell r="B15" t="str">
            <v>케어카라옴므썬크림기획세트</v>
          </cell>
          <cell r="C15">
            <v>13</v>
          </cell>
        </row>
        <row r="16">
          <cell r="A16" t="str">
            <v>AS-0011</v>
          </cell>
          <cell r="B16" t="str">
            <v>케어카라옴므화이트닝2종세트</v>
          </cell>
          <cell r="C16">
            <v>1872</v>
          </cell>
        </row>
        <row r="17">
          <cell r="A17" t="str">
            <v>AT-0003</v>
          </cell>
          <cell r="B17" t="str">
            <v>SK카라 아토 로션</v>
          </cell>
          <cell r="C17">
            <v>613</v>
          </cell>
        </row>
        <row r="18">
          <cell r="A18" t="str">
            <v>AT-0004</v>
          </cell>
          <cell r="B18" t="str">
            <v>SK카라 아토 크림</v>
          </cell>
          <cell r="C18">
            <v>25</v>
          </cell>
        </row>
        <row r="19">
          <cell r="A19" t="str">
            <v>BA-0006</v>
          </cell>
          <cell r="B19" t="str">
            <v>SK카라 카모마일 마일드썬크림</v>
          </cell>
          <cell r="C19">
            <v>1</v>
          </cell>
        </row>
        <row r="20">
          <cell r="A20" t="str">
            <v>BA-0008</v>
          </cell>
          <cell r="B20" t="str">
            <v>케러카라베이비썬크림기획세트</v>
          </cell>
          <cell r="C20">
            <v>2</v>
          </cell>
        </row>
        <row r="21">
          <cell r="A21" t="str">
            <v>BL-0002</v>
          </cell>
          <cell r="B21" t="str">
            <v>SK카라 블루 로션</v>
          </cell>
          <cell r="C21">
            <v>1</v>
          </cell>
        </row>
        <row r="22">
          <cell r="A22" t="str">
            <v>BL-0003</v>
          </cell>
          <cell r="B22" t="str">
            <v>SK카라 블루 2종세트</v>
          </cell>
          <cell r="C22">
            <v>1</v>
          </cell>
        </row>
        <row r="23">
          <cell r="A23" t="str">
            <v>BL-0004</v>
          </cell>
          <cell r="B23" t="str">
            <v>NEW블루밸런싱스킨(신형)</v>
          </cell>
          <cell r="C23">
            <v>148</v>
          </cell>
        </row>
        <row r="24">
          <cell r="A24" t="str">
            <v>BL-0008</v>
          </cell>
          <cell r="B24" t="str">
            <v>케어카라블루로션</v>
          </cell>
          <cell r="C24">
            <v>1009</v>
          </cell>
        </row>
        <row r="25">
          <cell r="A25" t="str">
            <v>BL-0009</v>
          </cell>
          <cell r="B25" t="str">
            <v>케어카라블루2종세트</v>
          </cell>
          <cell r="C25">
            <v>2176</v>
          </cell>
        </row>
        <row r="26">
          <cell r="A26" t="str">
            <v>BS-0001</v>
          </cell>
          <cell r="B26" t="str">
            <v>SK카라 후레시바디워시</v>
          </cell>
          <cell r="C26">
            <v>115</v>
          </cell>
        </row>
        <row r="27">
          <cell r="A27" t="str">
            <v>BS-0002</v>
          </cell>
          <cell r="B27" t="str">
            <v>SK카라 후레시바디로션</v>
          </cell>
          <cell r="C27">
            <v>971</v>
          </cell>
        </row>
        <row r="28">
          <cell r="A28" t="str">
            <v>HC-0002</v>
          </cell>
          <cell r="B28" t="str">
            <v>핸드크림(나비)</v>
          </cell>
          <cell r="C28">
            <v>3040</v>
          </cell>
        </row>
        <row r="29">
          <cell r="A29" t="str">
            <v>MO-0001</v>
          </cell>
          <cell r="B29" t="str">
            <v>SK카라 모이스쳐 소프너</v>
          </cell>
          <cell r="C29">
            <v>384</v>
          </cell>
        </row>
        <row r="30">
          <cell r="A30" t="str">
            <v>MO-0002</v>
          </cell>
          <cell r="B30" t="str">
            <v>SK카라 모이스쳐 플루이드</v>
          </cell>
          <cell r="C30">
            <v>68</v>
          </cell>
        </row>
        <row r="31">
          <cell r="A31" t="str">
            <v>MO-0006</v>
          </cell>
          <cell r="B31" t="str">
            <v>SK카라 모이스쳐 3종세트</v>
          </cell>
          <cell r="C31">
            <v>3</v>
          </cell>
        </row>
        <row r="32">
          <cell r="A32" t="str">
            <v>MO-0007</v>
          </cell>
          <cell r="B32" t="str">
            <v>케어카라모이스쳐2종세트-연우</v>
          </cell>
          <cell r="C32">
            <v>1909</v>
          </cell>
        </row>
        <row r="33">
          <cell r="A33" t="str">
            <v>MO-0008</v>
          </cell>
          <cell r="B33" t="str">
            <v>케어카라모이스쳐3종세트-연우</v>
          </cell>
          <cell r="C33">
            <v>1230</v>
          </cell>
        </row>
        <row r="34">
          <cell r="A34" t="str">
            <v>MO-0009</v>
          </cell>
          <cell r="B34" t="str">
            <v>케어카라모이스쳐플루이드-연우</v>
          </cell>
          <cell r="C34">
            <v>634</v>
          </cell>
        </row>
        <row r="35">
          <cell r="A35" t="str">
            <v>MO-0011</v>
          </cell>
          <cell r="B35" t="str">
            <v>케어카라 모이스쳐에센스-연우</v>
          </cell>
          <cell r="C35">
            <v>1412</v>
          </cell>
        </row>
        <row r="36">
          <cell r="A36" t="str">
            <v>MO-0012</v>
          </cell>
          <cell r="B36" t="str">
            <v>케어카라모이스쳐크림-연우</v>
          </cell>
          <cell r="C36">
            <v>897</v>
          </cell>
        </row>
        <row r="37">
          <cell r="A37" t="str">
            <v>MO-0013</v>
          </cell>
          <cell r="B37" t="str">
            <v>케어카라 모이스처소프너</v>
          </cell>
          <cell r="C37">
            <v>468</v>
          </cell>
        </row>
        <row r="38">
          <cell r="A38" t="str">
            <v>MS-0001</v>
          </cell>
          <cell r="B38" t="str">
            <v>SK카라 데톡스 로즈 폼클렌져</v>
          </cell>
          <cell r="C38">
            <v>6</v>
          </cell>
        </row>
        <row r="39">
          <cell r="A39" t="str">
            <v>MS-0002</v>
          </cell>
          <cell r="B39" t="str">
            <v>SK카라 로즈 캡슐 소프너</v>
          </cell>
          <cell r="C39">
            <v>10</v>
          </cell>
        </row>
        <row r="40">
          <cell r="A40" t="str">
            <v>MS-0003</v>
          </cell>
          <cell r="B40" t="str">
            <v>SK카라 로즈 젤 플루이드</v>
          </cell>
          <cell r="C40">
            <v>76</v>
          </cell>
        </row>
        <row r="41">
          <cell r="A41" t="str">
            <v>MS-0004</v>
          </cell>
          <cell r="B41" t="str">
            <v>SK카라 로즈 워터드롭 에센스</v>
          </cell>
          <cell r="C41">
            <v>517</v>
          </cell>
        </row>
        <row r="42">
          <cell r="A42" t="str">
            <v>MS-0005</v>
          </cell>
          <cell r="B42" t="str">
            <v>SK카라 로즈 마쉬멜로우 크림</v>
          </cell>
          <cell r="C42">
            <v>312</v>
          </cell>
        </row>
        <row r="43">
          <cell r="A43" t="str">
            <v>MS-0006</v>
          </cell>
          <cell r="B43" t="str">
            <v>SK카라 모이스춰 로즈2종세트</v>
          </cell>
          <cell r="C43">
            <v>14</v>
          </cell>
        </row>
        <row r="44">
          <cell r="A44" t="str">
            <v>MS-0007</v>
          </cell>
          <cell r="B44" t="str">
            <v>SK카라 모이스춰 로즈3종세트</v>
          </cell>
          <cell r="C44">
            <v>1</v>
          </cell>
        </row>
        <row r="45">
          <cell r="A45" t="str">
            <v>MS-0008</v>
          </cell>
          <cell r="B45" t="str">
            <v>SK카라 로즈클렌징크림</v>
          </cell>
          <cell r="C45">
            <v>220</v>
          </cell>
        </row>
        <row r="46">
          <cell r="A46" t="str">
            <v>MS-0011</v>
          </cell>
          <cell r="B46" t="str">
            <v>SK카라 로즈 클렌징오일</v>
          </cell>
          <cell r="C46">
            <v>75</v>
          </cell>
        </row>
        <row r="47">
          <cell r="A47" t="str">
            <v>MS-0014</v>
          </cell>
          <cell r="B47" t="str">
            <v>케어카라 로즈 캡슐 소프너</v>
          </cell>
          <cell r="C47">
            <v>1684</v>
          </cell>
        </row>
        <row r="48">
          <cell r="A48" t="str">
            <v>MS-0015</v>
          </cell>
          <cell r="B48" t="str">
            <v>케어카라 로즈플루이드</v>
          </cell>
          <cell r="C48">
            <v>1095</v>
          </cell>
        </row>
        <row r="49">
          <cell r="A49" t="str">
            <v>MS-0016</v>
          </cell>
          <cell r="B49" t="str">
            <v>케어카라모이스처로즈폼클렌져</v>
          </cell>
          <cell r="C49">
            <v>228</v>
          </cell>
        </row>
        <row r="50">
          <cell r="A50" t="str">
            <v>MS-0017</v>
          </cell>
          <cell r="B50" t="str">
            <v>케어카라 로즈워터에센스</v>
          </cell>
          <cell r="C50">
            <v>1532</v>
          </cell>
        </row>
        <row r="51">
          <cell r="A51" t="str">
            <v>MS-0018</v>
          </cell>
          <cell r="B51" t="str">
            <v>케어카라 로즈2종세트</v>
          </cell>
          <cell r="C51">
            <v>2998</v>
          </cell>
        </row>
        <row r="52">
          <cell r="A52" t="str">
            <v>MS-0019</v>
          </cell>
          <cell r="B52" t="str">
            <v>케어카라 로즈3종세트</v>
          </cell>
          <cell r="C52">
            <v>2894</v>
          </cell>
        </row>
        <row r="53">
          <cell r="A53" t="str">
            <v>MS-0020</v>
          </cell>
          <cell r="B53" t="str">
            <v>케어카라 로즈클렌징크림</v>
          </cell>
          <cell r="C53">
            <v>18</v>
          </cell>
        </row>
        <row r="54">
          <cell r="A54" t="str">
            <v>MS-0021</v>
          </cell>
          <cell r="B54" t="str">
            <v>케어카라로즈마쉬멜로우크림</v>
          </cell>
          <cell r="C54">
            <v>331</v>
          </cell>
        </row>
        <row r="55">
          <cell r="A55" t="str">
            <v>MS-0022</v>
          </cell>
          <cell r="B55" t="str">
            <v>케어카라로즈클렌징오일</v>
          </cell>
          <cell r="C55">
            <v>1204</v>
          </cell>
        </row>
        <row r="56">
          <cell r="A56" t="str">
            <v>MS-0023</v>
          </cell>
          <cell r="B56" t="str">
            <v>케어카라로즈필링젤</v>
          </cell>
          <cell r="C56">
            <v>2015</v>
          </cell>
        </row>
        <row r="57">
          <cell r="A57" t="str">
            <v>MS-0024</v>
          </cell>
          <cell r="B57" t="str">
            <v>케어카라로즈폼기획세트1+1</v>
          </cell>
          <cell r="C57">
            <v>21</v>
          </cell>
        </row>
        <row r="58">
          <cell r="A58" t="str">
            <v>MU-3001</v>
          </cell>
          <cell r="B58" t="str">
            <v>SK카라 블래미쉬 밤</v>
          </cell>
          <cell r="C58">
            <v>1</v>
          </cell>
        </row>
        <row r="59">
          <cell r="A59" t="str">
            <v>MU-3002</v>
          </cell>
          <cell r="B59" t="str">
            <v>SK카라 셀러브러티 마스카라</v>
          </cell>
          <cell r="C59">
            <v>939</v>
          </cell>
        </row>
        <row r="60">
          <cell r="A60" t="str">
            <v>MU-3004</v>
          </cell>
          <cell r="B60" t="str">
            <v>케어카라 셀러브러티 아이라이너</v>
          </cell>
          <cell r="C60">
            <v>1648</v>
          </cell>
        </row>
        <row r="61">
          <cell r="A61" t="str">
            <v>MU-5000</v>
          </cell>
          <cell r="B61" t="str">
            <v>SK카라브러시샤인메이크업베이스</v>
          </cell>
          <cell r="C61">
            <v>2080</v>
          </cell>
        </row>
        <row r="62">
          <cell r="A62" t="str">
            <v>MU-5001</v>
          </cell>
          <cell r="B62" t="str">
            <v>SK카라브러시샤인화운데이션21호</v>
          </cell>
          <cell r="C62">
            <v>573</v>
          </cell>
        </row>
        <row r="63">
          <cell r="A63" t="str">
            <v>MU-5002</v>
          </cell>
          <cell r="B63" t="str">
            <v>SK카라브러시샤인화운데이션23호</v>
          </cell>
          <cell r="C63">
            <v>458</v>
          </cell>
        </row>
        <row r="64">
          <cell r="A64" t="str">
            <v>MU-5004</v>
          </cell>
          <cell r="B64" t="str">
            <v>SK카라 샤인 컨트롤 팩트23호</v>
          </cell>
          <cell r="C64">
            <v>392</v>
          </cell>
        </row>
        <row r="65">
          <cell r="A65" t="str">
            <v>MU-5005</v>
          </cell>
          <cell r="B65" t="str">
            <v>SK카라 샤인 투웨이케익21호</v>
          </cell>
          <cell r="C65">
            <v>1424</v>
          </cell>
        </row>
        <row r="66">
          <cell r="A66" t="str">
            <v>MU-5006</v>
          </cell>
          <cell r="B66" t="str">
            <v>SK카라 샤인 투웨이케익23호</v>
          </cell>
          <cell r="C66">
            <v>30</v>
          </cell>
        </row>
        <row r="67">
          <cell r="A67" t="str">
            <v>MU-5007</v>
          </cell>
          <cell r="B67" t="str">
            <v>SK카라 아이앤립 리무버</v>
          </cell>
          <cell r="C67">
            <v>11</v>
          </cell>
        </row>
        <row r="68">
          <cell r="A68" t="str">
            <v>MU-5011</v>
          </cell>
          <cell r="B68" t="str">
            <v>SK카라화이트라이트쉬머링베이스</v>
          </cell>
          <cell r="C68">
            <v>190</v>
          </cell>
        </row>
        <row r="69">
          <cell r="A69" t="str">
            <v>MU-5013</v>
          </cell>
          <cell r="B69" t="str">
            <v>SK 화이트라이트화운데이션23호</v>
          </cell>
          <cell r="C69">
            <v>1</v>
          </cell>
        </row>
        <row r="70">
          <cell r="A70" t="str">
            <v>MU-5015</v>
          </cell>
          <cell r="B70" t="str">
            <v>SK카라 화이트라이트팩트23호</v>
          </cell>
          <cell r="C70">
            <v>146</v>
          </cell>
        </row>
        <row r="71">
          <cell r="A71" t="str">
            <v>MU-5016</v>
          </cell>
          <cell r="B71" t="str">
            <v>SK 화이트라이트투웨이케익21호</v>
          </cell>
          <cell r="C71">
            <v>2</v>
          </cell>
        </row>
        <row r="72">
          <cell r="A72" t="str">
            <v>MU-5018</v>
          </cell>
          <cell r="B72" t="str">
            <v>SK 화이트라이트트리플비비크림</v>
          </cell>
          <cell r="C72">
            <v>1</v>
          </cell>
        </row>
        <row r="73">
          <cell r="A73" t="str">
            <v>MU-5019</v>
          </cell>
          <cell r="B73" t="str">
            <v>SK카라 화이트라이트비비썬밤</v>
          </cell>
          <cell r="C73">
            <v>85</v>
          </cell>
        </row>
        <row r="74">
          <cell r="A74" t="str">
            <v>MU-5020</v>
          </cell>
          <cell r="B74" t="str">
            <v>화이트라이트 썬밤기획세트</v>
          </cell>
          <cell r="C74">
            <v>4</v>
          </cell>
        </row>
        <row r="75">
          <cell r="A75" t="str">
            <v>MU-5021</v>
          </cell>
          <cell r="B75" t="str">
            <v>케어카라화이트라이트팩트21호</v>
          </cell>
          <cell r="C75">
            <v>198</v>
          </cell>
        </row>
        <row r="76">
          <cell r="A76" t="str">
            <v>MU-5022</v>
          </cell>
          <cell r="B76" t="str">
            <v>케어카라화이트라이트팩트23호</v>
          </cell>
          <cell r="C76">
            <v>1505</v>
          </cell>
        </row>
        <row r="77">
          <cell r="A77" t="str">
            <v>MU-5023</v>
          </cell>
          <cell r="B77" t="str">
            <v>케어카라화이트라이트투웨이21호</v>
          </cell>
          <cell r="C77">
            <v>1252</v>
          </cell>
        </row>
        <row r="78">
          <cell r="A78" t="str">
            <v>MU-5024</v>
          </cell>
          <cell r="B78" t="str">
            <v>케어카라화이트라이트투웨이23호</v>
          </cell>
          <cell r="C78">
            <v>1250</v>
          </cell>
        </row>
        <row r="79">
          <cell r="A79" t="str">
            <v>MU-5025</v>
          </cell>
          <cell r="B79" t="str">
            <v>케어카라화이트화운데이션21호</v>
          </cell>
          <cell r="C79">
            <v>383</v>
          </cell>
        </row>
        <row r="80">
          <cell r="A80" t="str">
            <v>MU-5026</v>
          </cell>
          <cell r="B80" t="str">
            <v>케어카라화이트화운데이션23호</v>
          </cell>
          <cell r="C80">
            <v>453</v>
          </cell>
        </row>
        <row r="81">
          <cell r="A81" t="str">
            <v>MU-5027</v>
          </cell>
          <cell r="B81" t="str">
            <v>케어카라라이트메이크업베이스</v>
          </cell>
          <cell r="C81">
            <v>7</v>
          </cell>
        </row>
        <row r="82">
          <cell r="A82" t="str">
            <v>MU-5029</v>
          </cell>
          <cell r="B82" t="str">
            <v>케어카라화이트라이트비비크림</v>
          </cell>
          <cell r="C82">
            <v>800</v>
          </cell>
        </row>
        <row r="83">
          <cell r="A83" t="str">
            <v>MU-5030</v>
          </cell>
          <cell r="B83" t="str">
            <v>케어카라 아이앤립 리무버</v>
          </cell>
          <cell r="C83">
            <v>671</v>
          </cell>
        </row>
        <row r="84">
          <cell r="A84" t="str">
            <v>MU-5031</v>
          </cell>
          <cell r="B84" t="str">
            <v>케어카라화이트라이트팩트21호-리필</v>
          </cell>
          <cell r="C84">
            <v>2835</v>
          </cell>
        </row>
        <row r="85">
          <cell r="A85" t="str">
            <v>MU-5032</v>
          </cell>
          <cell r="B85" t="str">
            <v>케어카라화이트라이트팩트23호-리필</v>
          </cell>
          <cell r="C85">
            <v>2758</v>
          </cell>
        </row>
        <row r="86">
          <cell r="A86" t="str">
            <v>MU-5033</v>
          </cell>
          <cell r="B86" t="str">
            <v>케어카라라이트투웨이케익21-리필</v>
          </cell>
          <cell r="C86">
            <v>2665</v>
          </cell>
        </row>
        <row r="87">
          <cell r="A87" t="str">
            <v>MU-5034</v>
          </cell>
          <cell r="B87" t="str">
            <v>케어카라라이트투웨이케익23호-리필</v>
          </cell>
          <cell r="C87">
            <v>2764</v>
          </cell>
        </row>
        <row r="88">
          <cell r="A88" t="str">
            <v>MU-5035</v>
          </cell>
          <cell r="B88" t="str">
            <v>케어카라볼륨앤롱래쉬마스카라</v>
          </cell>
          <cell r="C88">
            <v>2299</v>
          </cell>
        </row>
        <row r="89">
          <cell r="A89" t="str">
            <v>PO00003</v>
          </cell>
          <cell r="B89" t="str">
            <v>SK카라 포어타이트닝 아쿠아크림</v>
          </cell>
          <cell r="C89">
            <v>1</v>
          </cell>
        </row>
        <row r="90">
          <cell r="A90" t="str">
            <v>PO-0006</v>
          </cell>
          <cell r="B90" t="str">
            <v>케어카라모공에센스-연우</v>
          </cell>
          <cell r="C90">
            <v>719</v>
          </cell>
        </row>
        <row r="91">
          <cell r="A91" t="str">
            <v>PO-0007</v>
          </cell>
          <cell r="B91" t="str">
            <v>케어카라모공아쿠아크림-연우</v>
          </cell>
          <cell r="C91">
            <v>1254</v>
          </cell>
        </row>
        <row r="92">
          <cell r="A92" t="str">
            <v>PO-0008</v>
          </cell>
          <cell r="B92" t="str">
            <v>케어카라모공아스트린젠트-연우</v>
          </cell>
          <cell r="C92">
            <v>678</v>
          </cell>
        </row>
        <row r="93">
          <cell r="A93" t="str">
            <v>PS-0001</v>
          </cell>
          <cell r="B93" t="str">
            <v>SK카라 그레이프씨드 젤클렌저</v>
          </cell>
          <cell r="C93">
            <v>531</v>
          </cell>
        </row>
        <row r="94">
          <cell r="A94" t="str">
            <v>PS-0002</v>
          </cell>
          <cell r="B94" t="str">
            <v>SK카라 그레이프씨드 토너</v>
          </cell>
          <cell r="C94">
            <v>296</v>
          </cell>
        </row>
        <row r="95">
          <cell r="A95" t="str">
            <v>PS-0003</v>
          </cell>
          <cell r="B95" t="str">
            <v>SK카라 그레이프씨드 젤플루이드</v>
          </cell>
          <cell r="C95">
            <v>727</v>
          </cell>
        </row>
        <row r="96">
          <cell r="A96" t="str">
            <v>PS-0004</v>
          </cell>
          <cell r="B96" t="str">
            <v>SK카라 그레이프씨드 젤리에센스</v>
          </cell>
          <cell r="C96">
            <v>205</v>
          </cell>
        </row>
        <row r="97">
          <cell r="A97" t="str">
            <v>PS-0005</v>
          </cell>
          <cell r="B97" t="str">
            <v>SK카라 그레이프씨드 워터크림</v>
          </cell>
          <cell r="C97">
            <v>421</v>
          </cell>
        </row>
        <row r="98">
          <cell r="A98" t="str">
            <v>PS-0007</v>
          </cell>
          <cell r="B98" t="str">
            <v>SK카라 그레이프씨드 3종세트</v>
          </cell>
          <cell r="C98">
            <v>460</v>
          </cell>
        </row>
        <row r="99">
          <cell r="A99" t="str">
            <v>PS-0013</v>
          </cell>
          <cell r="B99" t="str">
            <v>케어카라 그레이프 젤클렌저</v>
          </cell>
          <cell r="C99">
            <v>1018</v>
          </cell>
        </row>
        <row r="100">
          <cell r="A100" t="str">
            <v>PS-0014</v>
          </cell>
          <cell r="B100" t="str">
            <v>케어카라 그레이프 토너</v>
          </cell>
          <cell r="C100">
            <v>373</v>
          </cell>
        </row>
        <row r="101">
          <cell r="A101" t="str">
            <v>PS-0015</v>
          </cell>
          <cell r="B101" t="str">
            <v>케어카라 그레이프 젤플루이드</v>
          </cell>
          <cell r="C101">
            <v>711</v>
          </cell>
        </row>
        <row r="102">
          <cell r="A102" t="str">
            <v>PS-0016</v>
          </cell>
          <cell r="B102" t="str">
            <v>케어카라 그레이프 젤리에센스</v>
          </cell>
          <cell r="C102">
            <v>522</v>
          </cell>
        </row>
        <row r="103">
          <cell r="A103" t="str">
            <v>PS-0017</v>
          </cell>
          <cell r="B103" t="str">
            <v>케어카라 그레이프 워터크림</v>
          </cell>
          <cell r="C103">
            <v>1930</v>
          </cell>
        </row>
        <row r="104">
          <cell r="A104" t="str">
            <v>PS-0018</v>
          </cell>
          <cell r="B104" t="str">
            <v>케어카라 그레이프 2종</v>
          </cell>
          <cell r="C104">
            <v>1324</v>
          </cell>
        </row>
        <row r="105">
          <cell r="A105" t="str">
            <v>PS-0019</v>
          </cell>
          <cell r="B105" t="str">
            <v>케어카라그레이프젤클렌져기획</v>
          </cell>
          <cell r="C105">
            <v>6</v>
          </cell>
        </row>
        <row r="106">
          <cell r="A106" t="str">
            <v>RE-0001</v>
          </cell>
          <cell r="B106" t="str">
            <v>SK카라 매직 리페어 스킨</v>
          </cell>
          <cell r="C106">
            <v>25</v>
          </cell>
        </row>
        <row r="107">
          <cell r="A107" t="str">
            <v>RE-0003</v>
          </cell>
          <cell r="B107" t="str">
            <v>SK카라 매직 리페어 기초2종세트</v>
          </cell>
          <cell r="C107">
            <v>3</v>
          </cell>
        </row>
        <row r="108">
          <cell r="A108" t="str">
            <v>RE-0004</v>
          </cell>
          <cell r="B108" t="str">
            <v>SK카라 매직 리페어 세럼</v>
          </cell>
          <cell r="C108">
            <v>1177</v>
          </cell>
        </row>
        <row r="109">
          <cell r="A109" t="str">
            <v>RE-0005</v>
          </cell>
          <cell r="B109" t="str">
            <v>SK카라 매직 리페어 크림</v>
          </cell>
          <cell r="C109">
            <v>4</v>
          </cell>
        </row>
        <row r="110">
          <cell r="A110" t="str">
            <v>RE-0006</v>
          </cell>
          <cell r="B110" t="str">
            <v>SK카라 매직리페어스페셜2종세트</v>
          </cell>
          <cell r="C110">
            <v>225</v>
          </cell>
        </row>
        <row r="111">
          <cell r="A111" t="str">
            <v>RE-0008</v>
          </cell>
          <cell r="B111" t="str">
            <v>SK카라 탄력 5종세트</v>
          </cell>
          <cell r="C111">
            <v>357</v>
          </cell>
        </row>
        <row r="112">
          <cell r="A112" t="str">
            <v>RE-0010</v>
          </cell>
          <cell r="B112" t="str">
            <v>케어카라매직리페어스킨</v>
          </cell>
          <cell r="C112">
            <v>949</v>
          </cell>
        </row>
        <row r="113">
          <cell r="A113" t="str">
            <v>RE-0011</v>
          </cell>
          <cell r="B113" t="str">
            <v>케어카라매직리페어로션</v>
          </cell>
          <cell r="C113">
            <v>989</v>
          </cell>
        </row>
        <row r="114">
          <cell r="A114" t="str">
            <v>RE-0012</v>
          </cell>
          <cell r="B114" t="str">
            <v>케어카라 매직리페어세럼</v>
          </cell>
          <cell r="C114">
            <v>903</v>
          </cell>
        </row>
        <row r="115">
          <cell r="A115" t="str">
            <v>RE-0013</v>
          </cell>
          <cell r="B115" t="str">
            <v>케어카라매직리페어징코크림</v>
          </cell>
          <cell r="C115">
            <v>972</v>
          </cell>
        </row>
        <row r="116">
          <cell r="A116" t="str">
            <v>RE-0014</v>
          </cell>
          <cell r="B116" t="str">
            <v>케어카라 매직리페어아이크림</v>
          </cell>
          <cell r="C116">
            <v>375</v>
          </cell>
        </row>
        <row r="117">
          <cell r="A117" t="str">
            <v>RE-0016</v>
          </cell>
          <cell r="B117" t="str">
            <v>케어카라 매직리페어스페셜2종</v>
          </cell>
          <cell r="C117">
            <v>1388</v>
          </cell>
        </row>
        <row r="118">
          <cell r="A118" t="str">
            <v>RE-0017</v>
          </cell>
          <cell r="B118" t="str">
            <v>케어카라 매직리페어5종세트</v>
          </cell>
          <cell r="C118">
            <v>1335</v>
          </cell>
        </row>
        <row r="119">
          <cell r="A119" t="str">
            <v>TR-0001</v>
          </cell>
          <cell r="B119" t="str">
            <v>SK카라 A304EX 워시폼(150ml)</v>
          </cell>
          <cell r="C119">
            <v>359</v>
          </cell>
        </row>
        <row r="120">
          <cell r="A120" t="str">
            <v>TR-0003</v>
          </cell>
          <cell r="B120" t="str">
            <v>SK카라 A304EX 에멀젼</v>
          </cell>
          <cell r="C120">
            <v>165</v>
          </cell>
        </row>
        <row r="121">
          <cell r="A121" t="str">
            <v>TR-0004</v>
          </cell>
          <cell r="B121" t="str">
            <v>SK카라 A304EX 스킨</v>
          </cell>
          <cell r="C121">
            <v>15</v>
          </cell>
        </row>
        <row r="122">
          <cell r="A122" t="str">
            <v>TR-0005</v>
          </cell>
          <cell r="B122" t="str">
            <v>SK카라 A304EX 컨트롤크림</v>
          </cell>
          <cell r="C122">
            <v>1361</v>
          </cell>
        </row>
        <row r="123">
          <cell r="A123" t="str">
            <v>TR-0006</v>
          </cell>
          <cell r="B123" t="str">
            <v>SK카라 A304EX 에센스</v>
          </cell>
          <cell r="C123">
            <v>578</v>
          </cell>
        </row>
        <row r="124">
          <cell r="A124" t="str">
            <v>TR-0013</v>
          </cell>
          <cell r="B124" t="str">
            <v>카라에이솔루션 수딩토너-연우</v>
          </cell>
          <cell r="C124">
            <v>592</v>
          </cell>
        </row>
        <row r="125">
          <cell r="A125" t="str">
            <v>TR-0014</v>
          </cell>
          <cell r="B125" t="str">
            <v>카라에이솔루션에멀젼-연우</v>
          </cell>
          <cell r="C125">
            <v>593</v>
          </cell>
        </row>
        <row r="126">
          <cell r="A126" t="str">
            <v>TR-0015</v>
          </cell>
          <cell r="B126" t="str">
            <v>카라에이솔루션 에센스-연우</v>
          </cell>
          <cell r="C126">
            <v>1598</v>
          </cell>
        </row>
        <row r="127">
          <cell r="A127" t="str">
            <v>TR-0016</v>
          </cell>
          <cell r="B127" t="str">
            <v>카라에이솔루션 컨트롤크림-연우</v>
          </cell>
          <cell r="C127">
            <v>2748</v>
          </cell>
        </row>
        <row r="128">
          <cell r="A128" t="str">
            <v>TR-0017</v>
          </cell>
          <cell r="B128" t="str">
            <v>카라에이솔루션 폼클렌져-연우</v>
          </cell>
          <cell r="C128">
            <v>2409</v>
          </cell>
        </row>
        <row r="129">
          <cell r="A129" t="str">
            <v>TR-0018</v>
          </cell>
          <cell r="B129" t="str">
            <v>카라에이솔루션 2종세트-연우</v>
          </cell>
          <cell r="C129">
            <v>1766</v>
          </cell>
        </row>
        <row r="130">
          <cell r="A130" t="str">
            <v>TR-0019</v>
          </cell>
          <cell r="B130" t="str">
            <v>케어카라A304EX 2종세트</v>
          </cell>
          <cell r="C130">
            <v>1492</v>
          </cell>
        </row>
        <row r="131">
          <cell r="A131" t="str">
            <v>TR-0020</v>
          </cell>
          <cell r="B131" t="str">
            <v>케어카라A304EX 스킨</v>
          </cell>
          <cell r="C131">
            <v>615</v>
          </cell>
        </row>
        <row r="132">
          <cell r="A132" t="str">
            <v>WF-0001</v>
          </cell>
          <cell r="B132" t="str">
            <v>SK카라 워시폼기획세트(특판)</v>
          </cell>
          <cell r="C132">
            <v>1896</v>
          </cell>
        </row>
        <row r="133">
          <cell r="A133" t="str">
            <v>WH-0001</v>
          </cell>
          <cell r="B133" t="str">
            <v>SK카라 나노 화이트 소프너</v>
          </cell>
          <cell r="C133">
            <v>12</v>
          </cell>
        </row>
        <row r="134">
          <cell r="A134" t="str">
            <v>WH-0002</v>
          </cell>
          <cell r="B134" t="str">
            <v>SK카라 나노 화이트 플루이드</v>
          </cell>
          <cell r="C134">
            <v>826</v>
          </cell>
        </row>
        <row r="135">
          <cell r="A135" t="str">
            <v>WH-0004</v>
          </cell>
          <cell r="B135" t="str">
            <v>SK카라 나노 화이트 나이트크림</v>
          </cell>
          <cell r="C135">
            <v>759</v>
          </cell>
        </row>
        <row r="136">
          <cell r="A136" t="str">
            <v>WH-0005</v>
          </cell>
          <cell r="B136" t="str">
            <v>SK카라나노화이트에센스기획세트</v>
          </cell>
          <cell r="C136">
            <v>27</v>
          </cell>
        </row>
        <row r="137">
          <cell r="A137" t="str">
            <v>WH-0006</v>
          </cell>
          <cell r="B137" t="str">
            <v>SK나노화이트스팟코렉터(5*5ml)</v>
          </cell>
          <cell r="C137">
            <v>312</v>
          </cell>
        </row>
        <row r="138">
          <cell r="A138" t="str">
            <v>WH-0007</v>
          </cell>
          <cell r="B138" t="str">
            <v>SK카라 나노 화이트 멀티액티브크림</v>
          </cell>
          <cell r="C138">
            <v>5</v>
          </cell>
        </row>
        <row r="139">
          <cell r="A139" t="str">
            <v>WH-0010</v>
          </cell>
          <cell r="B139" t="str">
            <v>SK카라 나노 화이트 3종세트</v>
          </cell>
          <cell r="C139">
            <v>283</v>
          </cell>
        </row>
        <row r="140">
          <cell r="A140" t="str">
            <v>WH-0011</v>
          </cell>
          <cell r="B140" t="str">
            <v>SK카라 나노 화이트 클렌징폼</v>
          </cell>
          <cell r="C140">
            <v>1</v>
          </cell>
        </row>
        <row r="141">
          <cell r="A141" t="str">
            <v>WH-0013</v>
          </cell>
          <cell r="B141" t="str">
            <v>SK카라 나노 화이트 클렌징밤</v>
          </cell>
          <cell r="C141">
            <v>52</v>
          </cell>
        </row>
        <row r="142">
          <cell r="A142" t="str">
            <v>WH-0018</v>
          </cell>
          <cell r="B142" t="str">
            <v>NEW 나노화이트썬리퀴드(신형)</v>
          </cell>
          <cell r="C142">
            <v>3</v>
          </cell>
        </row>
        <row r="143">
          <cell r="A143" t="str">
            <v>WH-0020</v>
          </cell>
          <cell r="B143" t="str">
            <v>SK카라 미백 플래티늄크림</v>
          </cell>
          <cell r="C143">
            <v>571</v>
          </cell>
        </row>
        <row r="144">
          <cell r="A144" t="str">
            <v>WH-0022</v>
          </cell>
          <cell r="B144" t="str">
            <v>SK카라 미백 플래티늄2종세트</v>
          </cell>
          <cell r="C144">
            <v>1</v>
          </cell>
        </row>
        <row r="145">
          <cell r="A145" t="str">
            <v>WH-0024</v>
          </cell>
          <cell r="B145" t="str">
            <v>SK카라 썬리퀴드기획세트(특판)</v>
          </cell>
          <cell r="C145">
            <v>7</v>
          </cell>
        </row>
        <row r="146">
          <cell r="A146" t="str">
            <v>WH-0026</v>
          </cell>
          <cell r="B146" t="str">
            <v>케어카라 나노화이트아쿠아 스킨</v>
          </cell>
          <cell r="C146">
            <v>49</v>
          </cell>
        </row>
        <row r="147">
          <cell r="A147" t="str">
            <v>WH-0027</v>
          </cell>
          <cell r="B147" t="str">
            <v>케어카라 나노화이트아쿠아 로션</v>
          </cell>
          <cell r="C147">
            <v>1522</v>
          </cell>
        </row>
        <row r="148">
          <cell r="A148" t="str">
            <v>WH-0029</v>
          </cell>
          <cell r="B148" t="str">
            <v>케어카라 나노화이트 썬리퀴드</v>
          </cell>
          <cell r="C148">
            <v>818</v>
          </cell>
        </row>
        <row r="149">
          <cell r="A149" t="str">
            <v>WH-0030</v>
          </cell>
          <cell r="B149" t="str">
            <v>케어카라나노화이트퍼펙트선크림</v>
          </cell>
          <cell r="C149">
            <v>305</v>
          </cell>
        </row>
        <row r="150">
          <cell r="A150" t="str">
            <v>WH-0031</v>
          </cell>
          <cell r="B150" t="str">
            <v>케어카라플래티늄아이크림기획</v>
          </cell>
          <cell r="C150">
            <v>685</v>
          </cell>
        </row>
        <row r="151">
          <cell r="A151" t="str">
            <v>WH-0032</v>
          </cell>
          <cell r="B151" t="str">
            <v>케어카라 플래티늄에센스</v>
          </cell>
          <cell r="C151">
            <v>863</v>
          </cell>
        </row>
        <row r="152">
          <cell r="A152" t="str">
            <v>WH-0033</v>
          </cell>
          <cell r="B152" t="str">
            <v>케어카라 플래티늄크림</v>
          </cell>
          <cell r="C152">
            <v>713</v>
          </cell>
        </row>
        <row r="153">
          <cell r="A153" t="str">
            <v>WH-0034</v>
          </cell>
          <cell r="B153" t="str">
            <v>케어카라 미백 필링젤</v>
          </cell>
          <cell r="C153">
            <v>2581</v>
          </cell>
        </row>
        <row r="154">
          <cell r="A154" t="str">
            <v>WH-0035</v>
          </cell>
          <cell r="B154" t="str">
            <v>케어카라 플래티늄기초2종세트</v>
          </cell>
          <cell r="C154">
            <v>1225</v>
          </cell>
        </row>
        <row r="155">
          <cell r="A155" t="str">
            <v>WH-0036</v>
          </cell>
          <cell r="B155" t="str">
            <v>케어카라플래티늄폼클렌져</v>
          </cell>
          <cell r="C155">
            <v>3481</v>
          </cell>
        </row>
        <row r="156">
          <cell r="A156" t="str">
            <v>WH-0038</v>
          </cell>
          <cell r="B156" t="str">
            <v>케어카라썬리퀴드기획세트</v>
          </cell>
          <cell r="C156">
            <v>47</v>
          </cell>
        </row>
        <row r="157">
          <cell r="A157" t="str">
            <v>WH-0040</v>
          </cell>
          <cell r="B157" t="str">
            <v>케어카라나노크리스탈클랜징오일</v>
          </cell>
          <cell r="C157">
            <v>2952</v>
          </cell>
        </row>
        <row r="158">
          <cell r="A158" t="str">
            <v>WR-0001</v>
          </cell>
          <cell r="B158" t="str">
            <v>SK카라 링클 세럼기획</v>
          </cell>
          <cell r="C158">
            <v>293</v>
          </cell>
        </row>
        <row r="159">
          <cell r="A159" t="str">
            <v>WR-0002</v>
          </cell>
          <cell r="B159" t="str">
            <v>SK카라 링클 아이크림기획</v>
          </cell>
          <cell r="C159">
            <v>951</v>
          </cell>
        </row>
        <row r="160">
          <cell r="A160" t="str">
            <v>WR-0003</v>
          </cell>
          <cell r="B160" t="str">
            <v>SK카라 링클 크림기획</v>
          </cell>
          <cell r="C160">
            <v>1</v>
          </cell>
        </row>
        <row r="161">
          <cell r="A161" t="str">
            <v>WR-0004</v>
          </cell>
          <cell r="B161" t="str">
            <v>SK카라 링클2종세트</v>
          </cell>
          <cell r="C161">
            <v>9</v>
          </cell>
        </row>
        <row r="162">
          <cell r="A162" t="str">
            <v>WR-0005</v>
          </cell>
          <cell r="B162" t="str">
            <v>케어카라링클에센스기획</v>
          </cell>
          <cell r="C162">
            <v>850</v>
          </cell>
        </row>
        <row r="163">
          <cell r="A163" t="str">
            <v>WR-0007</v>
          </cell>
          <cell r="B163" t="str">
            <v>케어카라링클라인필러크림기획</v>
          </cell>
          <cell r="C163">
            <v>697</v>
          </cell>
        </row>
      </sheetData>
      <sheetData sheetId="4" refreshError="1">
        <row r="4">
          <cell r="A4" t="str">
            <v>11</v>
          </cell>
          <cell r="B4" t="str">
            <v>아토포뮬라스페셜기획세트(워싱젤+크림)</v>
          </cell>
          <cell r="C4">
            <v>1</v>
          </cell>
          <cell r="N4">
            <v>1</v>
          </cell>
        </row>
        <row r="5">
          <cell r="A5" t="str">
            <v>13</v>
          </cell>
          <cell r="B5" t="str">
            <v>나노나이트크림스페셜기획세트</v>
          </cell>
          <cell r="C5">
            <v>16</v>
          </cell>
          <cell r="N5">
            <v>16</v>
          </cell>
        </row>
        <row r="6">
          <cell r="A6" t="str">
            <v>AS-0001</v>
          </cell>
          <cell r="B6" t="str">
            <v>옴므어드밴스트EX안티링클후레쉬스킨</v>
          </cell>
          <cell r="C6">
            <v>27</v>
          </cell>
          <cell r="N6">
            <v>27</v>
          </cell>
        </row>
        <row r="7">
          <cell r="A7" t="str">
            <v>AS-0002</v>
          </cell>
          <cell r="B7" t="str">
            <v>옴므EX안티링클젤에멀전</v>
          </cell>
          <cell r="C7">
            <v>25</v>
          </cell>
          <cell r="N7">
            <v>25</v>
          </cell>
        </row>
        <row r="8">
          <cell r="A8" t="str">
            <v>AS-0003</v>
          </cell>
          <cell r="B8" t="str">
            <v>음므화이트닝에센스</v>
          </cell>
          <cell r="C8">
            <v>28</v>
          </cell>
          <cell r="N8">
            <v>28</v>
          </cell>
        </row>
        <row r="9">
          <cell r="A9" t="str">
            <v>AS-0006</v>
          </cell>
          <cell r="B9" t="str">
            <v>옴므EX유브이프로텍션</v>
          </cell>
          <cell r="C9">
            <v>39</v>
          </cell>
          <cell r="F9">
            <v>1</v>
          </cell>
          <cell r="N9">
            <v>40</v>
          </cell>
        </row>
        <row r="10">
          <cell r="A10" t="str">
            <v>AT-0001</v>
          </cell>
          <cell r="B10" t="str">
            <v>아토 소프트 워싱 젤</v>
          </cell>
          <cell r="C10">
            <v>44</v>
          </cell>
          <cell r="F10">
            <v>1</v>
          </cell>
          <cell r="H10">
            <v>5</v>
          </cell>
          <cell r="K10">
            <v>3</v>
          </cell>
          <cell r="N10">
            <v>53</v>
          </cell>
        </row>
        <row r="11">
          <cell r="A11" t="str">
            <v>AT-0002</v>
          </cell>
          <cell r="B11" t="str">
            <v>아토 컨트롤 미스트</v>
          </cell>
          <cell r="C11">
            <v>64</v>
          </cell>
          <cell r="F11">
            <v>1</v>
          </cell>
          <cell r="H11">
            <v>2</v>
          </cell>
          <cell r="J11">
            <v>2</v>
          </cell>
          <cell r="K11">
            <v>8</v>
          </cell>
          <cell r="N11">
            <v>77</v>
          </cell>
        </row>
        <row r="12">
          <cell r="A12" t="str">
            <v>AT-0003</v>
          </cell>
          <cell r="B12" t="str">
            <v>아토 프로텍트 로션</v>
          </cell>
          <cell r="C12">
            <v>44</v>
          </cell>
          <cell r="F12">
            <v>3</v>
          </cell>
          <cell r="H12">
            <v>4</v>
          </cell>
          <cell r="K12">
            <v>5</v>
          </cell>
          <cell r="N12">
            <v>56</v>
          </cell>
        </row>
        <row r="13">
          <cell r="A13" t="str">
            <v>AT-0004</v>
          </cell>
          <cell r="B13" t="str">
            <v>아토 토피칼 크림</v>
          </cell>
          <cell r="C13">
            <v>48</v>
          </cell>
          <cell r="F13">
            <v>1</v>
          </cell>
          <cell r="H13">
            <v>5</v>
          </cell>
          <cell r="K13">
            <v>5</v>
          </cell>
          <cell r="N13">
            <v>59</v>
          </cell>
        </row>
        <row r="14">
          <cell r="A14" t="str">
            <v>BA-0006</v>
          </cell>
          <cell r="B14" t="str">
            <v>에코그린베이비카모마일선크림</v>
          </cell>
          <cell r="C14">
            <v>38</v>
          </cell>
          <cell r="F14">
            <v>1</v>
          </cell>
          <cell r="N14">
            <v>39</v>
          </cell>
        </row>
        <row r="15">
          <cell r="A15" t="str">
            <v>BL-0001</v>
          </cell>
          <cell r="B15" t="str">
            <v>Blu: 스킨</v>
          </cell>
          <cell r="C15">
            <v>62</v>
          </cell>
          <cell r="F15">
            <v>20</v>
          </cell>
          <cell r="G15">
            <v>9</v>
          </cell>
          <cell r="J15">
            <v>5</v>
          </cell>
          <cell r="K15">
            <v>5</v>
          </cell>
          <cell r="N15">
            <v>101</v>
          </cell>
        </row>
        <row r="16">
          <cell r="A16" t="str">
            <v>BL-0002</v>
          </cell>
          <cell r="B16" t="str">
            <v>Blu: 로션</v>
          </cell>
          <cell r="C16">
            <v>55</v>
          </cell>
          <cell r="F16">
            <v>18</v>
          </cell>
          <cell r="G16">
            <v>9</v>
          </cell>
          <cell r="J16">
            <v>2</v>
          </cell>
          <cell r="K16">
            <v>3</v>
          </cell>
          <cell r="N16">
            <v>87</v>
          </cell>
        </row>
        <row r="17">
          <cell r="A17" t="str">
            <v>BL-0003</v>
          </cell>
          <cell r="B17" t="str">
            <v>Blu: 2종 세트</v>
          </cell>
          <cell r="C17">
            <v>10</v>
          </cell>
          <cell r="F17">
            <v>2</v>
          </cell>
          <cell r="K17">
            <v>1</v>
          </cell>
          <cell r="N17">
            <v>13</v>
          </cell>
        </row>
        <row r="18">
          <cell r="A18" t="str">
            <v>BL-0004</v>
          </cell>
          <cell r="B18" t="str">
            <v>NEW블루밸런싱스킨(신형)</v>
          </cell>
          <cell r="C18">
            <v>54</v>
          </cell>
          <cell r="F18">
            <v>3</v>
          </cell>
          <cell r="H18">
            <v>1</v>
          </cell>
          <cell r="J18">
            <v>1</v>
          </cell>
          <cell r="N18">
            <v>59</v>
          </cell>
        </row>
        <row r="19">
          <cell r="A19" t="str">
            <v>BL-0005</v>
          </cell>
          <cell r="B19" t="str">
            <v>NEW블루프로텍트로션(신형)</v>
          </cell>
          <cell r="C19">
            <v>51</v>
          </cell>
          <cell r="F19">
            <v>2</v>
          </cell>
          <cell r="H19">
            <v>2</v>
          </cell>
          <cell r="J19">
            <v>1</v>
          </cell>
          <cell r="N19">
            <v>56</v>
          </cell>
        </row>
        <row r="20">
          <cell r="A20" t="str">
            <v>BL-0006</v>
          </cell>
          <cell r="B20" t="str">
            <v>NEW블루2종세트(신형)</v>
          </cell>
          <cell r="C20">
            <v>8</v>
          </cell>
          <cell r="E20">
            <v>3</v>
          </cell>
          <cell r="K20">
            <v>1</v>
          </cell>
          <cell r="N20">
            <v>12</v>
          </cell>
        </row>
        <row r="21">
          <cell r="A21" t="str">
            <v>BS-0001</v>
          </cell>
          <cell r="B21" t="str">
            <v>솔루션EX후레쉬허브바디워시</v>
          </cell>
          <cell r="C21">
            <v>36</v>
          </cell>
          <cell r="H21">
            <v>1</v>
          </cell>
          <cell r="N21">
            <v>37</v>
          </cell>
        </row>
        <row r="22">
          <cell r="A22" t="str">
            <v>BS-0002</v>
          </cell>
          <cell r="B22" t="str">
            <v>솔루션EX후레쉬허브바디로션</v>
          </cell>
          <cell r="C22">
            <v>4</v>
          </cell>
          <cell r="N22">
            <v>4</v>
          </cell>
        </row>
        <row r="23">
          <cell r="A23" t="str">
            <v>BS-0004</v>
          </cell>
          <cell r="B23" t="str">
            <v>솔루션EX후레쉬허브바디미스트</v>
          </cell>
          <cell r="C23">
            <v>23</v>
          </cell>
          <cell r="F23">
            <v>1</v>
          </cell>
          <cell r="G23">
            <v>2</v>
          </cell>
          <cell r="H23">
            <v>3</v>
          </cell>
          <cell r="J23">
            <v>2</v>
          </cell>
          <cell r="L23">
            <v>1</v>
          </cell>
          <cell r="N23">
            <v>32</v>
          </cell>
        </row>
        <row r="24">
          <cell r="A24" t="str">
            <v>HY-0001</v>
          </cell>
          <cell r="B24" t="str">
            <v>Extra Hydro 인텐시브 크림</v>
          </cell>
          <cell r="C24">
            <v>4</v>
          </cell>
          <cell r="N24">
            <v>4</v>
          </cell>
        </row>
        <row r="25">
          <cell r="A25" t="str">
            <v>HY-0002</v>
          </cell>
          <cell r="B25" t="str">
            <v>Extra Hydro 2종 세트</v>
          </cell>
          <cell r="C25">
            <v>33</v>
          </cell>
          <cell r="N25">
            <v>33</v>
          </cell>
        </row>
        <row r="26">
          <cell r="A26" t="str">
            <v>HY-0003</v>
          </cell>
          <cell r="B26" t="str">
            <v>Extra Hydro 에센스</v>
          </cell>
          <cell r="C26">
            <v>2</v>
          </cell>
          <cell r="N26">
            <v>2</v>
          </cell>
        </row>
        <row r="27">
          <cell r="A27" t="str">
            <v>HY-0004</v>
          </cell>
          <cell r="B27" t="str">
            <v>Extra Hydro 3종세트</v>
          </cell>
          <cell r="C27">
            <v>1</v>
          </cell>
          <cell r="N27">
            <v>1</v>
          </cell>
        </row>
        <row r="28">
          <cell r="A28" t="str">
            <v>HY-0005</v>
          </cell>
          <cell r="B28" t="str">
            <v>Extra Hydro 프로텍티브플루이드</v>
          </cell>
          <cell r="C28">
            <v>6</v>
          </cell>
          <cell r="N28">
            <v>6</v>
          </cell>
        </row>
        <row r="29">
          <cell r="A29" t="str">
            <v>HY-0006</v>
          </cell>
          <cell r="B29" t="str">
            <v>Extra Hydro 컨트롤소프너</v>
          </cell>
          <cell r="C29">
            <v>6</v>
          </cell>
          <cell r="N29">
            <v>6</v>
          </cell>
        </row>
        <row r="30">
          <cell r="A30" t="str">
            <v>MO-0001</v>
          </cell>
          <cell r="B30" t="str">
            <v>엑스트라모이스쳐 컨트롤 소프너</v>
          </cell>
          <cell r="C30">
            <v>124</v>
          </cell>
          <cell r="F30">
            <v>28</v>
          </cell>
          <cell r="G30">
            <v>5</v>
          </cell>
          <cell r="J30">
            <v>1</v>
          </cell>
          <cell r="K30">
            <v>7</v>
          </cell>
          <cell r="N30">
            <v>165</v>
          </cell>
        </row>
        <row r="31">
          <cell r="A31" t="str">
            <v>MO-0002</v>
          </cell>
          <cell r="B31" t="str">
            <v>엑스트라모이스쳐 프로텍티브 플루이드</v>
          </cell>
          <cell r="C31">
            <v>113</v>
          </cell>
          <cell r="F31">
            <v>26</v>
          </cell>
          <cell r="G31">
            <v>2</v>
          </cell>
          <cell r="J31">
            <v>1</v>
          </cell>
          <cell r="K31">
            <v>5</v>
          </cell>
          <cell r="N31">
            <v>147</v>
          </cell>
        </row>
        <row r="32">
          <cell r="A32" t="str">
            <v>MO-0003</v>
          </cell>
          <cell r="B32" t="str">
            <v>엑스트라모이스쳐 컨센트레이트 에센스</v>
          </cell>
          <cell r="C32">
            <v>98</v>
          </cell>
          <cell r="F32">
            <v>29</v>
          </cell>
          <cell r="G32">
            <v>1</v>
          </cell>
          <cell r="J32">
            <v>1</v>
          </cell>
          <cell r="K32">
            <v>4</v>
          </cell>
          <cell r="N32">
            <v>133</v>
          </cell>
        </row>
        <row r="33">
          <cell r="A33" t="str">
            <v>MO-0004</v>
          </cell>
          <cell r="B33" t="str">
            <v>엑스트라모이스쳐 인텐시브 크림</v>
          </cell>
          <cell r="C33">
            <v>107</v>
          </cell>
          <cell r="F33">
            <v>30</v>
          </cell>
          <cell r="G33">
            <v>2</v>
          </cell>
          <cell r="J33">
            <v>1</v>
          </cell>
          <cell r="K33">
            <v>3</v>
          </cell>
          <cell r="L33">
            <v>3</v>
          </cell>
          <cell r="N33">
            <v>146</v>
          </cell>
        </row>
        <row r="34">
          <cell r="A34" t="str">
            <v>MO-0006</v>
          </cell>
          <cell r="B34" t="str">
            <v>엑스트라모이스쳐 3종세트</v>
          </cell>
          <cell r="C34">
            <v>4</v>
          </cell>
          <cell r="N34">
            <v>4</v>
          </cell>
        </row>
        <row r="35">
          <cell r="A35" t="str">
            <v>MS-0001</v>
          </cell>
          <cell r="B35" t="str">
            <v>MS-데톡스 로즈 폼클렌져</v>
          </cell>
          <cell r="C35">
            <v>27</v>
          </cell>
          <cell r="H35">
            <v>2</v>
          </cell>
          <cell r="N35">
            <v>29</v>
          </cell>
        </row>
        <row r="36">
          <cell r="A36" t="str">
            <v>MS-0002</v>
          </cell>
          <cell r="B36" t="str">
            <v>MS-로즈 캡슐 소프너</v>
          </cell>
          <cell r="C36">
            <v>126</v>
          </cell>
          <cell r="F36">
            <v>8</v>
          </cell>
          <cell r="H36">
            <v>9</v>
          </cell>
          <cell r="K36">
            <v>2</v>
          </cell>
          <cell r="N36">
            <v>145</v>
          </cell>
        </row>
        <row r="37">
          <cell r="A37" t="str">
            <v>MS-0003</v>
          </cell>
          <cell r="B37" t="str">
            <v>MS-로즈 젤 플루이드</v>
          </cell>
          <cell r="C37">
            <v>106</v>
          </cell>
          <cell r="F37">
            <v>9</v>
          </cell>
          <cell r="G37">
            <v>1</v>
          </cell>
          <cell r="H37">
            <v>7</v>
          </cell>
          <cell r="J37">
            <v>1</v>
          </cell>
          <cell r="K37">
            <v>2</v>
          </cell>
          <cell r="N37">
            <v>126</v>
          </cell>
        </row>
        <row r="38">
          <cell r="A38" t="str">
            <v>MS-0004</v>
          </cell>
          <cell r="B38" t="str">
            <v>MS-로즈 워터드롭 에센스</v>
          </cell>
          <cell r="C38">
            <v>100</v>
          </cell>
          <cell r="F38">
            <v>8</v>
          </cell>
          <cell r="G38">
            <v>1</v>
          </cell>
          <cell r="H38">
            <v>1</v>
          </cell>
          <cell r="K38">
            <v>2</v>
          </cell>
          <cell r="N38">
            <v>112</v>
          </cell>
        </row>
        <row r="39">
          <cell r="A39" t="str">
            <v>MS-0005</v>
          </cell>
          <cell r="B39" t="str">
            <v>MS-로즈 마쉬멜로우 크림</v>
          </cell>
          <cell r="C39">
            <v>84</v>
          </cell>
          <cell r="F39">
            <v>9</v>
          </cell>
          <cell r="H39">
            <v>3</v>
          </cell>
          <cell r="N39">
            <v>96</v>
          </cell>
        </row>
        <row r="40">
          <cell r="A40" t="str">
            <v>MS-0006</v>
          </cell>
          <cell r="B40" t="str">
            <v>MS-모이스춰솔루션 스킨케어2종</v>
          </cell>
          <cell r="C40">
            <v>1</v>
          </cell>
          <cell r="N40">
            <v>1</v>
          </cell>
        </row>
        <row r="41">
          <cell r="A41" t="str">
            <v>MS-0007</v>
          </cell>
          <cell r="B41" t="str">
            <v>MS-모이스춰솔루션 스킨케어3종</v>
          </cell>
          <cell r="C41">
            <v>1</v>
          </cell>
          <cell r="M41">
            <v>1</v>
          </cell>
          <cell r="N41">
            <v>2</v>
          </cell>
        </row>
        <row r="42">
          <cell r="A42" t="str">
            <v>MS-0008</v>
          </cell>
          <cell r="B42" t="str">
            <v>MS-덱톡스 로즈 클렌징크림</v>
          </cell>
          <cell r="C42">
            <v>15</v>
          </cell>
          <cell r="H42">
            <v>1</v>
          </cell>
          <cell r="L42">
            <v>1</v>
          </cell>
          <cell r="N42">
            <v>17</v>
          </cell>
        </row>
        <row r="43">
          <cell r="A43" t="str">
            <v>MS-0010</v>
          </cell>
          <cell r="B43" t="str">
            <v>MS-데톡스로즈필링젤</v>
          </cell>
          <cell r="C43">
            <v>57</v>
          </cell>
          <cell r="F43">
            <v>3</v>
          </cell>
          <cell r="G43">
            <v>1</v>
          </cell>
          <cell r="L43">
            <v>1</v>
          </cell>
          <cell r="N43">
            <v>62</v>
          </cell>
        </row>
        <row r="44">
          <cell r="A44" t="str">
            <v>MS-0011</v>
          </cell>
          <cell r="B44" t="str">
            <v>MS-데톡스로즈클렌징오일</v>
          </cell>
          <cell r="C44">
            <v>24</v>
          </cell>
          <cell r="N44">
            <v>24</v>
          </cell>
        </row>
        <row r="45">
          <cell r="A45" t="str">
            <v>MS-0012</v>
          </cell>
          <cell r="B45" t="str">
            <v>MS-로즈워터드롭에센스 기획세트</v>
          </cell>
          <cell r="C45">
            <v>4</v>
          </cell>
          <cell r="N45">
            <v>4</v>
          </cell>
        </row>
        <row r="46">
          <cell r="A46" t="str">
            <v>MU-0001</v>
          </cell>
          <cell r="B46" t="str">
            <v>트루UV화이트투웨이 01호</v>
          </cell>
          <cell r="C46">
            <v>70</v>
          </cell>
          <cell r="F46">
            <v>4</v>
          </cell>
          <cell r="H46">
            <v>7</v>
          </cell>
          <cell r="K46">
            <v>10</v>
          </cell>
          <cell r="N46">
            <v>91</v>
          </cell>
        </row>
        <row r="47">
          <cell r="A47" t="str">
            <v>MU-0002</v>
          </cell>
          <cell r="B47" t="str">
            <v>트루UV화이트투웨이 02호</v>
          </cell>
          <cell r="C47">
            <v>54</v>
          </cell>
          <cell r="F47">
            <v>6</v>
          </cell>
          <cell r="H47">
            <v>8</v>
          </cell>
          <cell r="K47">
            <v>11</v>
          </cell>
          <cell r="N47">
            <v>79</v>
          </cell>
        </row>
        <row r="48">
          <cell r="A48" t="str">
            <v>MU-0003</v>
          </cell>
          <cell r="B48" t="str">
            <v>트루UV화이트투웨이 03호</v>
          </cell>
          <cell r="C48">
            <v>42</v>
          </cell>
          <cell r="H48">
            <v>7</v>
          </cell>
          <cell r="K48">
            <v>4</v>
          </cell>
          <cell r="L48">
            <v>1</v>
          </cell>
          <cell r="N48">
            <v>54</v>
          </cell>
        </row>
        <row r="49">
          <cell r="A49" t="str">
            <v>MU-0004</v>
          </cell>
          <cell r="B49" t="str">
            <v>트루UV화이트팩트 01호</v>
          </cell>
          <cell r="C49">
            <v>43</v>
          </cell>
          <cell r="F49">
            <v>4</v>
          </cell>
          <cell r="H49">
            <v>7</v>
          </cell>
          <cell r="K49">
            <v>11</v>
          </cell>
          <cell r="N49">
            <v>65</v>
          </cell>
        </row>
        <row r="50">
          <cell r="A50" t="str">
            <v>MU-0005</v>
          </cell>
          <cell r="B50" t="str">
            <v>트루UV화이트팩트 02호</v>
          </cell>
          <cell r="C50">
            <v>49</v>
          </cell>
          <cell r="F50">
            <v>6</v>
          </cell>
          <cell r="H50">
            <v>14</v>
          </cell>
          <cell r="K50">
            <v>8</v>
          </cell>
          <cell r="N50">
            <v>77</v>
          </cell>
        </row>
        <row r="51">
          <cell r="A51" t="str">
            <v>MU-0006</v>
          </cell>
          <cell r="B51" t="str">
            <v>트루UV화이트팩트 03호</v>
          </cell>
          <cell r="C51">
            <v>25</v>
          </cell>
          <cell r="H51">
            <v>1</v>
          </cell>
          <cell r="J51">
            <v>1</v>
          </cell>
          <cell r="K51">
            <v>2</v>
          </cell>
          <cell r="N51">
            <v>29</v>
          </cell>
        </row>
        <row r="52">
          <cell r="A52" t="str">
            <v>MU-0007</v>
          </cell>
          <cell r="B52" t="str">
            <v>트루UV화이트투웨이(R)01호</v>
          </cell>
          <cell r="C52">
            <v>13</v>
          </cell>
          <cell r="N52">
            <v>13</v>
          </cell>
        </row>
        <row r="53">
          <cell r="A53" t="str">
            <v>MU-0008</v>
          </cell>
          <cell r="B53" t="str">
            <v>트루UV화이트투웨이(R)02호</v>
          </cell>
          <cell r="C53">
            <v>15</v>
          </cell>
          <cell r="N53">
            <v>15</v>
          </cell>
        </row>
        <row r="54">
          <cell r="A54" t="str">
            <v>MU-0009</v>
          </cell>
          <cell r="B54" t="str">
            <v>트루UV화이트투웨이(R)03호</v>
          </cell>
          <cell r="C54">
            <v>13</v>
          </cell>
          <cell r="N54">
            <v>13</v>
          </cell>
        </row>
        <row r="55">
          <cell r="A55" t="str">
            <v>MU-0010</v>
          </cell>
          <cell r="B55" t="str">
            <v>트루UV화이트팩트(R)01호</v>
          </cell>
          <cell r="C55">
            <v>4</v>
          </cell>
          <cell r="K55">
            <v>1</v>
          </cell>
          <cell r="N55">
            <v>5</v>
          </cell>
        </row>
        <row r="56">
          <cell r="A56" t="str">
            <v>MU-0011</v>
          </cell>
          <cell r="B56" t="str">
            <v>트루UV화이트팩트(R)02호</v>
          </cell>
          <cell r="C56">
            <v>6</v>
          </cell>
          <cell r="N56">
            <v>6</v>
          </cell>
        </row>
        <row r="57">
          <cell r="A57" t="str">
            <v>MU-0012</v>
          </cell>
          <cell r="B57" t="str">
            <v>트루UV화이트팩트(R)03호</v>
          </cell>
          <cell r="C57">
            <v>5</v>
          </cell>
          <cell r="J57">
            <v>1</v>
          </cell>
          <cell r="K57">
            <v>1</v>
          </cell>
          <cell r="N57">
            <v>7</v>
          </cell>
        </row>
        <row r="58">
          <cell r="A58" t="str">
            <v>MU-0013</v>
          </cell>
          <cell r="B58" t="str">
            <v>트루화이트닝 메이컵 베이스</v>
          </cell>
          <cell r="C58">
            <v>154</v>
          </cell>
          <cell r="F58">
            <v>1</v>
          </cell>
          <cell r="G58">
            <v>8</v>
          </cell>
          <cell r="H58">
            <v>12</v>
          </cell>
          <cell r="K58">
            <v>12</v>
          </cell>
          <cell r="N58">
            <v>187</v>
          </cell>
        </row>
        <row r="59">
          <cell r="A59" t="str">
            <v>MU-0014</v>
          </cell>
          <cell r="B59" t="str">
            <v>트루화이트닝 화운데이션 01호</v>
          </cell>
          <cell r="C59">
            <v>115</v>
          </cell>
          <cell r="F59">
            <v>8</v>
          </cell>
          <cell r="G59">
            <v>4</v>
          </cell>
          <cell r="H59">
            <v>7</v>
          </cell>
          <cell r="J59">
            <v>1</v>
          </cell>
          <cell r="K59">
            <v>8</v>
          </cell>
          <cell r="L59">
            <v>1</v>
          </cell>
          <cell r="N59">
            <v>144</v>
          </cell>
        </row>
        <row r="60">
          <cell r="A60" t="str">
            <v>MU-0015</v>
          </cell>
          <cell r="B60" t="str">
            <v>트루화이트닝 화운데이션 02호</v>
          </cell>
          <cell r="C60">
            <v>69</v>
          </cell>
          <cell r="F60">
            <v>7</v>
          </cell>
          <cell r="G60">
            <v>4</v>
          </cell>
          <cell r="H60">
            <v>7</v>
          </cell>
          <cell r="J60">
            <v>1</v>
          </cell>
          <cell r="K60">
            <v>10</v>
          </cell>
          <cell r="N60">
            <v>98</v>
          </cell>
        </row>
        <row r="61">
          <cell r="A61" t="str">
            <v>MU-1001</v>
          </cell>
          <cell r="B61" t="str">
            <v>트루모이스쳐 투웨이 21호</v>
          </cell>
          <cell r="C61">
            <v>144</v>
          </cell>
          <cell r="F61">
            <v>5</v>
          </cell>
          <cell r="G61">
            <v>4</v>
          </cell>
          <cell r="K61">
            <v>3</v>
          </cell>
          <cell r="N61">
            <v>156</v>
          </cell>
        </row>
        <row r="62">
          <cell r="A62" t="str">
            <v>MU-1002</v>
          </cell>
          <cell r="B62" t="str">
            <v>트루모이스쳐 투웨이 23호</v>
          </cell>
          <cell r="C62">
            <v>153</v>
          </cell>
          <cell r="F62">
            <v>3</v>
          </cell>
          <cell r="G62">
            <v>2</v>
          </cell>
          <cell r="J62">
            <v>2</v>
          </cell>
          <cell r="K62">
            <v>2</v>
          </cell>
          <cell r="N62">
            <v>162</v>
          </cell>
        </row>
        <row r="63">
          <cell r="A63" t="str">
            <v>MU-1003</v>
          </cell>
          <cell r="B63" t="str">
            <v>트루모이스쳐 팩트 21호</v>
          </cell>
          <cell r="C63">
            <v>87</v>
          </cell>
          <cell r="F63">
            <v>4</v>
          </cell>
          <cell r="J63">
            <v>1</v>
          </cell>
          <cell r="K63">
            <v>2</v>
          </cell>
          <cell r="N63">
            <v>94</v>
          </cell>
        </row>
        <row r="64">
          <cell r="A64" t="str">
            <v>MU-1004</v>
          </cell>
          <cell r="B64" t="str">
            <v>트루모이스쳐 팩트 23호</v>
          </cell>
          <cell r="C64">
            <v>142</v>
          </cell>
          <cell r="F64">
            <v>9</v>
          </cell>
          <cell r="G64">
            <v>3</v>
          </cell>
          <cell r="K64">
            <v>3</v>
          </cell>
          <cell r="N64">
            <v>157</v>
          </cell>
        </row>
        <row r="65">
          <cell r="A65" t="str">
            <v>MU-3001</v>
          </cell>
          <cell r="B65" t="str">
            <v>스무딩 블레미쉬 밤</v>
          </cell>
          <cell r="C65">
            <v>103</v>
          </cell>
          <cell r="F65">
            <v>10</v>
          </cell>
          <cell r="G65">
            <v>16</v>
          </cell>
          <cell r="H65">
            <v>15</v>
          </cell>
          <cell r="J65">
            <v>1</v>
          </cell>
          <cell r="K65">
            <v>7</v>
          </cell>
          <cell r="N65">
            <v>152</v>
          </cell>
        </row>
        <row r="66">
          <cell r="A66" t="str">
            <v>MU-3002</v>
          </cell>
          <cell r="B66" t="str">
            <v>세러브리티스 마스카라</v>
          </cell>
          <cell r="C66">
            <v>122</v>
          </cell>
          <cell r="F66">
            <v>6</v>
          </cell>
          <cell r="H66">
            <v>2</v>
          </cell>
          <cell r="K66">
            <v>3</v>
          </cell>
          <cell r="N66">
            <v>133</v>
          </cell>
        </row>
        <row r="67">
          <cell r="A67" t="str">
            <v>MU-3003</v>
          </cell>
          <cell r="B67" t="str">
            <v>세러브리티스 아이라이너</v>
          </cell>
          <cell r="C67">
            <v>98</v>
          </cell>
          <cell r="F67">
            <v>4</v>
          </cell>
          <cell r="H67">
            <v>1</v>
          </cell>
          <cell r="K67">
            <v>4</v>
          </cell>
          <cell r="N67">
            <v>107</v>
          </cell>
        </row>
        <row r="68">
          <cell r="A68" t="str">
            <v>MU-5000</v>
          </cell>
          <cell r="B68" t="str">
            <v>브러시온샤인 메이크업베이스</v>
          </cell>
          <cell r="C68">
            <v>115</v>
          </cell>
          <cell r="F68">
            <v>9</v>
          </cell>
          <cell r="G68">
            <v>3</v>
          </cell>
          <cell r="H68">
            <v>9</v>
          </cell>
          <cell r="J68">
            <v>4</v>
          </cell>
          <cell r="K68">
            <v>1</v>
          </cell>
          <cell r="N68">
            <v>141</v>
          </cell>
        </row>
        <row r="69">
          <cell r="A69" t="str">
            <v>MU-5001</v>
          </cell>
          <cell r="B69" t="str">
            <v>브러시온샤인 화운데이션21호</v>
          </cell>
          <cell r="C69">
            <v>84</v>
          </cell>
          <cell r="D69">
            <v>1</v>
          </cell>
          <cell r="F69">
            <v>8</v>
          </cell>
          <cell r="G69">
            <v>3</v>
          </cell>
          <cell r="H69">
            <v>7</v>
          </cell>
          <cell r="J69">
            <v>1</v>
          </cell>
          <cell r="N69">
            <v>104</v>
          </cell>
        </row>
        <row r="70">
          <cell r="A70" t="str">
            <v>MU-5002</v>
          </cell>
          <cell r="B70" t="str">
            <v>브러시온샤인 화운데이션23호</v>
          </cell>
          <cell r="C70">
            <v>52</v>
          </cell>
          <cell r="F70">
            <v>7</v>
          </cell>
          <cell r="G70">
            <v>3</v>
          </cell>
          <cell r="H70">
            <v>5</v>
          </cell>
          <cell r="J70">
            <v>2</v>
          </cell>
          <cell r="N70">
            <v>69</v>
          </cell>
        </row>
        <row r="71">
          <cell r="A71" t="str">
            <v>MU-5003</v>
          </cell>
          <cell r="B71" t="str">
            <v>샤인 컨트롤 팩트21호</v>
          </cell>
          <cell r="C71">
            <v>134</v>
          </cell>
          <cell r="F71">
            <v>4</v>
          </cell>
          <cell r="G71">
            <v>1</v>
          </cell>
          <cell r="H71">
            <v>4</v>
          </cell>
          <cell r="I71">
            <v>22</v>
          </cell>
          <cell r="J71">
            <v>2</v>
          </cell>
          <cell r="N71">
            <v>167</v>
          </cell>
        </row>
        <row r="72">
          <cell r="A72" t="str">
            <v>MU-5004</v>
          </cell>
          <cell r="B72" t="str">
            <v>샤인 컨트롤 팩트23호</v>
          </cell>
          <cell r="C72">
            <v>109</v>
          </cell>
          <cell r="D72">
            <v>2</v>
          </cell>
          <cell r="F72">
            <v>3</v>
          </cell>
          <cell r="H72">
            <v>2</v>
          </cell>
          <cell r="I72">
            <v>12</v>
          </cell>
          <cell r="K72">
            <v>1</v>
          </cell>
          <cell r="L72">
            <v>1</v>
          </cell>
          <cell r="N72">
            <v>130</v>
          </cell>
        </row>
        <row r="73">
          <cell r="A73" t="str">
            <v>MU-5005</v>
          </cell>
          <cell r="B73" t="str">
            <v>샤인 컨트롤 투웨이21호</v>
          </cell>
          <cell r="C73">
            <v>126</v>
          </cell>
          <cell r="D73">
            <v>5</v>
          </cell>
          <cell r="F73">
            <v>5</v>
          </cell>
          <cell r="G73">
            <v>3</v>
          </cell>
          <cell r="H73">
            <v>4</v>
          </cell>
          <cell r="I73">
            <v>8</v>
          </cell>
          <cell r="J73">
            <v>2</v>
          </cell>
          <cell r="K73">
            <v>2</v>
          </cell>
          <cell r="N73">
            <v>155</v>
          </cell>
        </row>
        <row r="74">
          <cell r="A74" t="str">
            <v>MU-5006</v>
          </cell>
          <cell r="B74" t="str">
            <v>샤인 컨트롤 투웨이23호</v>
          </cell>
          <cell r="C74">
            <v>96</v>
          </cell>
          <cell r="D74">
            <v>2</v>
          </cell>
          <cell r="F74">
            <v>6</v>
          </cell>
          <cell r="G74">
            <v>1</v>
          </cell>
          <cell r="H74">
            <v>4</v>
          </cell>
          <cell r="I74">
            <v>19</v>
          </cell>
          <cell r="K74">
            <v>1</v>
          </cell>
          <cell r="N74">
            <v>129</v>
          </cell>
        </row>
        <row r="75">
          <cell r="A75" t="str">
            <v>MU-5007</v>
          </cell>
          <cell r="B75" t="str">
            <v>데톡스테라피아이앤리무버</v>
          </cell>
          <cell r="C75">
            <v>21</v>
          </cell>
          <cell r="H75">
            <v>2</v>
          </cell>
          <cell r="N75">
            <v>23</v>
          </cell>
        </row>
        <row r="76">
          <cell r="A76" t="str">
            <v>MU-5010</v>
          </cell>
          <cell r="B76" t="str">
            <v>화이트라메이크업베이스-그린</v>
          </cell>
          <cell r="C76">
            <v>92</v>
          </cell>
        </row>
        <row r="77">
          <cell r="A77" t="str">
            <v>MU-5011</v>
          </cell>
          <cell r="B77" t="str">
            <v>화이트라이트쉬머링베이스-핑크</v>
          </cell>
          <cell r="C77">
            <v>59</v>
          </cell>
        </row>
        <row r="78">
          <cell r="A78" t="str">
            <v>MU-5012</v>
          </cell>
          <cell r="B78" t="str">
            <v>화이트라이트화운데이션21호</v>
          </cell>
          <cell r="C78">
            <v>193</v>
          </cell>
        </row>
        <row r="79">
          <cell r="A79" t="str">
            <v>MU-5013</v>
          </cell>
          <cell r="B79" t="str">
            <v>화이트라이트화운데이션23호</v>
          </cell>
          <cell r="C79">
            <v>171</v>
          </cell>
        </row>
        <row r="80">
          <cell r="A80" t="str">
            <v>MU-5014</v>
          </cell>
          <cell r="B80" t="str">
            <v>화이트라이트팩트21호</v>
          </cell>
          <cell r="C80">
            <v>45</v>
          </cell>
          <cell r="N80">
            <v>45</v>
          </cell>
        </row>
        <row r="81">
          <cell r="A81" t="str">
            <v>MU-5015</v>
          </cell>
          <cell r="B81" t="str">
            <v>화이트라이트팩트23호</v>
          </cell>
          <cell r="C81">
            <v>36</v>
          </cell>
          <cell r="N81">
            <v>36</v>
          </cell>
        </row>
        <row r="82">
          <cell r="A82" t="str">
            <v>MU-5016</v>
          </cell>
          <cell r="B82" t="str">
            <v>화이트라이트투웨이21호</v>
          </cell>
          <cell r="C82">
            <v>36</v>
          </cell>
          <cell r="N82">
            <v>36</v>
          </cell>
        </row>
        <row r="83">
          <cell r="A83" t="str">
            <v>MU-5017</v>
          </cell>
          <cell r="B83" t="str">
            <v>화이트라이트투웨이23호</v>
          </cell>
          <cell r="C83">
            <v>32</v>
          </cell>
          <cell r="N83">
            <v>32</v>
          </cell>
        </row>
        <row r="84">
          <cell r="A84" t="str">
            <v>MU-5018</v>
          </cell>
          <cell r="B84" t="str">
            <v>화이트라이트트리플비비크림</v>
          </cell>
          <cell r="C84">
            <v>87</v>
          </cell>
          <cell r="G84">
            <v>1</v>
          </cell>
          <cell r="H84">
            <v>1</v>
          </cell>
          <cell r="N84">
            <v>89</v>
          </cell>
        </row>
        <row r="85">
          <cell r="A85" t="str">
            <v>MU-5019</v>
          </cell>
          <cell r="B85" t="str">
            <v>화이트라이트비비썬밤</v>
          </cell>
          <cell r="C85">
            <v>19</v>
          </cell>
          <cell r="N85">
            <v>19</v>
          </cell>
        </row>
        <row r="86">
          <cell r="A86" t="str">
            <v>PO00003</v>
          </cell>
          <cell r="B86" t="str">
            <v>Pore Tightening 아쿠아 크림</v>
          </cell>
          <cell r="C86">
            <v>84</v>
          </cell>
          <cell r="F86">
            <v>8</v>
          </cell>
          <cell r="K86">
            <v>2</v>
          </cell>
          <cell r="N86">
            <v>94</v>
          </cell>
        </row>
        <row r="87">
          <cell r="A87" t="str">
            <v>PO-0001</v>
          </cell>
          <cell r="B87" t="str">
            <v>Pore Tightening 아스트리젠트</v>
          </cell>
          <cell r="C87">
            <v>86</v>
          </cell>
          <cell r="F87">
            <v>6</v>
          </cell>
          <cell r="K87">
            <v>3</v>
          </cell>
          <cell r="N87">
            <v>95</v>
          </cell>
        </row>
        <row r="88">
          <cell r="A88" t="str">
            <v>PO-0002</v>
          </cell>
          <cell r="B88" t="str">
            <v>(신) Pore Tightening 에센스</v>
          </cell>
          <cell r="C88">
            <v>72</v>
          </cell>
          <cell r="F88">
            <v>7</v>
          </cell>
          <cell r="K88">
            <v>4</v>
          </cell>
          <cell r="N88">
            <v>83</v>
          </cell>
        </row>
        <row r="89">
          <cell r="A89" t="str">
            <v>PO-0004</v>
          </cell>
          <cell r="B89" t="str">
            <v>모공에센스(구형)</v>
          </cell>
          <cell r="C89">
            <v>17</v>
          </cell>
          <cell r="N89">
            <v>17</v>
          </cell>
        </row>
        <row r="90">
          <cell r="A90" t="str">
            <v>PS-0001</v>
          </cell>
          <cell r="B90" t="str">
            <v>PS-데톡스 그레이프씨드 젤클렌저</v>
          </cell>
          <cell r="C90">
            <v>24</v>
          </cell>
          <cell r="H90">
            <v>1</v>
          </cell>
          <cell r="J90">
            <v>1</v>
          </cell>
          <cell r="L90">
            <v>1</v>
          </cell>
          <cell r="N90">
            <v>27</v>
          </cell>
        </row>
        <row r="91">
          <cell r="A91" t="str">
            <v>PS-0002</v>
          </cell>
          <cell r="B91" t="str">
            <v>PS-그레이프씨드 후레쉬토너</v>
          </cell>
          <cell r="C91">
            <v>118</v>
          </cell>
          <cell r="F91">
            <v>7</v>
          </cell>
          <cell r="H91">
            <v>5</v>
          </cell>
          <cell r="J91">
            <v>1</v>
          </cell>
          <cell r="N91">
            <v>131</v>
          </cell>
        </row>
        <row r="92">
          <cell r="A92" t="str">
            <v>PS-0003</v>
          </cell>
          <cell r="B92" t="str">
            <v>PS-그레이프씨드 젤플루이드</v>
          </cell>
          <cell r="C92">
            <v>100</v>
          </cell>
          <cell r="F92">
            <v>8</v>
          </cell>
          <cell r="H92">
            <v>5</v>
          </cell>
          <cell r="J92">
            <v>1</v>
          </cell>
          <cell r="N92">
            <v>114</v>
          </cell>
        </row>
        <row r="93">
          <cell r="A93" t="str">
            <v>PS-0004</v>
          </cell>
          <cell r="B93" t="str">
            <v>PS-그레이프씨드 젤리에센스</v>
          </cell>
          <cell r="C93">
            <v>96</v>
          </cell>
          <cell r="F93">
            <v>6</v>
          </cell>
          <cell r="G93">
            <v>2</v>
          </cell>
          <cell r="H93">
            <v>2</v>
          </cell>
          <cell r="N93">
            <v>106</v>
          </cell>
        </row>
        <row r="94">
          <cell r="A94" t="str">
            <v>PS-0005</v>
          </cell>
          <cell r="B94" t="str">
            <v>PS-그레이프씨드 워터크림</v>
          </cell>
          <cell r="C94">
            <v>114</v>
          </cell>
          <cell r="F94">
            <v>8</v>
          </cell>
          <cell r="G94">
            <v>4</v>
          </cell>
          <cell r="H94">
            <v>14</v>
          </cell>
          <cell r="J94">
            <v>3</v>
          </cell>
          <cell r="L94">
            <v>1</v>
          </cell>
          <cell r="N94">
            <v>144</v>
          </cell>
        </row>
        <row r="95">
          <cell r="A95" t="str">
            <v>PS-0006</v>
          </cell>
          <cell r="B95" t="str">
            <v>PS-퓨리화잉 스킨케어2종</v>
          </cell>
          <cell r="C95">
            <v>5</v>
          </cell>
          <cell r="J95">
            <v>1</v>
          </cell>
          <cell r="N95">
            <v>6</v>
          </cell>
        </row>
        <row r="96">
          <cell r="A96" t="str">
            <v>PS-0007</v>
          </cell>
          <cell r="B96" t="str">
            <v>PS-퓨리화잉 스킨케어3종</v>
          </cell>
          <cell r="C96">
            <v>2</v>
          </cell>
          <cell r="N96">
            <v>2</v>
          </cell>
        </row>
        <row r="97">
          <cell r="A97" t="str">
            <v>PS-0010</v>
          </cell>
          <cell r="B97" t="str">
            <v>PS-그레이프씨드젤리에센스기획세트</v>
          </cell>
          <cell r="C97">
            <v>2</v>
          </cell>
          <cell r="N97">
            <v>2</v>
          </cell>
        </row>
        <row r="98">
          <cell r="A98" t="str">
            <v>RE-0001</v>
          </cell>
          <cell r="B98" t="str">
            <v>MAGIC REPAIR 징코 스킨</v>
          </cell>
          <cell r="C98">
            <v>84</v>
          </cell>
          <cell r="F98">
            <v>9</v>
          </cell>
          <cell r="G98">
            <v>1</v>
          </cell>
          <cell r="H98">
            <v>4</v>
          </cell>
          <cell r="J98">
            <v>1</v>
          </cell>
          <cell r="K98">
            <v>5</v>
          </cell>
          <cell r="N98">
            <v>104</v>
          </cell>
        </row>
        <row r="99">
          <cell r="A99" t="str">
            <v>RE-0002</v>
          </cell>
          <cell r="B99" t="str">
            <v>MAGIC REPAIR 징코 로션</v>
          </cell>
          <cell r="C99">
            <v>81</v>
          </cell>
          <cell r="F99">
            <v>9</v>
          </cell>
          <cell r="H99">
            <v>5</v>
          </cell>
          <cell r="J99">
            <v>1</v>
          </cell>
          <cell r="K99">
            <v>4</v>
          </cell>
          <cell r="N99">
            <v>100</v>
          </cell>
        </row>
        <row r="100">
          <cell r="A100" t="str">
            <v>RE-0003</v>
          </cell>
          <cell r="B100" t="str">
            <v>MAGIC REPAIR 징코 기초 2종 세트</v>
          </cell>
          <cell r="C100">
            <v>6</v>
          </cell>
          <cell r="N100">
            <v>6</v>
          </cell>
        </row>
        <row r="101">
          <cell r="A101" t="str">
            <v>RE-0004</v>
          </cell>
          <cell r="B101" t="str">
            <v>MAGIC REPAIR 징코 세럼(탄력세럼)</v>
          </cell>
          <cell r="C101">
            <v>121</v>
          </cell>
          <cell r="F101">
            <v>10</v>
          </cell>
          <cell r="H101">
            <v>4</v>
          </cell>
          <cell r="K101">
            <v>5</v>
          </cell>
          <cell r="N101">
            <v>140</v>
          </cell>
        </row>
        <row r="102">
          <cell r="A102" t="str">
            <v>RE-0005</v>
          </cell>
          <cell r="B102" t="str">
            <v>MAGIC REPAIR 징코 크림(탄력크림)</v>
          </cell>
          <cell r="C102">
            <v>95</v>
          </cell>
          <cell r="F102">
            <v>8</v>
          </cell>
          <cell r="H102">
            <v>6</v>
          </cell>
          <cell r="J102">
            <v>1</v>
          </cell>
          <cell r="K102">
            <v>4</v>
          </cell>
          <cell r="N102">
            <v>114</v>
          </cell>
        </row>
        <row r="103">
          <cell r="A103" t="str">
            <v>RE-0006</v>
          </cell>
          <cell r="B103" t="str">
            <v>MAGIC REPAIR 징코 스페셜 2종 세트</v>
          </cell>
          <cell r="C103">
            <v>6</v>
          </cell>
          <cell r="E103">
            <v>3</v>
          </cell>
          <cell r="N103">
            <v>9</v>
          </cell>
        </row>
        <row r="104">
          <cell r="A104" t="str">
            <v>RE-0007</v>
          </cell>
          <cell r="B104" t="str">
            <v>MAGIC REPAIR 징코 아이크림</v>
          </cell>
          <cell r="C104">
            <v>72</v>
          </cell>
          <cell r="F104">
            <v>10</v>
          </cell>
          <cell r="H104">
            <v>4</v>
          </cell>
          <cell r="K104">
            <v>2</v>
          </cell>
          <cell r="N104">
            <v>88</v>
          </cell>
        </row>
        <row r="105">
          <cell r="A105" t="str">
            <v>RE-0008</v>
          </cell>
          <cell r="B105" t="str">
            <v>MAGIC REPAIR 징코5종세트</v>
          </cell>
          <cell r="E105">
            <v>1</v>
          </cell>
          <cell r="N105">
            <v>1</v>
          </cell>
        </row>
        <row r="106">
          <cell r="A106" t="str">
            <v>TR-0001</v>
          </cell>
          <cell r="B106" t="str">
            <v>A304 클리어워시폼</v>
          </cell>
          <cell r="C106">
            <v>48</v>
          </cell>
          <cell r="F106">
            <v>1</v>
          </cell>
          <cell r="G106">
            <v>1</v>
          </cell>
          <cell r="K106">
            <v>1</v>
          </cell>
          <cell r="N106">
            <v>51</v>
          </cell>
        </row>
        <row r="107">
          <cell r="A107" t="str">
            <v>TR-0002</v>
          </cell>
          <cell r="B107" t="str">
            <v>A304 클리어 클렌징크림</v>
          </cell>
          <cell r="C107">
            <v>50</v>
          </cell>
          <cell r="F107">
            <v>1</v>
          </cell>
          <cell r="H107">
            <v>2</v>
          </cell>
          <cell r="N107">
            <v>53</v>
          </cell>
        </row>
        <row r="108">
          <cell r="A108" t="str">
            <v>TR-0003</v>
          </cell>
          <cell r="B108" t="str">
            <v>A304 프로텍트에멀젼</v>
          </cell>
          <cell r="C108">
            <v>174</v>
          </cell>
          <cell r="F108">
            <v>13</v>
          </cell>
          <cell r="H108">
            <v>5</v>
          </cell>
          <cell r="K108">
            <v>2</v>
          </cell>
          <cell r="M108">
            <v>2</v>
          </cell>
          <cell r="N108">
            <v>196</v>
          </cell>
        </row>
        <row r="109">
          <cell r="A109" t="str">
            <v>TR-0004</v>
          </cell>
          <cell r="B109" t="str">
            <v>A304 New 밸런싱스킨</v>
          </cell>
          <cell r="C109">
            <v>159</v>
          </cell>
          <cell r="F109">
            <v>13</v>
          </cell>
          <cell r="H109">
            <v>5</v>
          </cell>
          <cell r="K109">
            <v>3</v>
          </cell>
          <cell r="N109">
            <v>180</v>
          </cell>
        </row>
        <row r="110">
          <cell r="A110" t="str">
            <v>TR-0005</v>
          </cell>
          <cell r="B110" t="str">
            <v>A304 컨트롤크림</v>
          </cell>
          <cell r="C110">
            <v>151</v>
          </cell>
          <cell r="F110">
            <v>12</v>
          </cell>
          <cell r="H110">
            <v>10</v>
          </cell>
          <cell r="N110">
            <v>173</v>
          </cell>
        </row>
        <row r="111">
          <cell r="A111" t="str">
            <v>TR-0006</v>
          </cell>
          <cell r="B111" t="str">
            <v>A304 컨센트레이트에센스</v>
          </cell>
          <cell r="C111">
            <v>92</v>
          </cell>
          <cell r="F111">
            <v>9</v>
          </cell>
          <cell r="H111">
            <v>4</v>
          </cell>
          <cell r="N111">
            <v>105</v>
          </cell>
        </row>
        <row r="112">
          <cell r="A112" t="str">
            <v>TR-0007</v>
          </cell>
          <cell r="B112" t="str">
            <v>A304 New 트러블2종세트</v>
          </cell>
          <cell r="C112">
            <v>18</v>
          </cell>
          <cell r="J112">
            <v>1</v>
          </cell>
          <cell r="N112">
            <v>19</v>
          </cell>
        </row>
        <row r="113">
          <cell r="A113" t="str">
            <v>TR-0008</v>
          </cell>
          <cell r="B113" t="str">
            <v>A304 New 트러블3종세트</v>
          </cell>
          <cell r="C113">
            <v>14</v>
          </cell>
          <cell r="N113">
            <v>14</v>
          </cell>
        </row>
        <row r="114">
          <cell r="A114" t="str">
            <v>TR-0009</v>
          </cell>
          <cell r="B114" t="str">
            <v>A304 트러블4종기획세트</v>
          </cell>
          <cell r="J114">
            <v>1</v>
          </cell>
          <cell r="N114">
            <v>1</v>
          </cell>
        </row>
        <row r="115">
          <cell r="A115" t="str">
            <v>TR-0011</v>
          </cell>
          <cell r="B115" t="str">
            <v>A304 클리어워시폼</v>
          </cell>
          <cell r="C115">
            <v>3</v>
          </cell>
          <cell r="N115">
            <v>3</v>
          </cell>
        </row>
        <row r="116">
          <cell r="A116" t="str">
            <v>TR-0012</v>
          </cell>
          <cell r="B116" t="str">
            <v>A304 클리어클렌징 크림</v>
          </cell>
          <cell r="C116">
            <v>10</v>
          </cell>
          <cell r="F116">
            <v>4</v>
          </cell>
          <cell r="N116">
            <v>14</v>
          </cell>
        </row>
        <row r="117">
          <cell r="A117" t="str">
            <v>WH-0001</v>
          </cell>
          <cell r="B117" t="str">
            <v>Nano White 클레리파잉 소프너</v>
          </cell>
          <cell r="C117">
            <v>129</v>
          </cell>
          <cell r="F117">
            <v>13</v>
          </cell>
          <cell r="H117">
            <v>6</v>
          </cell>
          <cell r="K117">
            <v>1</v>
          </cell>
          <cell r="L117">
            <v>1</v>
          </cell>
          <cell r="M117">
            <v>6</v>
          </cell>
          <cell r="N117">
            <v>156</v>
          </cell>
        </row>
        <row r="118">
          <cell r="A118" t="str">
            <v>WH-0002</v>
          </cell>
          <cell r="B118" t="str">
            <v>Nano White 프로텍티브 플루이드</v>
          </cell>
          <cell r="C118">
            <v>117</v>
          </cell>
          <cell r="F118">
            <v>14</v>
          </cell>
          <cell r="H118">
            <v>6</v>
          </cell>
          <cell r="J118">
            <v>1</v>
          </cell>
          <cell r="K118">
            <v>1</v>
          </cell>
          <cell r="L118">
            <v>1</v>
          </cell>
          <cell r="M118">
            <v>6</v>
          </cell>
          <cell r="N118">
            <v>146</v>
          </cell>
        </row>
        <row r="119">
          <cell r="A119" t="str">
            <v>WH-0003</v>
          </cell>
          <cell r="B119" t="str">
            <v>Nano White 인텐시브 데이크림</v>
          </cell>
          <cell r="C119">
            <v>75</v>
          </cell>
          <cell r="F119">
            <v>8</v>
          </cell>
          <cell r="H119">
            <v>15</v>
          </cell>
          <cell r="K119">
            <v>2</v>
          </cell>
          <cell r="L119">
            <v>2</v>
          </cell>
          <cell r="M119">
            <v>35</v>
          </cell>
          <cell r="N119">
            <v>137</v>
          </cell>
        </row>
        <row r="120">
          <cell r="A120" t="str">
            <v>WH-0004</v>
          </cell>
          <cell r="B120" t="str">
            <v>Nano White 리커버리 나이트크림</v>
          </cell>
          <cell r="C120">
            <v>110</v>
          </cell>
          <cell r="F120">
            <v>4</v>
          </cell>
          <cell r="G120">
            <v>2</v>
          </cell>
          <cell r="H120">
            <v>7</v>
          </cell>
          <cell r="L120">
            <v>2</v>
          </cell>
          <cell r="M120">
            <v>53</v>
          </cell>
          <cell r="N120">
            <v>178</v>
          </cell>
        </row>
        <row r="121">
          <cell r="A121" t="str">
            <v>WH-0005</v>
          </cell>
          <cell r="B121" t="str">
            <v>Nano White 컨센트레이트 에센스</v>
          </cell>
          <cell r="C121">
            <v>27</v>
          </cell>
          <cell r="F121">
            <v>11</v>
          </cell>
          <cell r="G121">
            <v>1</v>
          </cell>
          <cell r="N121">
            <v>39</v>
          </cell>
        </row>
        <row r="122">
          <cell r="A122" t="str">
            <v>WH-0006</v>
          </cell>
          <cell r="B122" t="str">
            <v>Nano White 스팟코렉터</v>
          </cell>
          <cell r="C122">
            <v>20</v>
          </cell>
          <cell r="N122">
            <v>20</v>
          </cell>
        </row>
        <row r="123">
          <cell r="A123" t="str">
            <v>WH-0007</v>
          </cell>
          <cell r="B123" t="str">
            <v>Nano White UV멀티 액티브 크림</v>
          </cell>
          <cell r="C123">
            <v>68</v>
          </cell>
          <cell r="F123">
            <v>14</v>
          </cell>
          <cell r="G123">
            <v>2</v>
          </cell>
          <cell r="H123">
            <v>14</v>
          </cell>
          <cell r="J123">
            <v>2</v>
          </cell>
          <cell r="K123">
            <v>8</v>
          </cell>
          <cell r="M123">
            <v>299</v>
          </cell>
          <cell r="N123">
            <v>407</v>
          </cell>
        </row>
        <row r="124">
          <cell r="A124" t="str">
            <v>WH-0008</v>
          </cell>
          <cell r="B124" t="str">
            <v>Nano White 썬스크린 리퀴드</v>
          </cell>
          <cell r="C124">
            <v>92</v>
          </cell>
          <cell r="F124">
            <v>8</v>
          </cell>
          <cell r="G124">
            <v>1</v>
          </cell>
          <cell r="H124">
            <v>5</v>
          </cell>
          <cell r="K124">
            <v>7</v>
          </cell>
          <cell r="N124">
            <v>113</v>
          </cell>
        </row>
        <row r="125">
          <cell r="A125" t="str">
            <v>WH-0009</v>
          </cell>
          <cell r="B125" t="str">
            <v>Nano White 2종세트</v>
          </cell>
          <cell r="C125">
            <v>17</v>
          </cell>
          <cell r="N125">
            <v>17</v>
          </cell>
        </row>
        <row r="126">
          <cell r="A126" t="str">
            <v>WH-0010</v>
          </cell>
          <cell r="B126" t="str">
            <v>Nano White 3종세트</v>
          </cell>
          <cell r="C126">
            <v>12</v>
          </cell>
          <cell r="N126">
            <v>12</v>
          </cell>
        </row>
        <row r="127">
          <cell r="A127" t="str">
            <v>WH-0011</v>
          </cell>
          <cell r="B127" t="str">
            <v>Nano White 클리어 클린징 폼</v>
          </cell>
          <cell r="C127">
            <v>17</v>
          </cell>
          <cell r="F127">
            <v>2</v>
          </cell>
          <cell r="H127">
            <v>2</v>
          </cell>
          <cell r="K127">
            <v>1</v>
          </cell>
          <cell r="N127">
            <v>22</v>
          </cell>
        </row>
        <row r="128">
          <cell r="A128" t="str">
            <v>WH-0012</v>
          </cell>
          <cell r="B128" t="str">
            <v>Nano White 크리스탈 클린징 오일</v>
          </cell>
          <cell r="C128">
            <v>5</v>
          </cell>
          <cell r="N128">
            <v>5</v>
          </cell>
        </row>
        <row r="129">
          <cell r="A129" t="str">
            <v>WH-0013</v>
          </cell>
          <cell r="B129" t="str">
            <v>Nano White 딥 클린징 밤</v>
          </cell>
          <cell r="C129">
            <v>82</v>
          </cell>
          <cell r="F129">
            <v>6</v>
          </cell>
          <cell r="G129">
            <v>1</v>
          </cell>
          <cell r="H129">
            <v>15</v>
          </cell>
          <cell r="J129">
            <v>2</v>
          </cell>
          <cell r="K129">
            <v>3</v>
          </cell>
          <cell r="N129">
            <v>109</v>
          </cell>
        </row>
        <row r="130">
          <cell r="A130" t="str">
            <v>WH-0014</v>
          </cell>
          <cell r="B130" t="str">
            <v>Nano White 클리어 필링젤</v>
          </cell>
          <cell r="C130">
            <v>70</v>
          </cell>
          <cell r="F130">
            <v>13</v>
          </cell>
          <cell r="G130">
            <v>1</v>
          </cell>
          <cell r="H130">
            <v>12</v>
          </cell>
          <cell r="J130">
            <v>1</v>
          </cell>
          <cell r="K130">
            <v>8</v>
          </cell>
          <cell r="N130">
            <v>105</v>
          </cell>
        </row>
        <row r="131">
          <cell r="A131" t="str">
            <v>WH-0015</v>
          </cell>
          <cell r="B131" t="str">
            <v>Nano White 에센스(단품)</v>
          </cell>
          <cell r="C131">
            <v>67</v>
          </cell>
          <cell r="H131">
            <v>13</v>
          </cell>
          <cell r="K131">
            <v>1</v>
          </cell>
          <cell r="N131">
            <v>81</v>
          </cell>
        </row>
        <row r="132">
          <cell r="A132" t="str">
            <v>WH-0016</v>
          </cell>
          <cell r="B132" t="str">
            <v>Nano White스팟코렉터(2*5ML)</v>
          </cell>
          <cell r="C132">
            <v>7</v>
          </cell>
          <cell r="N132">
            <v>7</v>
          </cell>
        </row>
        <row r="133">
          <cell r="A133" t="str">
            <v>WH-0019</v>
          </cell>
          <cell r="B133" t="str">
            <v>미백EX플래티늄아이크림</v>
          </cell>
          <cell r="C133">
            <v>51</v>
          </cell>
          <cell r="H133">
            <v>1</v>
          </cell>
          <cell r="K133">
            <v>1</v>
          </cell>
          <cell r="N133">
            <v>53</v>
          </cell>
        </row>
        <row r="134">
          <cell r="A134" t="str">
            <v>WH-0020</v>
          </cell>
          <cell r="B134" t="str">
            <v>미백EX플래티늄크림</v>
          </cell>
          <cell r="C134">
            <v>35</v>
          </cell>
          <cell r="N134">
            <v>35</v>
          </cell>
        </row>
        <row r="135">
          <cell r="A135" t="str">
            <v>WH-0021</v>
          </cell>
          <cell r="B135" t="str">
            <v>미백EX플래티늄에센스</v>
          </cell>
          <cell r="C135">
            <v>45</v>
          </cell>
          <cell r="G135">
            <v>1</v>
          </cell>
          <cell r="H135">
            <v>1</v>
          </cell>
          <cell r="N135">
            <v>47</v>
          </cell>
        </row>
        <row r="136">
          <cell r="A136" t="str">
            <v>WH-0025</v>
          </cell>
          <cell r="B136" t="str">
            <v>나노퍼팩트썬크림</v>
          </cell>
          <cell r="C136">
            <v>8</v>
          </cell>
          <cell r="N136">
            <v>8</v>
          </cell>
        </row>
        <row r="137">
          <cell r="A137" t="str">
            <v>WR-0001</v>
          </cell>
          <cell r="B137" t="str">
            <v>링클 에센스 기획세트</v>
          </cell>
          <cell r="C137">
            <v>107</v>
          </cell>
          <cell r="F137">
            <v>11</v>
          </cell>
          <cell r="G137">
            <v>1</v>
          </cell>
          <cell r="H137">
            <v>1</v>
          </cell>
          <cell r="K137">
            <v>2</v>
          </cell>
          <cell r="N137">
            <v>122</v>
          </cell>
        </row>
        <row r="138">
          <cell r="A138" t="str">
            <v>WR-0002</v>
          </cell>
          <cell r="B138" t="str">
            <v>링클 아이크림기획세트</v>
          </cell>
          <cell r="C138">
            <v>84</v>
          </cell>
          <cell r="F138">
            <v>8</v>
          </cell>
          <cell r="H138">
            <v>2</v>
          </cell>
          <cell r="N138">
            <v>94</v>
          </cell>
        </row>
        <row r="139">
          <cell r="A139" t="str">
            <v>WR-0003</v>
          </cell>
          <cell r="B139" t="str">
            <v>링클 라인필러크림</v>
          </cell>
          <cell r="C139">
            <v>127</v>
          </cell>
          <cell r="F139">
            <v>10</v>
          </cell>
          <cell r="G139">
            <v>1</v>
          </cell>
          <cell r="H139">
            <v>2</v>
          </cell>
          <cell r="J139">
            <v>1</v>
          </cell>
          <cell r="K139">
            <v>3</v>
          </cell>
          <cell r="N139">
            <v>144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차대조표"/>
      <sheetName val="전체종합BS"/>
      <sheetName val="국내종합BS"/>
      <sheetName val="전체종합PL"/>
      <sheetName val="국내종합PL"/>
      <sheetName val="차이분석"/>
      <sheetName val="결손금처리계산서"/>
      <sheetName val="잉여금"/>
      <sheetName val="합계잔액시산표"/>
      <sheetName val="보고서CF"/>
      <sheetName val="?????"/>
      <sheetName val="BM_NEW2"/>
      <sheetName val="I一般比"/>
      <sheetName val="계수원본(99.2.28)"/>
      <sheetName val="샤워실위생"/>
      <sheetName val="감사회사"/>
      <sheetName val="보증금(전신전화가입권)"/>
      <sheetName val="LIST"/>
      <sheetName val="당월손익계산서★"/>
      <sheetName val="협조전"/>
      <sheetName val="공사비지급"/>
      <sheetName val="채권(하반기)"/>
      <sheetName val="반제품"/>
      <sheetName val="재공품"/>
      <sheetName val="타과목"/>
      <sheetName val="외상매출금현황-수정분 A2"/>
      <sheetName val="대차"/>
      <sheetName val="매입계산서"/>
      <sheetName val="부분품"/>
      <sheetName val="생산부대통지서"/>
      <sheetName val="피엘"/>
      <sheetName val="반도체"/>
      <sheetName val="93상각비"/>
      <sheetName val="9-1차이내역"/>
      <sheetName val="선급미지급비용"/>
      <sheetName val="가정사항"/>
      <sheetName val="공통"/>
      <sheetName val="95WBS"/>
      <sheetName val="현금흐름표"/>
      <sheetName val="H.P견적(참조)"/>
      <sheetName val="Ctrl"/>
      <sheetName val="2000손익실적"/>
      <sheetName val="2000손익예산"/>
      <sheetName val="ALL"/>
      <sheetName val="Santong22"/>
      <sheetName val="Lead"/>
      <sheetName val="FAB별"/>
      <sheetName val="실적표"/>
      <sheetName val="2001"/>
      <sheetName val="분당임차변경"/>
      <sheetName val="기초자료(20010831)"/>
      <sheetName val="비교대차(완)"/>
      <sheetName val="일반경비(타행)"/>
      <sheetName val="제품(수출)매출"/>
      <sheetName val="상품보조수불"/>
      <sheetName val="제조원가계산서 (2)"/>
      <sheetName val="제품입고(생산)"/>
      <sheetName val="IN"/>
      <sheetName val="Menu_Link"/>
      <sheetName val="금융"/>
      <sheetName val="은행"/>
      <sheetName val="리스"/>
      <sheetName val="보험"/>
      <sheetName val="일반물자(한국통신)"/>
      <sheetName val="시산표"/>
      <sheetName val="원가"/>
      <sheetName val="Sheet1"/>
      <sheetName val="정기적금"/>
      <sheetName val="BS"/>
      <sheetName val="외상매입금점별현황"/>
      <sheetName val="조회서"/>
      <sheetName val="주소"/>
      <sheetName val="근로영수증"/>
      <sheetName val="지급이자"/>
      <sheetName val="1"/>
      <sheetName val="기준정보"/>
      <sheetName val="T48a"/>
      <sheetName val="LU"/>
      <sheetName val="3-31"/>
      <sheetName val="회사정보"/>
      <sheetName val="TEMP1"/>
      <sheetName val="업무분장 "/>
      <sheetName val="#REF"/>
      <sheetName val="매출채권"/>
      <sheetName val="대우2월"/>
      <sheetName val="1.00매출액"/>
      <sheetName val="GB"/>
      <sheetName val="2003경영계획"/>
      <sheetName val="원가관리"/>
      <sheetName val="어음수표추가테스트"/>
      <sheetName val="예금미수 (2)"/>
      <sheetName val="HERO01"/>
      <sheetName val="Ⅱ1-0타"/>
      <sheetName val="SALE"/>
      <sheetName val="첨부1"/>
      <sheetName val="T6-6(2)"/>
      <sheetName val="Data"/>
      <sheetName val="선급비용"/>
      <sheetName val="예수금"/>
      <sheetName val="미지급이자(분쟁대상)"/>
      <sheetName val="율촌자금집행"/>
      <sheetName val="JOB Assign"/>
      <sheetName val="고정자산원본"/>
      <sheetName val="기본입력사항"/>
      <sheetName val="A1"/>
      <sheetName val="11급"/>
      <sheetName val="_____"/>
      <sheetName val="배서어음명세서"/>
      <sheetName val="COND"/>
      <sheetName val="분석항목"/>
      <sheetName val="월확9601"/>
      <sheetName val="영업외손익등"/>
      <sheetName val="시설투자"/>
      <sheetName val="세무서코드"/>
      <sheetName val="대차대조표-공시형"/>
      <sheetName val="TLCF"/>
      <sheetName val="기초코드"/>
      <sheetName val="자본금"/>
      <sheetName val="Sheet2"/>
      <sheetName val="24.보증금(전신전화가입권)"/>
      <sheetName val="22.보증금(전화가입권)"/>
      <sheetName val="절대지우지말것"/>
      <sheetName val="최근5이익잉여금처분계산서"/>
      <sheetName val="최근5재무상태변동표"/>
      <sheetName val="98년BS"/>
      <sheetName val="산출"/>
      <sheetName val="주주명부&lt;끝&gt;"/>
      <sheetName val="서식시트"/>
      <sheetName val="고정비"/>
      <sheetName val="월별비교제조원가명세서"/>
      <sheetName val="A(1)"/>
      <sheetName val="부문손익"/>
      <sheetName val="8월"/>
      <sheetName val="과"/>
      <sheetName val="99매출현"/>
      <sheetName val="자금집행내역"/>
      <sheetName val="판매시설"/>
      <sheetName val="admin"/>
      <sheetName val="감가상각"/>
      <sheetName val="99종합"/>
      <sheetName val="제조원가"/>
      <sheetName val="보증금명세서"/>
      <sheetName val="산출기준(파견전산실)"/>
      <sheetName val="회수내역"/>
      <sheetName val="4.경비 5.영업외수지"/>
      <sheetName val="실적관리"/>
      <sheetName val="표지"/>
      <sheetName val="(1)메가총괄"/>
      <sheetName val="(3)프리머스"/>
      <sheetName val="Sheet11"/>
      <sheetName val="조정명세서"/>
      <sheetName val="Sheet3"/>
      <sheetName val="10.31"/>
      <sheetName val="정산표"/>
      <sheetName val="외화"/>
      <sheetName val="RV미수수익보정"/>
      <sheetName val="불균등-거치외(미수)"/>
      <sheetName val="불균등-TOP(선수)"/>
      <sheetName val="English"/>
      <sheetName val="23기-3분기결산PL"/>
      <sheetName val="EX-외상(06)"/>
      <sheetName val="년간합계"/>
      <sheetName val="지분법(AK) (2)"/>
      <sheetName val="한일자야(감액손실) (2)"/>
      <sheetName val="출자한도1031"/>
      <sheetName val="basic_info"/>
      <sheetName val="확인서"/>
      <sheetName val="명부"/>
      <sheetName val="대외공문"/>
      <sheetName val="현금예금"/>
      <sheetName val="PL"/>
      <sheetName val="10월판관"/>
      <sheetName val="시산표12월(수정후)"/>
      <sheetName val="기준재고"/>
      <sheetName val="CHECK"/>
      <sheetName val="B1(반포1차)"/>
      <sheetName val="Index"/>
      <sheetName val="213"/>
      <sheetName val="0305"/>
      <sheetName val="TB(BS)"/>
      <sheetName val="TB(PL)"/>
      <sheetName val="전문직"/>
      <sheetName val="인턴사원"/>
      <sheetName val="재고자산명세"/>
      <sheetName val="SIMULATION"/>
      <sheetName val="노무비"/>
      <sheetName val="인원계획-미화"/>
      <sheetName val="DY092"/>
      <sheetName val="제작실적"/>
      <sheetName val="COMM"/>
      <sheetName val="수입"/>
      <sheetName val="기본정보"/>
      <sheetName val="반제품생산량(12월월간)"/>
      <sheetName val="원가계산"/>
      <sheetName val="프린트입출고(누적)"/>
      <sheetName val="Macro1"/>
      <sheetName val="미착상품30"/>
      <sheetName val="수익비용총괄"/>
      <sheetName val="축종별판매량"/>
      <sheetName val="표준대차대조표(갑)"/>
      <sheetName val="반품"/>
      <sheetName val="정상"/>
      <sheetName val="폐기-090831"/>
      <sheetName val="前期시산표"/>
      <sheetName val="계정code"/>
      <sheetName val="5.세운W-A"/>
      <sheetName val="Sheet7"/>
      <sheetName val="2008"/>
      <sheetName val="급여대장"/>
      <sheetName val="control"/>
      <sheetName val="노임"/>
      <sheetName val="Code"/>
      <sheetName val="갑지"/>
      <sheetName val="실행"/>
      <sheetName val="플래티늄미디어"/>
      <sheetName val="수정시산표"/>
      <sheetName val="기본사항"/>
      <sheetName val="Sheet1 (3)"/>
      <sheetName val="98"/>
      <sheetName val="건강보험data"/>
      <sheetName val="고용보험data"/>
      <sheetName val="국민연금data"/>
      <sheetName val="급여data(서울)"/>
      <sheetName val="상여data(서울)"/>
      <sheetName val="그패프"/>
      <sheetName val="conclusion"/>
      <sheetName val="결정단가"/>
      <sheetName val="comparables"/>
      <sheetName val="Deduction"/>
      <sheetName val="other"/>
      <sheetName val="Links"/>
      <sheetName val="손익분기분석"/>
      <sheetName val="수익성분석"/>
      <sheetName val="주요재무비율"/>
      <sheetName val="생산성에관한지표"/>
      <sheetName val="´ëÂ÷´ëÁ¶Ç¥"/>
      <sheetName val="상품입력"/>
      <sheetName val="원재료입력"/>
      <sheetName val="2월계획"/>
      <sheetName val="DI1"/>
      <sheetName val="A-LINE"/>
      <sheetName val="YOEMAGUM"/>
      <sheetName val="소기"/>
      <sheetName val="IS_03"/>
      <sheetName val="원가명세_0703"/>
      <sheetName val="보정전"/>
      <sheetName val="Variable"/>
      <sheetName val="F12"/>
      <sheetName val="국내총괄"/>
      <sheetName val="외주가공비0109"/>
      <sheetName val="양식(직판용)"/>
      <sheetName val="매출(월누계)"/>
      <sheetName val="송산관11년월별매출(최종)"/>
      <sheetName val="유진기업"/>
      <sheetName val="지분법평가1분기"/>
      <sheetName val="검토사항"/>
      <sheetName val="ld-극동"/>
      <sheetName val="부산물"/>
      <sheetName val="96수표어음"/>
      <sheetName val="매출.물동명세"/>
      <sheetName val="UTMBPL"/>
      <sheetName val="대표자"/>
      <sheetName val="대표경력"/>
      <sheetName val="신예"/>
      <sheetName val="입력항목"/>
      <sheetName val="업체손실공수.xls"/>
      <sheetName val="적현로"/>
      <sheetName val="unit 4"/>
      <sheetName val="요약"/>
      <sheetName val="일반(본사)"/>
      <sheetName val="일반(의성)"/>
      <sheetName val="미수금(공동공사비)"/>
      <sheetName val="내역서"/>
      <sheetName val="미착기계"/>
      <sheetName val="생산직"/>
      <sheetName val="대가목록"/>
      <sheetName val="96추정PL"/>
      <sheetName val="리뉴얼상각"/>
      <sheetName val="고수익"/>
      <sheetName val="Basic_Information"/>
      <sheetName val="월제조(03.09월)"/>
      <sheetName val="이자율"/>
      <sheetName val="理由"/>
      <sheetName val="마진"/>
      <sheetName val="231218재직현황"/>
      <sheetName val="해창정"/>
      <sheetName val="원가계산서"/>
      <sheetName val="장적산출"/>
      <sheetName val="총괄표"/>
      <sheetName val="경제성분석"/>
      <sheetName val="차입금"/>
      <sheetName val="부채"/>
      <sheetName val="공용"/>
      <sheetName val="선급비용내역서"/>
      <sheetName val="RPC연체 원본"/>
      <sheetName val="대구경북"/>
      <sheetName val="월별손익현황"/>
      <sheetName val="서울서부"/>
      <sheetName val="부산경남"/>
      <sheetName val="서울동부"/>
      <sheetName val="인천경기"/>
      <sheetName val="중부본부"/>
      <sheetName val="호남본부"/>
      <sheetName val="기본 FACTOR"/>
      <sheetName val="통장출금액"/>
      <sheetName val="매출"/>
      <sheetName val="본사타처"/>
      <sheetName val="평가표(당월)"/>
      <sheetName val="대기업"/>
      <sheetName val="①매출"/>
      <sheetName val="96월별PL"/>
      <sheetName val="정의"/>
      <sheetName val="2.ABX개별"/>
      <sheetName val="CaratPrévisions "/>
      <sheetName val="CaratRM99Division "/>
      <sheetName val="CaratRMDivision"/>
      <sheetName val="CaratRSBDivision"/>
      <sheetName val="99입장목표"/>
      <sheetName val="설정(한도)"/>
      <sheetName val="기준"/>
      <sheetName val="매출채권(외출)"/>
      <sheetName val="Fin_Assumption"/>
      <sheetName val="매입수불자재"/>
      <sheetName val="상품매출"/>
      <sheetName val="재고 "/>
      <sheetName val="책임준비금"/>
      <sheetName val="HP1AMLIST"/>
      <sheetName val="현금"/>
      <sheetName val="WPL"/>
      <sheetName val="XL4Poppy"/>
      <sheetName val="Sheet4"/>
      <sheetName val="받어"/>
      <sheetName val="투자기타"/>
      <sheetName val="Voice_Revenue"/>
      <sheetName val="master"/>
      <sheetName val="Macro2"/>
      <sheetName val="97 사업추정(WEKI)"/>
      <sheetName val="Ship Advice"/>
      <sheetName val="완성차 미수금"/>
      <sheetName val="달성율"/>
      <sheetName val="비율"/>
      <sheetName val="호남2"/>
      <sheetName val="손익계산서"/>
      <sheetName val="안전보호구98"/>
      <sheetName val="10월"/>
      <sheetName val="일위대가표"/>
      <sheetName val="기흥진행률"/>
      <sheetName val="캔개발배경"/>
      <sheetName val="시장"/>
      <sheetName val="일정표"/>
      <sheetName val="제품수불"/>
      <sheetName val="가능목표"/>
      <sheetName val="지성학원"/>
      <sheetName val="ILBAN"/>
      <sheetName val="기계"/>
      <sheetName val="FF시장분석 (3)"/>
      <sheetName val="단위단가"/>
      <sheetName val="control sheet"/>
      <sheetName val="보증금_전신전화가입권_"/>
      <sheetName val="Sound9월"/>
      <sheetName val="동해title"/>
      <sheetName val="화요일"/>
      <sheetName val="수요일"/>
      <sheetName val="매출검토"/>
      <sheetName val="변제"/>
      <sheetName val="이자"/>
      <sheetName val="2000년자료"/>
      <sheetName val="특별유가증권"/>
      <sheetName val="총괄"/>
      <sheetName val="non"/>
      <sheetName val="대환취급"/>
      <sheetName val="4"/>
      <sheetName val="98년이전원본"/>
      <sheetName val="2.상각보정명세"/>
      <sheetName val="PPS2"/>
      <sheetName val="3-4.변동내역"/>
      <sheetName val="sst,stl창호"/>
      <sheetName val="목표고객속보"/>
      <sheetName val="00'미수"/>
      <sheetName val="Publishing Plan(Edit)"/>
      <sheetName val="계정별실적"/>
      <sheetName val="무비"/>
      <sheetName val="미래프린팅"/>
      <sheetName val="제이파크"/>
      <sheetName val="특판제외"/>
      <sheetName val="2-2.매출분석"/>
      <sheetName val="합손"/>
      <sheetName val="3-4현"/>
      <sheetName val="3-3현"/>
      <sheetName val="0-Basics"/>
      <sheetName val="유통조직현황"/>
      <sheetName val="maccp04"/>
      <sheetName val="시산표(매출조정전)"/>
      <sheetName val="계약서0620"/>
      <sheetName val="F유가증권"/>
      <sheetName val="주식배당"/>
      <sheetName val="미지급금"/>
      <sheetName val="별제권_정리담보권1"/>
      <sheetName val="연봉제451"/>
      <sheetName val="2004년하반기 경평반영_민원반영영업점"/>
      <sheetName val="단기차입금(200006)"/>
      <sheetName val="민감도분석"/>
      <sheetName val="Data gathering"/>
      <sheetName val="2.대외공문"/>
      <sheetName val="원가기준정보"/>
      <sheetName val="원가배부작업시간"/>
      <sheetName val="유림골조"/>
      <sheetName val="xxxxxx"/>
      <sheetName val="민감도"/>
      <sheetName val="수입LIST"/>
      <sheetName val="공장"/>
      <sheetName val="운영자금차입금"/>
      <sheetName val="국문FS(제조원가 반영전)"/>
      <sheetName val="금융소득종합과세"/>
      <sheetName val="근로소득세2001"/>
      <sheetName val="용역매출2"/>
      <sheetName val="선급금"/>
      <sheetName val="이익잉여금처분계산서"/>
      <sheetName val="INV"/>
      <sheetName val="1.3.분기세부"/>
      <sheetName val="----"/>
      <sheetName val="장기성단가"/>
      <sheetName val="일일계획"/>
      <sheetName val="Inv. LS"/>
      <sheetName val="가수금대체"/>
      <sheetName val="Actual data"/>
      <sheetName val="당년매출집계"/>
      <sheetName val="예산실적비교"/>
      <sheetName val="분개장·원장"/>
      <sheetName val="대차대조"/>
      <sheetName val="기초데이타"/>
      <sheetName val="주요경영지표"/>
      <sheetName val="제품수불(대체)"/>
      <sheetName val="총제품수불"/>
      <sheetName val="제품입력"/>
      <sheetName val=" 견적서"/>
      <sheetName val="400H 가공,금형비"/>
      <sheetName val="정화조동내역"/>
      <sheetName val="매  출"/>
      <sheetName val="추천서"/>
      <sheetName val="승용"/>
      <sheetName val="입력자료"/>
      <sheetName val="6호기"/>
      <sheetName val="회사개황최종"/>
      <sheetName val="MM"/>
      <sheetName val="공통가설"/>
      <sheetName val="9.1"/>
      <sheetName val="INFO"/>
      <sheetName val="2003SaleHC"/>
      <sheetName val="본부장"/>
      <sheetName val="월할경비"/>
      <sheetName val="현예금LS"/>
      <sheetName val="이익잉여금"/>
      <sheetName val="토요일"/>
      <sheetName val="Main"/>
      <sheetName val="0601"/>
      <sheetName val="T_통화현황_대리점"/>
      <sheetName val="실행계획"/>
      <sheetName val="진행률"/>
      <sheetName val="비주거용"/>
      <sheetName val="2000제조1"/>
      <sheetName val="터파기및재료"/>
      <sheetName val="관람석제출"/>
      <sheetName val="거래선별"/>
      <sheetName val="매출계획 작성 가이드"/>
      <sheetName val="손익계획_정리"/>
      <sheetName val="급여"/>
      <sheetName val="9월리베이트"/>
      <sheetName val="내역(설계)"/>
      <sheetName val="기안"/>
      <sheetName val="목차"/>
      <sheetName val="2003"/>
      <sheetName val="2002"/>
      <sheetName val="내역"/>
      <sheetName val="지역매출USD(2002)"/>
      <sheetName val="MH"/>
      <sheetName val="주민등록"/>
      <sheetName val="공정가치"/>
      <sheetName val="월별수입"/>
      <sheetName val="경영계획_영화"/>
      <sheetName val="단가표"/>
      <sheetName val="IJABUNRI"/>
      <sheetName val="기타현황"/>
      <sheetName val="ARDEPPROPERTY"/>
      <sheetName val="기본데이터"/>
      <sheetName val="단지별수거량"/>
      <sheetName val="D1300 자삽"/>
      <sheetName val="제조원가계산"/>
      <sheetName val="품목별매출"/>
      <sheetName val="단기차입금"/>
      <sheetName val="조도계산서 (도서)"/>
      <sheetName val="20관리비율"/>
      <sheetName val="J直材4"/>
      <sheetName val="K1CSP-00"/>
      <sheetName val="임율"/>
      <sheetName val="집-년간총율"/>
      <sheetName val="sm"/>
      <sheetName val="공정집계_국별"/>
      <sheetName val="영업.일1"/>
      <sheetName val="국내재료(집)"/>
      <sheetName val="재료집계"/>
      <sheetName val="견적구분"/>
      <sheetName val="내역서2안"/>
      <sheetName val="비목계산"/>
      <sheetName val="구입부품비"/>
      <sheetName val="RD제품개발투자비(매가)"/>
      <sheetName val="Baby일위대가"/>
      <sheetName val="공통가설공사"/>
      <sheetName val="CAUDIT"/>
      <sheetName val="2007년분개장"/>
      <sheetName val="개인별급여명세서"/>
      <sheetName val="청구서"/>
      <sheetName val="손익"/>
      <sheetName val="노c"/>
      <sheetName val="건물"/>
      <sheetName val="tax1"/>
      <sheetName val="퇴직영수증"/>
      <sheetName val="미수증권9706"/>
      <sheetName val="Work"/>
      <sheetName val="자료"/>
      <sheetName val="정비직인건비(서울제외)"/>
      <sheetName val="매출원가"/>
      <sheetName val="XREF"/>
      <sheetName val="가격요약"/>
      <sheetName val="인상기준"/>
      <sheetName val="지급자재"/>
      <sheetName val="제품별 MC"/>
      <sheetName val="제품단가.."/>
      <sheetName val="면적"/>
      <sheetName val="예적금"/>
      <sheetName val="경비테이블"/>
      <sheetName val="회수율"/>
      <sheetName val="财务费用表"/>
      <sheetName val="R&amp;D"/>
      <sheetName val="일반사항"/>
      <sheetName val="최종전사PL"/>
      <sheetName val="월별손익"/>
      <sheetName val="보정사항"/>
      <sheetName val="계산근거"/>
      <sheetName val="9904"/>
      <sheetName val="9908"/>
      <sheetName val="9912"/>
      <sheetName val="9902"/>
      <sheetName val="9901"/>
      <sheetName val="9907"/>
      <sheetName val="9906"/>
      <sheetName val="9903"/>
      <sheetName val="9905"/>
      <sheetName val="9911"/>
      <sheetName val="9910"/>
      <sheetName val="9909"/>
      <sheetName val="원본"/>
      <sheetName val="계수원본(99_2_28)"/>
      <sheetName val="외상매출금현황-수정분_A2"/>
      <sheetName val="H_P견적(참조)"/>
      <sheetName val="제조원가계산서_(2)"/>
      <sheetName val="예금미수_(2)"/>
      <sheetName val="JOB_Assign"/>
      <sheetName val="업무분장_"/>
      <sheetName val="1_00매출액"/>
      <sheetName val="22_보증금(전화가입권)"/>
      <sheetName val="지분법(AK)_(2)"/>
      <sheetName val="한일자야(감액손실)_(2)"/>
      <sheetName val="24_보증금(전신전화가입권)"/>
      <sheetName val="10_31"/>
      <sheetName val="Sheet1_(3)"/>
      <sheetName val="4_경비_5_영업외수지"/>
      <sheetName val="5_세운W-A"/>
      <sheetName val="월제조(03_09월)"/>
      <sheetName val="재고_"/>
      <sheetName val="매출_물동명세"/>
      <sheetName val="2_ABX개별"/>
      <sheetName val="CaratPrévisions_"/>
      <sheetName val="CaratRM99Division_"/>
      <sheetName val="업체손실공수_xls"/>
      <sheetName val="unit_4"/>
      <sheetName val="Ship_Advice"/>
      <sheetName val="97_사업추정(WEKI)"/>
      <sheetName val="control_sheet"/>
      <sheetName val="국문FS(제조원가_반영전)"/>
      <sheetName val="RPC연체_원본"/>
      <sheetName val="FF시장분석_(3)"/>
      <sheetName val="_견적서"/>
      <sheetName val="2_상각보정명세"/>
      <sheetName val="Publishing_Plan(Edit)"/>
      <sheetName val="완성차_미수금"/>
      <sheetName val="2-2_매출분석"/>
      <sheetName val="기본_FACTOR"/>
      <sheetName val="2004년하반기_경평반영_민원반영영업점"/>
      <sheetName val="XLUTIL"/>
      <sheetName val="공통사항"/>
      <sheetName val="건축내역"/>
      <sheetName val="Ⅰ-3"/>
      <sheetName val="1.능률현황"/>
      <sheetName val="2.호선별예상실적"/>
      <sheetName val="2000이전건준공"/>
      <sheetName val="2001발주"/>
      <sheetName val="2분기평가"/>
      <sheetName val="재무.17.충당금 명세서"/>
      <sheetName val="건축"/>
      <sheetName val="Macro3"/>
      <sheetName val="유림콘도"/>
      <sheetName val="Laying"/>
      <sheetName val="0096판보"/>
      <sheetName val="1월"/>
      <sheetName val="A2"/>
      <sheetName val="GR_EBITDA"/>
      <sheetName val="GR_판매추이"/>
      <sheetName val="GR_전사이익"/>
      <sheetName val="기조_증감"/>
      <sheetName val="기조_손익"/>
      <sheetName val="증감내역"/>
      <sheetName val="박상무"/>
      <sheetName val="곽병갑"/>
      <sheetName val="김석천"/>
      <sheetName val="오이균"/>
      <sheetName val="이명례"/>
      <sheetName val="계정잔액"/>
      <sheetName val="자재비실적"/>
      <sheetName val="应付账款余额表"/>
      <sheetName val="자재별"/>
      <sheetName val="투찰가"/>
      <sheetName val="MAT"/>
      <sheetName val="Revised PEGS98"/>
      <sheetName val="RPC연체"/>
      <sheetName val="사업자등록증"/>
      <sheetName val="3.판관비명세서"/>
      <sheetName val="매출현황(월별)  (2)"/>
      <sheetName val="S&amp;R"/>
      <sheetName val="anaysis_sheet"/>
      <sheetName val="060930"/>
      <sheetName val="코드"/>
      <sheetName val="현금과예금LS"/>
      <sheetName val="예금구좌"/>
      <sheetName val="대구은행"/>
      <sheetName val="건설가"/>
      <sheetName val="DWPM"/>
      <sheetName val="첨부3"/>
      <sheetName val="결산조정08"/>
      <sheetName val="종합"/>
      <sheetName val="직무구분"/>
      <sheetName val="직무인건비"/>
      <sheetName val="직무인원"/>
      <sheetName val="조직"/>
      <sheetName val="총요약"/>
      <sheetName val="1월월보"/>
      <sheetName val="下조건"/>
      <sheetName val="등록정보"/>
      <sheetName val="间接"/>
      <sheetName val="后勤"/>
      <sheetName val="TSOE"/>
      <sheetName val="담보명세"/>
      <sheetName val="CAMERA"/>
      <sheetName val="TIBURON"/>
      <sheetName val="상품목록시트"/>
      <sheetName val="외관불량현황"/>
      <sheetName val="기초"/>
      <sheetName val="수당table"/>
      <sheetName val="上座率"/>
      <sheetName val="3'RD Party"/>
      <sheetName val="engline"/>
      <sheetName val="회의자료"/>
      <sheetName val="국민연금"/>
      <sheetName val="물량"/>
      <sheetName val="등록현황"/>
      <sheetName val="전체"/>
      <sheetName val="Sheet1 (2)"/>
      <sheetName val="参照"/>
      <sheetName val="BOM"/>
      <sheetName val="유효담보가액"/>
      <sheetName val="회사BS"/>
      <sheetName val="LCD_BOM"/>
      <sheetName val="지급어음"/>
      <sheetName val="5600"/>
      <sheetName val="科目余额表"/>
      <sheetName val="应收帐款(외상매출금)"/>
      <sheetName val="생산량"/>
      <sheetName val="Analysis"/>
      <sheetName val="조명시설"/>
      <sheetName val="급여인상효과-연간부담분"/>
      <sheetName val="내수자재"/>
      <sheetName val="일별자금"/>
      <sheetName val="VENDOR LIST"/>
      <sheetName val="공통비"/>
      <sheetName val="산5-7"/>
      <sheetName val="월고정비"/>
      <sheetName val="월고정비_변동비추가"/>
      <sheetName val="월고정비_공헌이익"/>
      <sheetName val="월고정비_손익분기점(1)"/>
      <sheetName val="월고정비_손익분기점(2)"/>
      <sheetName val="급여및잡급"/>
      <sheetName val="복리후생비"/>
      <sheetName val="통신비"/>
      <sheetName val="전력비"/>
      <sheetName val="감가상각비(유형)"/>
      <sheetName val="감가상각비(무형)"/>
      <sheetName val="지급임차료"/>
      <sheetName val="수선비"/>
      <sheetName val="보험료"/>
      <sheetName val="차량유지비"/>
      <sheetName val="교육훈련비"/>
      <sheetName val="운반비"/>
      <sheetName val="소모품비"/>
      <sheetName val="소모품비 (2)"/>
      <sheetName val="제조경비-소모품비"/>
      <sheetName val="소모품비(제조경비-변동비품목)"/>
      <sheetName val="지급수수료"/>
      <sheetName val="여비교통비외"/>
      <sheetName val="외주가공비외"/>
      <sheetName val="원재료"/>
      <sheetName val="투자유가증권"/>
      <sheetName val="제품코드"/>
      <sheetName val="기준수익률"/>
      <sheetName val="20021231"/>
      <sheetName val="총괄갑 "/>
      <sheetName val="TB"/>
      <sheetName val="당월손익계산서_"/>
      <sheetName val="배부기준"/>
      <sheetName val="계수원본(99_2_28)1"/>
      <sheetName val="외상매출금현황-수정분_A21"/>
      <sheetName val="H_P견적(참조)1"/>
      <sheetName val="업무분장_1"/>
      <sheetName val="1_00매출액1"/>
      <sheetName val="제조원가계산서_(2)1"/>
      <sheetName val="JOB_Assign1"/>
      <sheetName val="22_보증금(전화가입권)1"/>
      <sheetName val="예금미수_(2)1"/>
      <sheetName val="24_보증금(전신전화가입권)1"/>
      <sheetName val="10_311"/>
      <sheetName val="지분법(AK)_(2)1"/>
      <sheetName val="한일자야(감액손실)_(2)1"/>
      <sheetName val="4_경비_5_영업외수지1"/>
      <sheetName val="Sheet1_(3)1"/>
      <sheetName val="2_ABX개별1"/>
      <sheetName val="매출_물동명세1"/>
      <sheetName val="업체손실공수_xls1"/>
      <sheetName val="unit_41"/>
      <sheetName val="완성차_미수금1"/>
      <sheetName val="5_세운W-A1"/>
      <sheetName val="월제조(03_09월)1"/>
      <sheetName val="재고_1"/>
      <sheetName val="CaratPrévisions_1"/>
      <sheetName val="CaratRM99Division_1"/>
      <sheetName val="Ship_Advice1"/>
      <sheetName val="control_sheet1"/>
      <sheetName val="RPC연체_원본1"/>
      <sheetName val="기본_FACTOR1"/>
      <sheetName val="FF시장분석_(3)1"/>
      <sheetName val="97_사업추정(WEKI)1"/>
      <sheetName val="국문FS(제조원가_반영전)1"/>
      <sheetName val="Publishing_Plan(Edit)1"/>
      <sheetName val="2_상각보정명세1"/>
      <sheetName val="2-2_매출분석1"/>
      <sheetName val="2004년하반기_경평반영_민원반영영업점1"/>
      <sheetName val="Data_gathering"/>
      <sheetName val="1_3_분기세부"/>
      <sheetName val="400H_가공,금형비"/>
      <sheetName val="_견적서1"/>
      <sheetName val="3-4_변동내역"/>
      <sheetName val="Inv__LS"/>
      <sheetName val="Actual_data"/>
      <sheetName val="제품단가__"/>
      <sheetName val="매__출"/>
      <sheetName val="매출계획_작성_가이드"/>
      <sheetName val="1_능률현황"/>
      <sheetName val="2_호선별예상실적"/>
      <sheetName val="2_대외공문"/>
      <sheetName val="D1300_자삽"/>
      <sheetName val="9_1"/>
      <sheetName val="조도계산서_(도서)"/>
      <sheetName val="영업_일1"/>
      <sheetName val="재무_17_충당금_명세서"/>
      <sheetName val="제품별_MC"/>
      <sheetName val="Revised_PEGS98"/>
      <sheetName val="3_판관비명세서"/>
      <sheetName val="매출현황(월별)__(2)"/>
      <sheetName val="3'RD_Party"/>
      <sheetName val="Sheet1_(2)"/>
      <sheetName val="계수원본(99_2_28)5"/>
      <sheetName val="H_P견적(참조)5"/>
      <sheetName val="외상매출금현황-수정분_A25"/>
      <sheetName val="제조원가계산서_(2)5"/>
      <sheetName val="업무분장_5"/>
      <sheetName val="1_00매출액5"/>
      <sheetName val="예금미수_(2)5"/>
      <sheetName val="2_상각보정명세5"/>
      <sheetName val="지분법(AK)_(2)5"/>
      <sheetName val="한일자야(감액손실)_(2)5"/>
      <sheetName val="JOB_Assign5"/>
      <sheetName val="22_보증금(전화가입권)5"/>
      <sheetName val="24_보증금(전신전화가입권)5"/>
      <sheetName val="10_315"/>
      <sheetName val="Sheet1_(3)5"/>
      <sheetName val="4_경비_5_영업외수지5"/>
      <sheetName val="Publishing_Plan(Edit)5"/>
      <sheetName val="2_ABX개별5"/>
      <sheetName val="5_세운W-A5"/>
      <sheetName val="매출_물동명세5"/>
      <sheetName val="업체손실공수_xls5"/>
      <sheetName val="unit_45"/>
      <sheetName val="월제조(03_09월)5"/>
      <sheetName val="완성차_미수금5"/>
      <sheetName val="CaratPrévisions_5"/>
      <sheetName val="CaratRM99Division_5"/>
      <sheetName val="control_sheet5"/>
      <sheetName val="RPC연체_원본5"/>
      <sheetName val="재고_5"/>
      <sheetName val="Ship_Advice5"/>
      <sheetName val="FF시장분석_(3)5"/>
      <sheetName val="2-2_매출분석5"/>
      <sheetName val="기본_FACTOR5"/>
      <sheetName val="국문FS(제조원가_반영전)5"/>
      <sheetName val="97_사업추정(WEKI)5"/>
      <sheetName val="400H_가공,금형비4"/>
      <sheetName val="_견적서5"/>
      <sheetName val="Data_gathering4"/>
      <sheetName val="1_3_분기세부4"/>
      <sheetName val="3-4_변동내역4"/>
      <sheetName val="2004년하반기_경평반영_민원반영영업점5"/>
      <sheetName val="Inv__LS4"/>
      <sheetName val="Actual_data4"/>
      <sheetName val="제품단가__4"/>
      <sheetName val="매__출4"/>
      <sheetName val="매출계획_작성_가이드4"/>
      <sheetName val="1_능률현황4"/>
      <sheetName val="2_호선별예상실적4"/>
      <sheetName val="2_대외공문4"/>
      <sheetName val="D1300_자삽4"/>
      <sheetName val="9_14"/>
      <sheetName val="조도계산서_(도서)4"/>
      <sheetName val="영업_일14"/>
      <sheetName val="재무_17_충당금_명세서4"/>
      <sheetName val="제품별_MC4"/>
      <sheetName val="Revised_PEGS984"/>
      <sheetName val="3_판관비명세서4"/>
      <sheetName val="매출현황(월별)__(2)4"/>
      <sheetName val="3'RD_Party4"/>
      <sheetName val="계수원본(99_2_28)2"/>
      <sheetName val="H_P견적(참조)2"/>
      <sheetName val="외상매출금현황-수정분_A22"/>
      <sheetName val="제조원가계산서_(2)2"/>
      <sheetName val="업무분장_2"/>
      <sheetName val="1_00매출액2"/>
      <sheetName val="예금미수_(2)2"/>
      <sheetName val="2_상각보정명세2"/>
      <sheetName val="지분법(AK)_(2)2"/>
      <sheetName val="한일자야(감액손실)_(2)2"/>
      <sheetName val="JOB_Assign2"/>
      <sheetName val="22_보증금(전화가입권)2"/>
      <sheetName val="24_보증금(전신전화가입권)2"/>
      <sheetName val="10_312"/>
      <sheetName val="Sheet1_(3)2"/>
      <sheetName val="4_경비_5_영업외수지2"/>
      <sheetName val="Publishing_Plan(Edit)2"/>
      <sheetName val="2_ABX개별2"/>
      <sheetName val="5_세운W-A2"/>
      <sheetName val="매출_물동명세2"/>
      <sheetName val="업체손실공수_xls2"/>
      <sheetName val="unit_42"/>
      <sheetName val="월제조(03_09월)2"/>
      <sheetName val="완성차_미수금2"/>
      <sheetName val="CaratPrévisions_2"/>
      <sheetName val="CaratRM99Division_2"/>
      <sheetName val="control_sheet2"/>
      <sheetName val="RPC연체_원본2"/>
      <sheetName val="재고_2"/>
      <sheetName val="Ship_Advice2"/>
      <sheetName val="FF시장분석_(3)2"/>
      <sheetName val="2-2_매출분석2"/>
      <sheetName val="기본_FACTOR2"/>
      <sheetName val="국문FS(제조원가_반영전)2"/>
      <sheetName val="97_사업추정(WEKI)2"/>
      <sheetName val="400H_가공,금형비1"/>
      <sheetName val="_견적서2"/>
      <sheetName val="Data_gathering1"/>
      <sheetName val="1_3_분기세부1"/>
      <sheetName val="3-4_변동내역1"/>
      <sheetName val="2004년하반기_경평반영_민원반영영업점2"/>
      <sheetName val="Inv__LS1"/>
      <sheetName val="Actual_data1"/>
      <sheetName val="제품단가__1"/>
      <sheetName val="매__출1"/>
      <sheetName val="매출계획_작성_가이드1"/>
      <sheetName val="1_능률현황1"/>
      <sheetName val="2_호선별예상실적1"/>
      <sheetName val="2_대외공문1"/>
      <sheetName val="D1300_자삽1"/>
      <sheetName val="9_11"/>
      <sheetName val="조도계산서_(도서)1"/>
      <sheetName val="영업_일11"/>
      <sheetName val="재무_17_충당금_명세서1"/>
      <sheetName val="제품별_MC1"/>
      <sheetName val="Revised_PEGS981"/>
      <sheetName val="3_판관비명세서1"/>
      <sheetName val="매출현황(월별)__(2)1"/>
      <sheetName val="3'RD_Party1"/>
      <sheetName val="계수원본(99_2_28)3"/>
      <sheetName val="H_P견적(참조)3"/>
      <sheetName val="외상매출금현황-수정분_A23"/>
      <sheetName val="제조원가계산서_(2)3"/>
      <sheetName val="업무분장_3"/>
      <sheetName val="1_00매출액3"/>
      <sheetName val="예금미수_(2)3"/>
      <sheetName val="2_상각보정명세3"/>
      <sheetName val="지분법(AK)_(2)3"/>
      <sheetName val="한일자야(감액손실)_(2)3"/>
      <sheetName val="JOB_Assign3"/>
      <sheetName val="22_보증금(전화가입권)3"/>
      <sheetName val="24_보증금(전신전화가입권)3"/>
      <sheetName val="10_313"/>
      <sheetName val="Sheet1_(3)3"/>
      <sheetName val="4_경비_5_영업외수지3"/>
      <sheetName val="Publishing_Plan(Edit)3"/>
      <sheetName val="2_ABX개별3"/>
      <sheetName val="5_세운W-A3"/>
      <sheetName val="매출_물동명세3"/>
      <sheetName val="업체손실공수_xls3"/>
      <sheetName val="unit_43"/>
      <sheetName val="월제조(03_09월)3"/>
      <sheetName val="완성차_미수금3"/>
      <sheetName val="CaratPrévisions_3"/>
      <sheetName val="CaratRM99Division_3"/>
      <sheetName val="control_sheet3"/>
      <sheetName val="RPC연체_원본3"/>
      <sheetName val="재고_3"/>
      <sheetName val="Ship_Advice3"/>
      <sheetName val="FF시장분석_(3)3"/>
      <sheetName val="2-2_매출분석3"/>
      <sheetName val="기본_FACTOR3"/>
      <sheetName val="국문FS(제조원가_반영전)3"/>
      <sheetName val="97_사업추정(WEKI)3"/>
      <sheetName val="400H_가공,금형비2"/>
      <sheetName val="_견적서3"/>
      <sheetName val="Data_gathering2"/>
      <sheetName val="1_3_분기세부2"/>
      <sheetName val="3-4_변동내역2"/>
      <sheetName val="2004년하반기_경평반영_민원반영영업점3"/>
      <sheetName val="Inv__LS2"/>
      <sheetName val="Actual_data2"/>
      <sheetName val="제품단가__2"/>
      <sheetName val="매__출2"/>
      <sheetName val="매출계획_작성_가이드2"/>
      <sheetName val="1_능률현황2"/>
      <sheetName val="2_호선별예상실적2"/>
      <sheetName val="2_대외공문2"/>
      <sheetName val="D1300_자삽2"/>
      <sheetName val="9_12"/>
      <sheetName val="조도계산서_(도서)2"/>
      <sheetName val="영업_일12"/>
      <sheetName val="재무_17_충당금_명세서2"/>
      <sheetName val="제품별_MC2"/>
      <sheetName val="Revised_PEGS982"/>
      <sheetName val="3_판관비명세서2"/>
      <sheetName val="매출현황(월별)__(2)2"/>
      <sheetName val="3'RD_Party2"/>
      <sheetName val="계수원본(99_2_28)4"/>
      <sheetName val="H_P견적(참조)4"/>
      <sheetName val="외상매출금현황-수정분_A24"/>
      <sheetName val="제조원가계산서_(2)4"/>
      <sheetName val="업무분장_4"/>
      <sheetName val="1_00매출액4"/>
      <sheetName val="예금미수_(2)4"/>
      <sheetName val="2_상각보정명세4"/>
      <sheetName val="지분법(AK)_(2)4"/>
      <sheetName val="한일자야(감액손실)_(2)4"/>
      <sheetName val="JOB_Assign4"/>
      <sheetName val="22_보증금(전화가입권)4"/>
      <sheetName val="24_보증금(전신전화가입권)4"/>
      <sheetName val="10_314"/>
      <sheetName val="Sheet1_(3)4"/>
      <sheetName val="4_경비_5_영업외수지4"/>
      <sheetName val="Publishing_Plan(Edit)4"/>
      <sheetName val="2_ABX개별4"/>
      <sheetName val="5_세운W-A4"/>
      <sheetName val="매출_물동명세4"/>
      <sheetName val="업체손실공수_xls4"/>
      <sheetName val="unit_44"/>
      <sheetName val="월제조(03_09월)4"/>
      <sheetName val="완성차_미수금4"/>
      <sheetName val="CaratPrévisions_4"/>
      <sheetName val="CaratRM99Division_4"/>
      <sheetName val="control_sheet4"/>
      <sheetName val="RPC연체_원본4"/>
      <sheetName val="재고_4"/>
      <sheetName val="Ship_Advice4"/>
      <sheetName val="FF시장분석_(3)4"/>
      <sheetName val="2-2_매출분석4"/>
      <sheetName val="기본_FACTOR4"/>
      <sheetName val="국문FS(제조원가_반영전)4"/>
      <sheetName val="97_사업추정(WEKI)4"/>
      <sheetName val="400H_가공,금형비3"/>
      <sheetName val="_견적서4"/>
      <sheetName val="Data_gathering3"/>
      <sheetName val="1_3_분기세부3"/>
      <sheetName val="3-4_변동내역3"/>
      <sheetName val="2004년하반기_경평반영_민원반영영업점4"/>
      <sheetName val="Inv__LS3"/>
      <sheetName val="Actual_data3"/>
      <sheetName val="제품단가__3"/>
      <sheetName val="매__출3"/>
      <sheetName val="매출계획_작성_가이드3"/>
      <sheetName val="1_능률현황3"/>
      <sheetName val="2_호선별예상실적3"/>
      <sheetName val="2_대외공문3"/>
      <sheetName val="D1300_자삽3"/>
      <sheetName val="9_13"/>
      <sheetName val="조도계산서_(도서)3"/>
      <sheetName val="영업_일13"/>
      <sheetName val="재무_17_충당금_명세서3"/>
      <sheetName val="제품별_MC3"/>
      <sheetName val="Revised_PEGS983"/>
      <sheetName val="3_판관비명세서3"/>
      <sheetName val="매출현황(월별)__(2)3"/>
      <sheetName val="3'RD_Party3"/>
      <sheetName val="분기별"/>
      <sheetName val="세액계산"/>
      <sheetName val="유통간부"/>
      <sheetName val="기본"/>
      <sheetName val="관리1"/>
      <sheetName val="시설장비"/>
      <sheetName val="매장명"/>
      <sheetName val="97_사업추정(WEK培¹"/>
      <sheetName val="97_사업추정(WEK培ú"/>
      <sheetName val="명세"/>
      <sheetName val="data_val"/>
      <sheetName val="수리계산(5년)1유역"/>
      <sheetName val="수리계산(5년)2유역"/>
      <sheetName val="수리계산(5년)3유역"/>
      <sheetName val="수리계산(10년)4유역"/>
      <sheetName val="수리계산(10년)5유역"/>
      <sheetName val="표지(목차)"/>
      <sheetName val="표지(자재집계표)"/>
      <sheetName val="표지(토공)"/>
      <sheetName val="표지(배수공)"/>
      <sheetName val="표지(포장공)"/>
      <sheetName val="표지(부대공)"/>
      <sheetName val="공사원가계산서"/>
      <sheetName val="공사원가계산서(전기)"/>
      <sheetName val="총괄재료집계표"/>
      <sheetName val="골재량산출"/>
      <sheetName val="토공집계표"/>
      <sheetName val="토적계산"/>
      <sheetName val="P,E이중관Φ400"/>
      <sheetName val="P,E이중관Φ800"/>
      <sheetName val="P.E이중관보호공800(터파기)"/>
      <sheetName val="우수집수정터파기(A-TYPE)"/>
      <sheetName val="우수집수정터파기(B-TYPE)"/>
      <sheetName val="콘크리트포장깨기"/>
      <sheetName val="배수공수량집계표"/>
      <sheetName val="배수공재료집계표"/>
      <sheetName val="배수몰탈수량"/>
      <sheetName val="L형측구(화강암)A&quot;"/>
      <sheetName val="L형측구(화강암)B&quot;"/>
      <sheetName val="P.E이중관보호공800"/>
      <sheetName val="우수집수정(A-TYPE)"/>
      <sheetName val="우수집수정(B-TYPE)"/>
      <sheetName val="횡배수관날개벽"/>
      <sheetName val="날개벽수량표"/>
      <sheetName val="노임단가"/>
      <sheetName val="덕전리"/>
      <sheetName val="공사비집계"/>
      <sheetName val="판관비"/>
      <sheetName val="시험연구비상각"/>
      <sheetName val="가격표"/>
      <sheetName val="받을어음"/>
      <sheetName val="N00"/>
      <sheetName val="ML"/>
      <sheetName val="2005년"/>
      <sheetName val="내수충당금"/>
      <sheetName val="1月兼职考勤纪录"/>
      <sheetName val="본사현황"/>
      <sheetName val="쌍용건설"/>
      <sheetName val="U3.1"/>
      <sheetName val="이매"/>
      <sheetName val="접수"/>
      <sheetName val="이름표"/>
      <sheetName val="FAB4생산"/>
      <sheetName val="(참고) 리스크 맵"/>
      <sheetName val="대지급금(외화)"/>
      <sheetName val="성적표96"/>
      <sheetName val="이익처분"/>
      <sheetName val="US Codes"/>
      <sheetName val="Ⅰ-1"/>
      <sheetName val="주요비율-낙관"/>
      <sheetName val="98상품수불(기초)"/>
      <sheetName val="제품수불 (기초)"/>
      <sheetName val="98제품수불부"/>
      <sheetName val="직원배율"/>
      <sheetName val="임원배율"/>
      <sheetName val="FX"/>
      <sheetName val="Pivot"/>
      <sheetName val="일위대가"/>
      <sheetName val="산업은행 경영지표"/>
      <sheetName val="대차합동"/>
      <sheetName val="2공구산출내역"/>
      <sheetName val="Daftar Hutang"/>
      <sheetName val="국산화"/>
      <sheetName val="25.보증금(임차보증금외)"/>
      <sheetName val="경비"/>
      <sheetName val="사진"/>
      <sheetName val="M-5A"/>
      <sheetName val="企业表一"/>
      <sheetName val="M-5C"/>
      <sheetName val="Permanent info"/>
      <sheetName val="마감장"/>
      <sheetName val="General Info"/>
      <sheetName val="메탈재고현황"/>
      <sheetName val="필름재고현황"/>
      <sheetName val="98 전망"/>
      <sheetName val="Page 1"/>
      <sheetName val="5.합병대차대조표"/>
      <sheetName val="status"/>
      <sheetName val="INPUT"/>
      <sheetName val="사채이자비용"/>
      <sheetName val="홍원식"/>
      <sheetName val="이마트품목별"/>
      <sheetName val="SCF"/>
      <sheetName val="기초해지2"/>
      <sheetName val="장차입"/>
      <sheetName val="5.손익 2월"/>
      <sheetName val="부재료입고집계"/>
      <sheetName val="화폐별"/>
      <sheetName val="2.4인력운용"/>
      <sheetName val="상품입고집계"/>
      <sheetName val="借積IQ"/>
      <sheetName val="Krw"/>
      <sheetName val="2001생산"/>
      <sheetName val="2.개발부서별"/>
      <sheetName val="당좌차월"/>
      <sheetName val="JA"/>
      <sheetName val="TEMP"/>
      <sheetName val="Config"/>
      <sheetName val="객석률"/>
      <sheetName val="매출원가및관리비"/>
      <sheetName val="2000년 충당금자료"/>
      <sheetName val="인력 계획"/>
      <sheetName val="소모품비_(2)"/>
      <sheetName val=""/>
      <sheetName val="VENDOR_LIST"/>
      <sheetName val="총괄갑_"/>
      <sheetName val="VENDOR_LIST1"/>
      <sheetName val="Sheet1_(2)1"/>
      <sheetName val="소모품비_(2)1"/>
      <sheetName val="총괄갑_1"/>
      <sheetName val="참고"/>
      <sheetName val="휴일check"/>
      <sheetName val="검산금액"/>
      <sheetName val="선수보증금"/>
      <sheetName val="Sheet5"/>
      <sheetName val="연체일수"/>
      <sheetName val="잔가합계"/>
      <sheetName val="Sheet6"/>
      <sheetName val="중도해지진행업체"/>
      <sheetName val="2001Org"/>
      <sheetName val="납품"/>
      <sheetName val="재고"/>
      <sheetName val="예산내역서"/>
      <sheetName val="1월 생산,자공정 불량 현황"/>
      <sheetName val="유형자산LEAD"/>
      <sheetName val="리드14"/>
      <sheetName val="미회수어음수표test"/>
      <sheetName val="상품구매(구매납품품목조회)"/>
      <sheetName val="수금"/>
      <sheetName val="리츠"/>
      <sheetName val="Ex_Calcul"/>
      <sheetName val="????(99.2.28)"/>
      <sheetName val="Stock Div Accural"/>
      <sheetName val="간이세액표"/>
      <sheetName val="허들기준"/>
      <sheetName val="Building"/>
      <sheetName val="Machinery"/>
      <sheetName val="Office Equipment1"/>
      <sheetName val="Vehicle"/>
      <sheetName val="Movement"/>
      <sheetName val="Disclosure"/>
      <sheetName val="顺义项目上架计划"/>
      <sheetName val="물가지수!"/>
      <sheetName val="B1"/>
      <sheetName val="제품분류명"/>
      <sheetName val="Pg 26-30"/>
      <sheetName val="Pg 38"/>
      <sheetName val="Pg 8 (2)"/>
      <sheetName val="Inputs"/>
      <sheetName val="Staff List"/>
      <sheetName val="社員マスタ"/>
      <sheetName val="FHL D&amp;DL"/>
      <sheetName val="LBO"/>
      <sheetName val="Basic Rate"/>
      <sheetName val="변수"/>
      <sheetName val="By brand"/>
      <sheetName val="Back Data_열량"/>
      <sheetName val="기술지표"/>
      <sheetName val="추가예산"/>
      <sheetName val="신기술(비상장)0412"/>
      <sheetName val="리드"/>
      <sheetName val="후순위채05.01.20"/>
      <sheetName val="RR Allocation"/>
      <sheetName val="Int-Invst"/>
      <sheetName val="Select"/>
      <sheetName val="대구파크쿨링타워"/>
      <sheetName val="JT3.0견적-구1"/>
      <sheetName val="Sales"/>
      <sheetName val="Inventory"/>
      <sheetName val="Other Income"/>
      <sheetName val="FA Movement"/>
      <sheetName val="Selling Expense"/>
      <sheetName val="Manufacture Expense"/>
      <sheetName val="G&amp;A Expense"/>
      <sheetName val="시뮬레이션정보"/>
      <sheetName val="FINALPHP"/>
      <sheetName val="DB"/>
      <sheetName val="0405종란생산계획"/>
      <sheetName val="원본데이터"/>
      <sheetName val="대분류2206"/>
      <sheetName val="Inventory overview"/>
      <sheetName val="Range"/>
      <sheetName val="A5. Sales cut-off"/>
      <sheetName val="Cost center"/>
      <sheetName val="MAIN GATE HOUSE"/>
      <sheetName val="Spreadsheet Information"/>
      <sheetName val="비교손익계산서"/>
      <sheetName val="신제품지원"/>
      <sheetName val="SUP-03"/>
      <sheetName val="Simpanan"/>
      <sheetName val="Cover"/>
      <sheetName val="재고현황(Unit)"/>
      <sheetName val="TBclosing"/>
      <sheetName val="매출(영업 VS 경리)"/>
      <sheetName val="출입자명단"/>
      <sheetName val="사업소득자세수추계"/>
      <sheetName val="운용미수"/>
      <sheetName val="Sheet5(실지급)"/>
      <sheetName val="98실적"/>
      <sheetName val="계획"/>
      <sheetName val="controll"/>
      <sheetName val="실적"/>
      <sheetName val="인건비 내역서"/>
      <sheetName val="MAT_N048"/>
      <sheetName val="채권"/>
      <sheetName val="其他流动资产-长期应收款"/>
      <sheetName val="재료비"/>
      <sheetName val="35~37기추정손익계산서"/>
      <sheetName val="서울판관-공통부문"/>
      <sheetName val="LeadSchedule"/>
      <sheetName val="PAJE,PRJE"/>
      <sheetName val="WTB"/>
      <sheetName val="SALE&amp;COST"/>
      <sheetName val="Working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기획1"/>
      <sheetName val="99퇴직"/>
      <sheetName val="Prepaid expense Final-IDSL1"/>
      <sheetName val="업무분장(현행)"/>
      <sheetName val="32"/>
      <sheetName val="33"/>
      <sheetName val="주요제품"/>
      <sheetName val="INFG1198"/>
      <sheetName val="PopCache"/>
      <sheetName val="유형자산증감"/>
      <sheetName val="무형"/>
      <sheetName val="Bld App and perf"/>
      <sheetName val="감가상각LS"/>
      <sheetName val="LS "/>
      <sheetName val="VAT"/>
      <sheetName val="EIT"/>
      <sheetName val="HB"/>
      <sheetName val="5131"/>
      <sheetName val="인사자료총집계"/>
      <sheetName val="출자한도"/>
      <sheetName val="11111111"/>
      <sheetName val="CRITERIA2"/>
      <sheetName val="Sheet1148"/>
      <sheetName val="IDONG"/>
      <sheetName val="关联交易-存款"/>
      <sheetName val="제조원가명세서"/>
      <sheetName val="매출거래정리"/>
      <sheetName val="1.일반사항"/>
      <sheetName val="14.리스"/>
      <sheetName val="32.특관자"/>
      <sheetName val="33.우발,약정"/>
      <sheetName val="대손검토"/>
      <sheetName val="Asset98-CAK"/>
      <sheetName val="혜주"/>
      <sheetName val="입찰안"/>
      <sheetName val="Factor"/>
      <sheetName val="창원외상매출금(원)"/>
      <sheetName val="ENI"/>
      <sheetName val="Walkthrough "/>
      <sheetName val="@공통코드"/>
      <sheetName val="MIJIBI"/>
      <sheetName val="재공품수불0"/>
      <sheetName val="매입매출(입력)"/>
      <sheetName val="INFORM"/>
      <sheetName val="pplay load"/>
      <sheetName val="F08 Vol breakdown by mth"/>
      <sheetName val="Val only_Finals DSS to IMCs_F08"/>
      <sheetName val="Val only_Interims to DSS_F08"/>
      <sheetName val="Matrix"/>
      <sheetName val="F13 Pipeline"/>
      <sheetName val="Euromins F13"/>
      <sheetName val="7 (2)"/>
      <sheetName val="MALTA"/>
      <sheetName val="SPARK"/>
      <sheetName val="SUPERMONT P"/>
      <sheetName val="SUPERMONT"/>
      <sheetName val="货品销量"/>
      <sheetName val="급여표"/>
      <sheetName val="감사일어"/>
      <sheetName val="Case Rate"/>
      <sheetName val="BMU_H"/>
      <sheetName val="BMU_H2"/>
      <sheetName val="BU H"/>
      <sheetName val="NAWW"/>
      <sheetName val="NAVV"/>
      <sheetName val="최종판매무_외매유"/>
      <sheetName val="2008년 2월 선급"/>
      <sheetName val="메릿"/>
      <sheetName val="인사기본"/>
      <sheetName val="건설중인자산(기타)"/>
      <sheetName val="물품관리"/>
      <sheetName val="대가(센터)"/>
      <sheetName val="차수"/>
      <sheetName val="Quality"/>
      <sheetName val="People"/>
      <sheetName val="Risk"/>
      <sheetName val="Training"/>
      <sheetName val="General"/>
      <sheetName val="Instructions"/>
      <sheetName val="고정희"/>
      <sheetName val="부서자료"/>
      <sheetName val="발생집계"/>
      <sheetName val="토목주소"/>
      <sheetName val="프랜트면허"/>
      <sheetName val="작업불가"/>
      <sheetName val="법인구분"/>
      <sheetName val="4월"/>
      <sheetName val="금융리스"/>
      <sheetName val="외화평가"/>
      <sheetName val="집계표"/>
      <sheetName val="득점현황"/>
      <sheetName val="뒤차축소"/>
      <sheetName val="자재,노무CODE"/>
      <sheetName val="제출용BS(한일+할부)"/>
      <sheetName val="대형원계"/>
      <sheetName val="Translation"/>
      <sheetName val="LBOSHEL5"/>
      <sheetName val="Sch9"/>
      <sheetName val="공사별5 "/>
      <sheetName val="별표 "/>
      <sheetName val="누계실적6"/>
      <sheetName val="실행철강하도"/>
      <sheetName val="5월경비_영업외비용"/>
      <sheetName val="Library Procedures"/>
      <sheetName val="ageing testing"/>
      <sheetName val="Purchase by supplier"/>
      <sheetName val="Purchase by category"/>
      <sheetName val="EurotoolsXRates"/>
      <sheetName val="Lguide"/>
      <sheetName val="Q2"/>
      <sheetName val="분류표"/>
      <sheetName val="产品销售收入与成本明细表"/>
      <sheetName val="投资收益"/>
      <sheetName val="I"/>
      <sheetName val="조선소시수"/>
      <sheetName val="연불채권"/>
      <sheetName val="F1,2"/>
      <sheetName val="F3"/>
      <sheetName val="상환익(2001년도)"/>
      <sheetName val="유가증권현황"/>
      <sheetName val="F45"/>
      <sheetName val="확정예정신고서"/>
      <sheetName val="외주현황.wq1"/>
      <sheetName val="본사공가현황"/>
      <sheetName val="sales "/>
      <sheetName val="Sales by customer "/>
      <sheetName val="Breakdown"/>
      <sheetName val="Final-本部-短期借款"/>
      <sheetName val="FA"/>
      <sheetName val="CIP-final"/>
      <sheetName val="PPE-Pre"/>
      <sheetName val="데이터유효성목록"/>
      <sheetName val="3rd_25K"/>
      <sheetName val="2nd_30K"/>
      <sheetName val="VAT duoc khau tru"/>
      <sheetName val="Non-Statistical Sampling Master"/>
      <sheetName val="Two Step Revenue Testing Master"/>
      <sheetName val="PARTS"/>
      <sheetName val="Global Data"/>
      <sheetName val="Receiving"/>
      <sheetName val="200. Sales reconcile"/>
      <sheetName val="A-1"/>
      <sheetName val="100 - Balance Sheet"/>
      <sheetName val="이자수익OVERALL"/>
      <sheetName val="U1120"/>
      <sheetName val="FS-Consol"/>
      <sheetName val="Assumptions"/>
      <sheetName val="Summary"/>
      <sheetName val="参数"/>
      <sheetName val="考勤"/>
      <sheetName val="社保公积金"/>
      <sheetName val="人工成本"/>
      <sheetName val="替代程序 CDE"/>
      <sheetName val="미국"/>
      <sheetName val="Std_Cost"/>
      <sheetName val="dongia (2)"/>
      <sheetName val="LEDGER"/>
      <sheetName val="Sheet1151"/>
    </sheetNames>
    <sheetDataSet>
      <sheetData sheetId="0" refreshError="1">
        <row r="13">
          <cell r="E13" t="str">
            <v>외상매출금</v>
          </cell>
          <cell r="F13">
            <v>5082464183</v>
          </cell>
          <cell r="G13">
            <v>0</v>
          </cell>
          <cell r="H13">
            <v>5944818452</v>
          </cell>
          <cell r="I13">
            <v>0</v>
          </cell>
          <cell r="J13">
            <v>0</v>
          </cell>
          <cell r="K13">
            <v>100000</v>
          </cell>
          <cell r="L13">
            <v>5944718452</v>
          </cell>
          <cell r="M13" t="str">
            <v/>
          </cell>
        </row>
        <row r="14">
          <cell r="E14" t="str">
            <v>대손충당금</v>
          </cell>
          <cell r="F14">
            <v>11994615</v>
          </cell>
          <cell r="G14">
            <v>5070469568</v>
          </cell>
          <cell r="H14">
            <v>23838721</v>
          </cell>
          <cell r="I14">
            <v>5920979731</v>
          </cell>
          <cell r="J14">
            <v>0</v>
          </cell>
          <cell r="K14">
            <v>0</v>
          </cell>
          <cell r="L14">
            <v>23838721</v>
          </cell>
          <cell r="M14">
            <v>5920879731</v>
          </cell>
        </row>
        <row r="15">
          <cell r="E15" t="str">
            <v>받을어음</v>
          </cell>
          <cell r="F15">
            <v>1742140994</v>
          </cell>
          <cell r="G15">
            <v>0</v>
          </cell>
          <cell r="H15">
            <v>1605855193</v>
          </cell>
          <cell r="I15">
            <v>0</v>
          </cell>
          <cell r="J15">
            <v>0</v>
          </cell>
          <cell r="K15">
            <v>0</v>
          </cell>
          <cell r="L15">
            <v>1605855193</v>
          </cell>
          <cell r="M15" t="str">
            <v/>
          </cell>
        </row>
        <row r="16">
          <cell r="E16" t="str">
            <v>대손충당금</v>
          </cell>
          <cell r="F16">
            <v>4111452</v>
          </cell>
          <cell r="G16">
            <v>1738029542</v>
          </cell>
          <cell r="H16">
            <v>6439479</v>
          </cell>
          <cell r="I16">
            <v>1599415714</v>
          </cell>
          <cell r="J16">
            <v>0</v>
          </cell>
          <cell r="K16">
            <v>0</v>
          </cell>
          <cell r="L16">
            <v>6439479</v>
          </cell>
          <cell r="M16">
            <v>1599415714</v>
          </cell>
        </row>
      </sheetData>
      <sheetData sheetId="1">
        <row r="13">
          <cell r="E13" t="str">
            <v>외상매출금</v>
          </cell>
        </row>
      </sheetData>
      <sheetData sheetId="2">
        <row r="13">
          <cell r="E13" t="str">
            <v>외상매출금</v>
          </cell>
        </row>
      </sheetData>
      <sheetData sheetId="3">
        <row r="13">
          <cell r="E13" t="str">
            <v>외상매출금</v>
          </cell>
        </row>
      </sheetData>
      <sheetData sheetId="4">
        <row r="13">
          <cell r="E13" t="str">
            <v>외상매출금</v>
          </cell>
        </row>
      </sheetData>
      <sheetData sheetId="5">
        <row r="13">
          <cell r="E13" t="str">
            <v>외상매출금</v>
          </cell>
        </row>
      </sheetData>
      <sheetData sheetId="6">
        <row r="13">
          <cell r="E13" t="str">
            <v>외상매출금</v>
          </cell>
        </row>
      </sheetData>
      <sheetData sheetId="7">
        <row r="13">
          <cell r="E13" t="str">
            <v>외상매출금</v>
          </cell>
        </row>
      </sheetData>
      <sheetData sheetId="8">
        <row r="13">
          <cell r="E13" t="str">
            <v>외상매출금</v>
          </cell>
        </row>
      </sheetData>
      <sheetData sheetId="9">
        <row r="13">
          <cell r="E13" t="str">
            <v>외상매출금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>
        <row r="13">
          <cell r="E13">
            <v>0</v>
          </cell>
        </row>
      </sheetData>
      <sheetData sheetId="553">
        <row r="13">
          <cell r="E13">
            <v>0</v>
          </cell>
        </row>
      </sheetData>
      <sheetData sheetId="554">
        <row r="13">
          <cell r="E13">
            <v>0</v>
          </cell>
        </row>
      </sheetData>
      <sheetData sheetId="555">
        <row r="13">
          <cell r="E13">
            <v>0</v>
          </cell>
        </row>
      </sheetData>
      <sheetData sheetId="556">
        <row r="13">
          <cell r="E13">
            <v>0</v>
          </cell>
        </row>
      </sheetData>
      <sheetData sheetId="557">
        <row r="13">
          <cell r="E13">
            <v>0</v>
          </cell>
        </row>
      </sheetData>
      <sheetData sheetId="558">
        <row r="13">
          <cell r="E13">
            <v>0</v>
          </cell>
        </row>
      </sheetData>
      <sheetData sheetId="559">
        <row r="13">
          <cell r="E13">
            <v>0</v>
          </cell>
        </row>
      </sheetData>
      <sheetData sheetId="560">
        <row r="13">
          <cell r="E13">
            <v>0</v>
          </cell>
        </row>
      </sheetData>
      <sheetData sheetId="561">
        <row r="13">
          <cell r="E13">
            <v>0</v>
          </cell>
        </row>
      </sheetData>
      <sheetData sheetId="562">
        <row r="13">
          <cell r="E13">
            <v>0</v>
          </cell>
        </row>
      </sheetData>
      <sheetData sheetId="563">
        <row r="13">
          <cell r="E13">
            <v>0</v>
          </cell>
        </row>
      </sheetData>
      <sheetData sheetId="564">
        <row r="13">
          <cell r="E13">
            <v>0</v>
          </cell>
        </row>
      </sheetData>
      <sheetData sheetId="565">
        <row r="13">
          <cell r="E13">
            <v>0</v>
          </cell>
        </row>
      </sheetData>
      <sheetData sheetId="566">
        <row r="13">
          <cell r="E13">
            <v>0</v>
          </cell>
        </row>
      </sheetData>
      <sheetData sheetId="567">
        <row r="13">
          <cell r="E13">
            <v>0</v>
          </cell>
        </row>
      </sheetData>
      <sheetData sheetId="568">
        <row r="13">
          <cell r="E13">
            <v>0</v>
          </cell>
        </row>
      </sheetData>
      <sheetData sheetId="569">
        <row r="13">
          <cell r="E13">
            <v>0</v>
          </cell>
        </row>
      </sheetData>
      <sheetData sheetId="570">
        <row r="13">
          <cell r="E13">
            <v>0</v>
          </cell>
        </row>
      </sheetData>
      <sheetData sheetId="571">
        <row r="13">
          <cell r="E13">
            <v>0</v>
          </cell>
        </row>
      </sheetData>
      <sheetData sheetId="572">
        <row r="13">
          <cell r="E13">
            <v>0</v>
          </cell>
        </row>
      </sheetData>
      <sheetData sheetId="573">
        <row r="13">
          <cell r="E13">
            <v>0</v>
          </cell>
        </row>
      </sheetData>
      <sheetData sheetId="574">
        <row r="13">
          <cell r="E13">
            <v>0</v>
          </cell>
        </row>
      </sheetData>
      <sheetData sheetId="575">
        <row r="13">
          <cell r="E13">
            <v>0</v>
          </cell>
        </row>
      </sheetData>
      <sheetData sheetId="576">
        <row r="13">
          <cell r="E13">
            <v>0</v>
          </cell>
        </row>
      </sheetData>
      <sheetData sheetId="577">
        <row r="13">
          <cell r="E13">
            <v>0</v>
          </cell>
        </row>
      </sheetData>
      <sheetData sheetId="578">
        <row r="13">
          <cell r="E13">
            <v>0</v>
          </cell>
        </row>
      </sheetData>
      <sheetData sheetId="579">
        <row r="13">
          <cell r="E13">
            <v>0</v>
          </cell>
        </row>
      </sheetData>
      <sheetData sheetId="580">
        <row r="13">
          <cell r="E13">
            <v>0</v>
          </cell>
        </row>
      </sheetData>
      <sheetData sheetId="581">
        <row r="13">
          <cell r="E13">
            <v>0</v>
          </cell>
        </row>
      </sheetData>
      <sheetData sheetId="582">
        <row r="13">
          <cell r="E13">
            <v>0</v>
          </cell>
        </row>
      </sheetData>
      <sheetData sheetId="583">
        <row r="13">
          <cell r="E13">
            <v>0</v>
          </cell>
        </row>
      </sheetData>
      <sheetData sheetId="584"/>
      <sheetData sheetId="585"/>
      <sheetData sheetId="586"/>
      <sheetData sheetId="587">
        <row r="13">
          <cell r="E13">
            <v>0</v>
          </cell>
        </row>
      </sheetData>
      <sheetData sheetId="588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>
        <row r="13">
          <cell r="E13">
            <v>0</v>
          </cell>
        </row>
      </sheetData>
      <sheetData sheetId="641">
        <row r="13">
          <cell r="E13">
            <v>0</v>
          </cell>
        </row>
      </sheetData>
      <sheetData sheetId="642">
        <row r="13">
          <cell r="E13">
            <v>0</v>
          </cell>
        </row>
      </sheetData>
      <sheetData sheetId="643" refreshError="1"/>
      <sheetData sheetId="644">
        <row r="13">
          <cell r="E13">
            <v>0</v>
          </cell>
        </row>
      </sheetData>
      <sheetData sheetId="645">
        <row r="13">
          <cell r="E13">
            <v>0</v>
          </cell>
        </row>
      </sheetData>
      <sheetData sheetId="646">
        <row r="13">
          <cell r="E13">
            <v>0</v>
          </cell>
        </row>
      </sheetData>
      <sheetData sheetId="647">
        <row r="13">
          <cell r="E13">
            <v>0</v>
          </cell>
        </row>
      </sheetData>
      <sheetData sheetId="648">
        <row r="13">
          <cell r="E13">
            <v>0</v>
          </cell>
        </row>
      </sheetData>
      <sheetData sheetId="649">
        <row r="13">
          <cell r="E13">
            <v>0</v>
          </cell>
        </row>
      </sheetData>
      <sheetData sheetId="650">
        <row r="13">
          <cell r="E13">
            <v>0</v>
          </cell>
        </row>
      </sheetData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>
        <row r="13">
          <cell r="E13">
            <v>0</v>
          </cell>
        </row>
      </sheetData>
      <sheetData sheetId="685">
        <row r="13">
          <cell r="E13">
            <v>0</v>
          </cell>
        </row>
      </sheetData>
      <sheetData sheetId="686">
        <row r="13">
          <cell r="E13">
            <v>0</v>
          </cell>
        </row>
      </sheetData>
      <sheetData sheetId="687">
        <row r="13">
          <cell r="E13">
            <v>0</v>
          </cell>
        </row>
      </sheetData>
      <sheetData sheetId="688">
        <row r="13">
          <cell r="E13">
            <v>0</v>
          </cell>
        </row>
      </sheetData>
      <sheetData sheetId="689">
        <row r="13">
          <cell r="E13">
            <v>0</v>
          </cell>
        </row>
      </sheetData>
      <sheetData sheetId="690">
        <row r="13">
          <cell r="E13">
            <v>0</v>
          </cell>
        </row>
      </sheetData>
      <sheetData sheetId="691">
        <row r="13">
          <cell r="E13">
            <v>0</v>
          </cell>
        </row>
      </sheetData>
      <sheetData sheetId="692">
        <row r="13">
          <cell r="E13">
            <v>0</v>
          </cell>
        </row>
      </sheetData>
      <sheetData sheetId="693">
        <row r="13">
          <cell r="E13">
            <v>0</v>
          </cell>
        </row>
      </sheetData>
      <sheetData sheetId="694">
        <row r="13">
          <cell r="E13">
            <v>0</v>
          </cell>
        </row>
      </sheetData>
      <sheetData sheetId="695">
        <row r="13">
          <cell r="E13">
            <v>0</v>
          </cell>
        </row>
      </sheetData>
      <sheetData sheetId="696">
        <row r="13">
          <cell r="E13">
            <v>0</v>
          </cell>
        </row>
      </sheetData>
      <sheetData sheetId="697">
        <row r="13">
          <cell r="E13">
            <v>0</v>
          </cell>
        </row>
      </sheetData>
      <sheetData sheetId="698">
        <row r="13">
          <cell r="E13">
            <v>0</v>
          </cell>
        </row>
      </sheetData>
      <sheetData sheetId="699">
        <row r="13">
          <cell r="E13">
            <v>0</v>
          </cell>
        </row>
      </sheetData>
      <sheetData sheetId="700">
        <row r="13">
          <cell r="E13">
            <v>0</v>
          </cell>
        </row>
      </sheetData>
      <sheetData sheetId="701">
        <row r="13">
          <cell r="E13">
            <v>0</v>
          </cell>
        </row>
      </sheetData>
      <sheetData sheetId="702">
        <row r="13">
          <cell r="E13">
            <v>0</v>
          </cell>
        </row>
      </sheetData>
      <sheetData sheetId="703">
        <row r="13">
          <cell r="E13">
            <v>0</v>
          </cell>
        </row>
      </sheetData>
      <sheetData sheetId="704">
        <row r="13">
          <cell r="E13">
            <v>0</v>
          </cell>
        </row>
      </sheetData>
      <sheetData sheetId="705">
        <row r="13">
          <cell r="E13">
            <v>0</v>
          </cell>
        </row>
      </sheetData>
      <sheetData sheetId="706">
        <row r="13">
          <cell r="E13">
            <v>0</v>
          </cell>
        </row>
      </sheetData>
      <sheetData sheetId="707">
        <row r="13">
          <cell r="E13">
            <v>0</v>
          </cell>
        </row>
      </sheetData>
      <sheetData sheetId="708">
        <row r="13">
          <cell r="E13">
            <v>0</v>
          </cell>
        </row>
      </sheetData>
      <sheetData sheetId="709">
        <row r="13">
          <cell r="E13">
            <v>0</v>
          </cell>
        </row>
      </sheetData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/>
      <sheetData sheetId="719">
        <row r="13">
          <cell r="E13">
            <v>0</v>
          </cell>
        </row>
      </sheetData>
      <sheetData sheetId="720">
        <row r="13">
          <cell r="E13">
            <v>0</v>
          </cell>
        </row>
      </sheetData>
      <sheetData sheetId="721">
        <row r="13">
          <cell r="E13">
            <v>0</v>
          </cell>
        </row>
      </sheetData>
      <sheetData sheetId="722">
        <row r="13">
          <cell r="E13">
            <v>0</v>
          </cell>
        </row>
      </sheetData>
      <sheetData sheetId="723">
        <row r="13">
          <cell r="E13">
            <v>0</v>
          </cell>
        </row>
      </sheetData>
      <sheetData sheetId="724">
        <row r="13">
          <cell r="E13">
            <v>0</v>
          </cell>
        </row>
      </sheetData>
      <sheetData sheetId="725">
        <row r="13">
          <cell r="E13">
            <v>0</v>
          </cell>
        </row>
      </sheetData>
      <sheetData sheetId="726">
        <row r="13">
          <cell r="E13">
            <v>0</v>
          </cell>
        </row>
      </sheetData>
      <sheetData sheetId="727"/>
      <sheetData sheetId="728">
        <row r="13">
          <cell r="E13">
            <v>0</v>
          </cell>
        </row>
      </sheetData>
      <sheetData sheetId="729">
        <row r="13">
          <cell r="E13">
            <v>0</v>
          </cell>
        </row>
      </sheetData>
      <sheetData sheetId="730">
        <row r="13">
          <cell r="E13">
            <v>0</v>
          </cell>
        </row>
      </sheetData>
      <sheetData sheetId="731">
        <row r="13">
          <cell r="E13">
            <v>0</v>
          </cell>
        </row>
      </sheetData>
      <sheetData sheetId="732"/>
      <sheetData sheetId="733">
        <row r="13">
          <cell r="E13">
            <v>0</v>
          </cell>
        </row>
      </sheetData>
      <sheetData sheetId="734">
        <row r="13">
          <cell r="E13">
            <v>0</v>
          </cell>
        </row>
      </sheetData>
      <sheetData sheetId="735">
        <row r="13">
          <cell r="E13">
            <v>0</v>
          </cell>
        </row>
      </sheetData>
      <sheetData sheetId="736">
        <row r="13">
          <cell r="E13">
            <v>0</v>
          </cell>
        </row>
      </sheetData>
      <sheetData sheetId="737">
        <row r="13">
          <cell r="E13">
            <v>0</v>
          </cell>
        </row>
      </sheetData>
      <sheetData sheetId="738">
        <row r="13">
          <cell r="E13">
            <v>0</v>
          </cell>
        </row>
      </sheetData>
      <sheetData sheetId="739">
        <row r="13">
          <cell r="E13">
            <v>0</v>
          </cell>
        </row>
      </sheetData>
      <sheetData sheetId="740">
        <row r="13">
          <cell r="E13">
            <v>0</v>
          </cell>
        </row>
      </sheetData>
      <sheetData sheetId="741">
        <row r="13">
          <cell r="E13">
            <v>0</v>
          </cell>
        </row>
      </sheetData>
      <sheetData sheetId="742">
        <row r="13">
          <cell r="E13">
            <v>0</v>
          </cell>
        </row>
      </sheetData>
      <sheetData sheetId="743">
        <row r="13">
          <cell r="E13">
            <v>0</v>
          </cell>
        </row>
      </sheetData>
      <sheetData sheetId="744">
        <row r="13">
          <cell r="E13">
            <v>0</v>
          </cell>
        </row>
      </sheetData>
      <sheetData sheetId="745">
        <row r="13">
          <cell r="E13">
            <v>0</v>
          </cell>
        </row>
      </sheetData>
      <sheetData sheetId="746">
        <row r="13">
          <cell r="E13">
            <v>0</v>
          </cell>
        </row>
      </sheetData>
      <sheetData sheetId="747">
        <row r="13">
          <cell r="E13">
            <v>0</v>
          </cell>
        </row>
      </sheetData>
      <sheetData sheetId="748"/>
      <sheetData sheetId="749"/>
      <sheetData sheetId="750">
        <row r="13">
          <cell r="E13">
            <v>0</v>
          </cell>
        </row>
      </sheetData>
      <sheetData sheetId="751">
        <row r="13">
          <cell r="E13">
            <v>0</v>
          </cell>
        </row>
      </sheetData>
      <sheetData sheetId="752">
        <row r="13">
          <cell r="E13">
            <v>0</v>
          </cell>
        </row>
      </sheetData>
      <sheetData sheetId="753">
        <row r="13">
          <cell r="E13">
            <v>0</v>
          </cell>
        </row>
      </sheetData>
      <sheetData sheetId="754">
        <row r="13">
          <cell r="E13">
            <v>0</v>
          </cell>
        </row>
      </sheetData>
      <sheetData sheetId="755">
        <row r="13">
          <cell r="E13">
            <v>0</v>
          </cell>
        </row>
      </sheetData>
      <sheetData sheetId="756">
        <row r="13">
          <cell r="E13">
            <v>0</v>
          </cell>
        </row>
      </sheetData>
      <sheetData sheetId="757">
        <row r="13">
          <cell r="E13">
            <v>0</v>
          </cell>
        </row>
      </sheetData>
      <sheetData sheetId="758">
        <row r="13">
          <cell r="E13">
            <v>0</v>
          </cell>
        </row>
      </sheetData>
      <sheetData sheetId="759">
        <row r="13">
          <cell r="E13">
            <v>0</v>
          </cell>
        </row>
      </sheetData>
      <sheetData sheetId="760">
        <row r="13">
          <cell r="E13">
            <v>0</v>
          </cell>
        </row>
      </sheetData>
      <sheetData sheetId="761">
        <row r="13">
          <cell r="E13">
            <v>0</v>
          </cell>
        </row>
      </sheetData>
      <sheetData sheetId="762">
        <row r="13">
          <cell r="E13">
            <v>0</v>
          </cell>
        </row>
      </sheetData>
      <sheetData sheetId="763">
        <row r="13">
          <cell r="E13">
            <v>0</v>
          </cell>
        </row>
      </sheetData>
      <sheetData sheetId="764"/>
      <sheetData sheetId="765">
        <row r="13">
          <cell r="E13">
            <v>0</v>
          </cell>
        </row>
      </sheetData>
      <sheetData sheetId="766">
        <row r="13">
          <cell r="E13">
            <v>0</v>
          </cell>
        </row>
      </sheetData>
      <sheetData sheetId="767">
        <row r="13">
          <cell r="E13">
            <v>0</v>
          </cell>
        </row>
      </sheetData>
      <sheetData sheetId="768">
        <row r="13">
          <cell r="E13">
            <v>0</v>
          </cell>
        </row>
      </sheetData>
      <sheetData sheetId="769"/>
      <sheetData sheetId="770">
        <row r="13">
          <cell r="E13">
            <v>0</v>
          </cell>
        </row>
      </sheetData>
      <sheetData sheetId="771"/>
      <sheetData sheetId="772">
        <row r="13">
          <cell r="E13">
            <v>0</v>
          </cell>
        </row>
      </sheetData>
      <sheetData sheetId="773">
        <row r="13">
          <cell r="E13">
            <v>0</v>
          </cell>
        </row>
      </sheetData>
      <sheetData sheetId="774">
        <row r="13">
          <cell r="E13">
            <v>0</v>
          </cell>
        </row>
      </sheetData>
      <sheetData sheetId="775">
        <row r="13">
          <cell r="E13">
            <v>0</v>
          </cell>
        </row>
      </sheetData>
      <sheetData sheetId="776">
        <row r="13">
          <cell r="E13">
            <v>0</v>
          </cell>
        </row>
      </sheetData>
      <sheetData sheetId="777"/>
      <sheetData sheetId="778">
        <row r="13">
          <cell r="E13">
            <v>0</v>
          </cell>
        </row>
      </sheetData>
      <sheetData sheetId="779"/>
      <sheetData sheetId="780"/>
      <sheetData sheetId="781">
        <row r="13">
          <cell r="E13">
            <v>0</v>
          </cell>
        </row>
      </sheetData>
      <sheetData sheetId="782">
        <row r="13">
          <cell r="E13">
            <v>0</v>
          </cell>
        </row>
      </sheetData>
      <sheetData sheetId="783">
        <row r="13">
          <cell r="E13">
            <v>0</v>
          </cell>
        </row>
      </sheetData>
      <sheetData sheetId="784">
        <row r="13">
          <cell r="E13">
            <v>0</v>
          </cell>
        </row>
      </sheetData>
      <sheetData sheetId="785">
        <row r="13">
          <cell r="E13">
            <v>0</v>
          </cell>
        </row>
      </sheetData>
      <sheetData sheetId="786">
        <row r="13">
          <cell r="E13">
            <v>0</v>
          </cell>
        </row>
      </sheetData>
      <sheetData sheetId="787">
        <row r="13">
          <cell r="E13">
            <v>0</v>
          </cell>
        </row>
      </sheetData>
      <sheetData sheetId="788">
        <row r="13">
          <cell r="E13">
            <v>0</v>
          </cell>
        </row>
      </sheetData>
      <sheetData sheetId="789">
        <row r="13">
          <cell r="E13">
            <v>0</v>
          </cell>
        </row>
      </sheetData>
      <sheetData sheetId="790">
        <row r="13">
          <cell r="E13">
            <v>0</v>
          </cell>
        </row>
      </sheetData>
      <sheetData sheetId="791">
        <row r="13">
          <cell r="E13">
            <v>0</v>
          </cell>
        </row>
      </sheetData>
      <sheetData sheetId="792"/>
      <sheetData sheetId="793"/>
      <sheetData sheetId="794"/>
      <sheetData sheetId="795">
        <row r="13">
          <cell r="E13">
            <v>0</v>
          </cell>
        </row>
      </sheetData>
      <sheetData sheetId="796"/>
      <sheetData sheetId="797">
        <row r="13">
          <cell r="E13">
            <v>0</v>
          </cell>
        </row>
      </sheetData>
      <sheetData sheetId="798">
        <row r="13">
          <cell r="E13">
            <v>0</v>
          </cell>
        </row>
      </sheetData>
      <sheetData sheetId="799">
        <row r="13">
          <cell r="E13">
            <v>0</v>
          </cell>
        </row>
      </sheetData>
      <sheetData sheetId="800"/>
      <sheetData sheetId="801">
        <row r="13">
          <cell r="E13">
            <v>0</v>
          </cell>
        </row>
      </sheetData>
      <sheetData sheetId="802">
        <row r="13">
          <cell r="E13">
            <v>0</v>
          </cell>
        </row>
      </sheetData>
      <sheetData sheetId="803"/>
      <sheetData sheetId="804">
        <row r="13">
          <cell r="E13">
            <v>0</v>
          </cell>
        </row>
      </sheetData>
      <sheetData sheetId="805">
        <row r="13">
          <cell r="E13">
            <v>0</v>
          </cell>
        </row>
      </sheetData>
      <sheetData sheetId="806">
        <row r="13">
          <cell r="E13">
            <v>0</v>
          </cell>
        </row>
      </sheetData>
      <sheetData sheetId="807">
        <row r="13">
          <cell r="E13">
            <v>0</v>
          </cell>
        </row>
      </sheetData>
      <sheetData sheetId="808">
        <row r="13">
          <cell r="E13">
            <v>0</v>
          </cell>
        </row>
      </sheetData>
      <sheetData sheetId="809">
        <row r="13">
          <cell r="E13">
            <v>0</v>
          </cell>
        </row>
      </sheetData>
      <sheetData sheetId="810">
        <row r="13">
          <cell r="E13">
            <v>0</v>
          </cell>
        </row>
      </sheetData>
      <sheetData sheetId="811">
        <row r="13">
          <cell r="E13">
            <v>0</v>
          </cell>
        </row>
      </sheetData>
      <sheetData sheetId="812">
        <row r="13">
          <cell r="E13">
            <v>0</v>
          </cell>
        </row>
      </sheetData>
      <sheetData sheetId="813"/>
      <sheetData sheetId="814"/>
      <sheetData sheetId="815"/>
      <sheetData sheetId="816"/>
      <sheetData sheetId="817">
        <row r="13">
          <cell r="E13">
            <v>0</v>
          </cell>
        </row>
      </sheetData>
      <sheetData sheetId="818">
        <row r="13">
          <cell r="E13">
            <v>0</v>
          </cell>
        </row>
      </sheetData>
      <sheetData sheetId="819">
        <row r="13">
          <cell r="E13">
            <v>0</v>
          </cell>
        </row>
      </sheetData>
      <sheetData sheetId="820"/>
      <sheetData sheetId="821">
        <row r="13">
          <cell r="E13">
            <v>0</v>
          </cell>
        </row>
      </sheetData>
      <sheetData sheetId="822">
        <row r="13">
          <cell r="E13">
            <v>0</v>
          </cell>
        </row>
      </sheetData>
      <sheetData sheetId="823">
        <row r="13">
          <cell r="E13">
            <v>0</v>
          </cell>
        </row>
      </sheetData>
      <sheetData sheetId="824">
        <row r="13">
          <cell r="E13">
            <v>0</v>
          </cell>
        </row>
      </sheetData>
      <sheetData sheetId="825">
        <row r="13">
          <cell r="E13">
            <v>0</v>
          </cell>
        </row>
      </sheetData>
      <sheetData sheetId="826">
        <row r="13">
          <cell r="E13">
            <v>0</v>
          </cell>
        </row>
      </sheetData>
      <sheetData sheetId="827">
        <row r="13">
          <cell r="E13">
            <v>0</v>
          </cell>
        </row>
      </sheetData>
      <sheetData sheetId="828">
        <row r="13">
          <cell r="E13">
            <v>0</v>
          </cell>
        </row>
      </sheetData>
      <sheetData sheetId="829">
        <row r="13">
          <cell r="E13">
            <v>0</v>
          </cell>
        </row>
      </sheetData>
      <sheetData sheetId="830">
        <row r="13">
          <cell r="E13">
            <v>0</v>
          </cell>
        </row>
      </sheetData>
      <sheetData sheetId="831">
        <row r="13">
          <cell r="E13">
            <v>0</v>
          </cell>
        </row>
      </sheetData>
      <sheetData sheetId="832">
        <row r="13">
          <cell r="E13">
            <v>0</v>
          </cell>
        </row>
      </sheetData>
      <sheetData sheetId="833">
        <row r="13">
          <cell r="E13">
            <v>0</v>
          </cell>
        </row>
      </sheetData>
      <sheetData sheetId="834">
        <row r="13">
          <cell r="E13">
            <v>0</v>
          </cell>
        </row>
      </sheetData>
      <sheetData sheetId="835">
        <row r="13">
          <cell r="E13">
            <v>0</v>
          </cell>
        </row>
      </sheetData>
      <sheetData sheetId="836"/>
      <sheetData sheetId="837"/>
      <sheetData sheetId="838">
        <row r="13">
          <cell r="E13">
            <v>0</v>
          </cell>
        </row>
      </sheetData>
      <sheetData sheetId="839">
        <row r="13">
          <cell r="E13">
            <v>0</v>
          </cell>
        </row>
      </sheetData>
      <sheetData sheetId="840">
        <row r="13">
          <cell r="E13">
            <v>0</v>
          </cell>
        </row>
      </sheetData>
      <sheetData sheetId="841">
        <row r="13">
          <cell r="E13">
            <v>0</v>
          </cell>
        </row>
      </sheetData>
      <sheetData sheetId="842">
        <row r="13">
          <cell r="E13">
            <v>0</v>
          </cell>
        </row>
      </sheetData>
      <sheetData sheetId="843">
        <row r="13">
          <cell r="E13">
            <v>0</v>
          </cell>
        </row>
      </sheetData>
      <sheetData sheetId="844">
        <row r="13">
          <cell r="E13">
            <v>0</v>
          </cell>
        </row>
      </sheetData>
      <sheetData sheetId="845">
        <row r="13">
          <cell r="E13">
            <v>0</v>
          </cell>
        </row>
      </sheetData>
      <sheetData sheetId="846">
        <row r="13">
          <cell r="E13">
            <v>0</v>
          </cell>
        </row>
      </sheetData>
      <sheetData sheetId="847">
        <row r="13">
          <cell r="E13">
            <v>0</v>
          </cell>
        </row>
      </sheetData>
      <sheetData sheetId="848">
        <row r="13">
          <cell r="E13">
            <v>0</v>
          </cell>
        </row>
      </sheetData>
      <sheetData sheetId="849">
        <row r="13">
          <cell r="E13">
            <v>0</v>
          </cell>
        </row>
      </sheetData>
      <sheetData sheetId="850">
        <row r="13">
          <cell r="E13">
            <v>0</v>
          </cell>
        </row>
      </sheetData>
      <sheetData sheetId="851">
        <row r="13">
          <cell r="E13">
            <v>0</v>
          </cell>
        </row>
      </sheetData>
      <sheetData sheetId="852">
        <row r="13">
          <cell r="E13">
            <v>0</v>
          </cell>
        </row>
      </sheetData>
      <sheetData sheetId="853"/>
      <sheetData sheetId="854">
        <row r="13">
          <cell r="E13">
            <v>0</v>
          </cell>
        </row>
      </sheetData>
      <sheetData sheetId="855">
        <row r="13">
          <cell r="E13">
            <v>0</v>
          </cell>
        </row>
      </sheetData>
      <sheetData sheetId="856">
        <row r="13">
          <cell r="E13">
            <v>0</v>
          </cell>
        </row>
      </sheetData>
      <sheetData sheetId="857"/>
      <sheetData sheetId="858">
        <row r="13">
          <cell r="E13">
            <v>0</v>
          </cell>
        </row>
      </sheetData>
      <sheetData sheetId="859"/>
      <sheetData sheetId="860">
        <row r="13">
          <cell r="E13">
            <v>0</v>
          </cell>
        </row>
      </sheetData>
      <sheetData sheetId="861"/>
      <sheetData sheetId="862">
        <row r="13">
          <cell r="E13">
            <v>0</v>
          </cell>
        </row>
      </sheetData>
      <sheetData sheetId="863"/>
      <sheetData sheetId="864"/>
      <sheetData sheetId="865"/>
      <sheetData sheetId="866"/>
      <sheetData sheetId="867">
        <row r="13">
          <cell r="E13">
            <v>0</v>
          </cell>
        </row>
      </sheetData>
      <sheetData sheetId="868">
        <row r="13">
          <cell r="E13">
            <v>0</v>
          </cell>
        </row>
      </sheetData>
      <sheetData sheetId="869">
        <row r="13">
          <cell r="E13">
            <v>0</v>
          </cell>
        </row>
      </sheetData>
      <sheetData sheetId="870">
        <row r="13">
          <cell r="E13">
            <v>0</v>
          </cell>
        </row>
      </sheetData>
      <sheetData sheetId="871">
        <row r="13">
          <cell r="E13">
            <v>0</v>
          </cell>
        </row>
      </sheetData>
      <sheetData sheetId="872">
        <row r="13">
          <cell r="E13">
            <v>0</v>
          </cell>
        </row>
      </sheetData>
      <sheetData sheetId="873">
        <row r="13">
          <cell r="E13">
            <v>0</v>
          </cell>
        </row>
      </sheetData>
      <sheetData sheetId="874"/>
      <sheetData sheetId="875"/>
      <sheetData sheetId="876"/>
      <sheetData sheetId="877">
        <row r="13">
          <cell r="E13">
            <v>0</v>
          </cell>
        </row>
      </sheetData>
      <sheetData sheetId="878"/>
      <sheetData sheetId="879"/>
      <sheetData sheetId="880"/>
      <sheetData sheetId="881">
        <row r="13">
          <cell r="E13">
            <v>0</v>
          </cell>
        </row>
      </sheetData>
      <sheetData sheetId="882">
        <row r="13">
          <cell r="E13">
            <v>0</v>
          </cell>
        </row>
      </sheetData>
      <sheetData sheetId="883">
        <row r="13">
          <cell r="E13">
            <v>0</v>
          </cell>
        </row>
      </sheetData>
      <sheetData sheetId="884">
        <row r="13">
          <cell r="E13">
            <v>0</v>
          </cell>
        </row>
      </sheetData>
      <sheetData sheetId="885">
        <row r="13">
          <cell r="E13">
            <v>0</v>
          </cell>
        </row>
      </sheetData>
      <sheetData sheetId="886">
        <row r="13">
          <cell r="E13">
            <v>0</v>
          </cell>
        </row>
      </sheetData>
      <sheetData sheetId="887">
        <row r="13">
          <cell r="E13">
            <v>0</v>
          </cell>
        </row>
      </sheetData>
      <sheetData sheetId="888">
        <row r="13">
          <cell r="E13">
            <v>0</v>
          </cell>
        </row>
      </sheetData>
      <sheetData sheetId="889"/>
      <sheetData sheetId="890"/>
      <sheetData sheetId="891">
        <row r="13">
          <cell r="E13">
            <v>0</v>
          </cell>
        </row>
      </sheetData>
      <sheetData sheetId="892">
        <row r="13">
          <cell r="E13">
            <v>0</v>
          </cell>
        </row>
      </sheetData>
      <sheetData sheetId="893">
        <row r="13">
          <cell r="E13">
            <v>0</v>
          </cell>
        </row>
      </sheetData>
      <sheetData sheetId="894">
        <row r="13">
          <cell r="E13">
            <v>0</v>
          </cell>
        </row>
      </sheetData>
      <sheetData sheetId="895">
        <row r="13">
          <cell r="E13">
            <v>0</v>
          </cell>
        </row>
      </sheetData>
      <sheetData sheetId="896">
        <row r="13">
          <cell r="E13">
            <v>0</v>
          </cell>
        </row>
      </sheetData>
      <sheetData sheetId="897"/>
      <sheetData sheetId="898">
        <row r="13">
          <cell r="E13">
            <v>0</v>
          </cell>
        </row>
      </sheetData>
      <sheetData sheetId="899">
        <row r="13">
          <cell r="E13">
            <v>0</v>
          </cell>
        </row>
      </sheetData>
      <sheetData sheetId="900">
        <row r="13">
          <cell r="E13">
            <v>0</v>
          </cell>
        </row>
      </sheetData>
      <sheetData sheetId="901">
        <row r="13">
          <cell r="E13">
            <v>0</v>
          </cell>
        </row>
      </sheetData>
      <sheetData sheetId="902"/>
      <sheetData sheetId="903">
        <row r="13">
          <cell r="E13">
            <v>0</v>
          </cell>
        </row>
      </sheetData>
      <sheetData sheetId="904">
        <row r="13">
          <cell r="E13">
            <v>0</v>
          </cell>
        </row>
      </sheetData>
      <sheetData sheetId="905"/>
      <sheetData sheetId="906">
        <row r="13">
          <cell r="E13">
            <v>0</v>
          </cell>
        </row>
      </sheetData>
      <sheetData sheetId="907"/>
      <sheetData sheetId="908">
        <row r="13">
          <cell r="E13">
            <v>0</v>
          </cell>
        </row>
      </sheetData>
      <sheetData sheetId="909"/>
      <sheetData sheetId="910">
        <row r="13">
          <cell r="E13">
            <v>0</v>
          </cell>
        </row>
      </sheetData>
      <sheetData sheetId="911"/>
      <sheetData sheetId="912">
        <row r="13">
          <cell r="E13">
            <v>0</v>
          </cell>
        </row>
      </sheetData>
      <sheetData sheetId="913"/>
      <sheetData sheetId="914">
        <row r="13">
          <cell r="E13">
            <v>0</v>
          </cell>
        </row>
      </sheetData>
      <sheetData sheetId="915"/>
      <sheetData sheetId="916"/>
      <sheetData sheetId="917"/>
      <sheetData sheetId="918">
        <row r="13">
          <cell r="E13">
            <v>0</v>
          </cell>
        </row>
      </sheetData>
      <sheetData sheetId="919"/>
      <sheetData sheetId="920">
        <row r="13">
          <cell r="E13">
            <v>0</v>
          </cell>
        </row>
      </sheetData>
      <sheetData sheetId="921"/>
      <sheetData sheetId="922">
        <row r="13">
          <cell r="E13">
            <v>0</v>
          </cell>
        </row>
      </sheetData>
      <sheetData sheetId="923"/>
      <sheetData sheetId="924"/>
      <sheetData sheetId="925"/>
      <sheetData sheetId="926"/>
      <sheetData sheetId="927"/>
      <sheetData sheetId="928">
        <row r="13">
          <cell r="E13">
            <v>0</v>
          </cell>
        </row>
      </sheetData>
      <sheetData sheetId="929"/>
      <sheetData sheetId="930">
        <row r="13">
          <cell r="E13">
            <v>0</v>
          </cell>
        </row>
      </sheetData>
      <sheetData sheetId="931"/>
      <sheetData sheetId="932">
        <row r="13">
          <cell r="E13">
            <v>0</v>
          </cell>
        </row>
      </sheetData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>
        <row r="13">
          <cell r="E13">
            <v>0</v>
          </cell>
        </row>
      </sheetData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>
        <row r="13">
          <cell r="E13">
            <v>0</v>
          </cell>
        </row>
      </sheetData>
      <sheetData sheetId="957"/>
      <sheetData sheetId="958"/>
      <sheetData sheetId="959">
        <row r="13">
          <cell r="E13">
            <v>0</v>
          </cell>
        </row>
      </sheetData>
      <sheetData sheetId="960"/>
      <sheetData sheetId="961">
        <row r="13">
          <cell r="E13">
            <v>0</v>
          </cell>
        </row>
      </sheetData>
      <sheetData sheetId="962"/>
      <sheetData sheetId="963">
        <row r="13">
          <cell r="E13">
            <v>0</v>
          </cell>
        </row>
      </sheetData>
      <sheetData sheetId="964"/>
      <sheetData sheetId="965">
        <row r="13">
          <cell r="E13">
            <v>0</v>
          </cell>
        </row>
      </sheetData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>
        <row r="13">
          <cell r="E13">
            <v>0</v>
          </cell>
        </row>
      </sheetData>
      <sheetData sheetId="1026">
        <row r="13">
          <cell r="E13">
            <v>0</v>
          </cell>
        </row>
      </sheetData>
      <sheetData sheetId="1027">
        <row r="13">
          <cell r="E13">
            <v>0</v>
          </cell>
        </row>
      </sheetData>
      <sheetData sheetId="1028">
        <row r="13">
          <cell r="E13">
            <v>0</v>
          </cell>
        </row>
      </sheetData>
      <sheetData sheetId="1029">
        <row r="13">
          <cell r="E13">
            <v>0</v>
          </cell>
        </row>
      </sheetData>
      <sheetData sheetId="1030">
        <row r="13">
          <cell r="E13">
            <v>0</v>
          </cell>
        </row>
      </sheetData>
      <sheetData sheetId="1031">
        <row r="13">
          <cell r="E13">
            <v>0</v>
          </cell>
        </row>
      </sheetData>
      <sheetData sheetId="1032">
        <row r="13">
          <cell r="E13">
            <v>0</v>
          </cell>
        </row>
      </sheetData>
      <sheetData sheetId="1033">
        <row r="13">
          <cell r="E13">
            <v>0</v>
          </cell>
        </row>
      </sheetData>
      <sheetData sheetId="1034">
        <row r="13">
          <cell r="E13">
            <v>0</v>
          </cell>
        </row>
      </sheetData>
      <sheetData sheetId="1035">
        <row r="13">
          <cell r="E13">
            <v>0</v>
          </cell>
        </row>
      </sheetData>
      <sheetData sheetId="1036">
        <row r="13">
          <cell r="E13">
            <v>0</v>
          </cell>
        </row>
      </sheetData>
      <sheetData sheetId="1037">
        <row r="13">
          <cell r="E13">
            <v>0</v>
          </cell>
        </row>
      </sheetData>
      <sheetData sheetId="1038">
        <row r="13">
          <cell r="E13">
            <v>0</v>
          </cell>
        </row>
      </sheetData>
      <sheetData sheetId="1039">
        <row r="13">
          <cell r="E13">
            <v>0</v>
          </cell>
        </row>
      </sheetData>
      <sheetData sheetId="1040">
        <row r="13">
          <cell r="E13">
            <v>0</v>
          </cell>
        </row>
      </sheetData>
      <sheetData sheetId="1041">
        <row r="13">
          <cell r="E13">
            <v>0</v>
          </cell>
        </row>
      </sheetData>
      <sheetData sheetId="1042">
        <row r="13">
          <cell r="E13">
            <v>0</v>
          </cell>
        </row>
      </sheetData>
      <sheetData sheetId="1043">
        <row r="13">
          <cell r="E13">
            <v>0</v>
          </cell>
        </row>
      </sheetData>
      <sheetData sheetId="1044">
        <row r="13">
          <cell r="E13">
            <v>0</v>
          </cell>
        </row>
      </sheetData>
      <sheetData sheetId="1045">
        <row r="13">
          <cell r="E13">
            <v>0</v>
          </cell>
        </row>
      </sheetData>
      <sheetData sheetId="1046">
        <row r="13">
          <cell r="E13">
            <v>0</v>
          </cell>
        </row>
      </sheetData>
      <sheetData sheetId="1047">
        <row r="13">
          <cell r="E13">
            <v>0</v>
          </cell>
        </row>
      </sheetData>
      <sheetData sheetId="1048">
        <row r="13">
          <cell r="E13">
            <v>0</v>
          </cell>
        </row>
      </sheetData>
      <sheetData sheetId="1049">
        <row r="13">
          <cell r="E13">
            <v>0</v>
          </cell>
        </row>
      </sheetData>
      <sheetData sheetId="1050">
        <row r="13">
          <cell r="E13">
            <v>0</v>
          </cell>
        </row>
      </sheetData>
      <sheetData sheetId="1051">
        <row r="13">
          <cell r="E13">
            <v>0</v>
          </cell>
        </row>
      </sheetData>
      <sheetData sheetId="1052">
        <row r="13">
          <cell r="E13">
            <v>0</v>
          </cell>
        </row>
      </sheetData>
      <sheetData sheetId="1053">
        <row r="13">
          <cell r="E13">
            <v>0</v>
          </cell>
        </row>
      </sheetData>
      <sheetData sheetId="1054">
        <row r="13">
          <cell r="E13">
            <v>0</v>
          </cell>
        </row>
      </sheetData>
      <sheetData sheetId="1055">
        <row r="13">
          <cell r="E13">
            <v>0</v>
          </cell>
        </row>
      </sheetData>
      <sheetData sheetId="1056">
        <row r="13">
          <cell r="E13">
            <v>0</v>
          </cell>
        </row>
      </sheetData>
      <sheetData sheetId="1057">
        <row r="13">
          <cell r="E13">
            <v>0</v>
          </cell>
        </row>
      </sheetData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/>
      <sheetData sheetId="1137" refreshError="1"/>
      <sheetData sheetId="1138"/>
      <sheetData sheetId="1139"/>
      <sheetData sheetId="1140"/>
      <sheetData sheetId="1141"/>
      <sheetData sheetId="1142"/>
      <sheetData sheetId="1143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99퇴직"/>
      <sheetName val="현황"/>
      <sheetName val="내용"/>
      <sheetName val="기획1"/>
      <sheetName val="미오"/>
      <sheetName val="3-31"/>
      <sheetName val="99퇴직추계액(본사)"/>
      <sheetName val="월할경비"/>
      <sheetName val="가정"/>
      <sheetName val="Sheet1"/>
      <sheetName val="BM_NEW2"/>
      <sheetName val="대차대조표"/>
      <sheetName val="98"/>
      <sheetName val="Sheet11"/>
      <sheetName val="Ctrl"/>
      <sheetName val="4월 건강정산-기"/>
      <sheetName val="이연법인세_06"/>
      <sheetName val="지분법관련_06"/>
      <sheetName val="주석_06"/>
      <sheetName val="발생집계"/>
      <sheetName val="3-4현"/>
      <sheetName val="3-3현"/>
      <sheetName val="코드"/>
      <sheetName val="FBP"/>
      <sheetName val="SE-C"/>
      <sheetName val="매출(영업 VS 경리)"/>
      <sheetName val="Sheet5(실지급)"/>
      <sheetName val="MatchCode"/>
      <sheetName val="참조"/>
      <sheetName val="손익계산서 raw data"/>
      <sheetName val="손익내역전년"/>
      <sheetName val="수정분개"/>
      <sheetName val="XREF"/>
      <sheetName val="간주기안"/>
      <sheetName val="의제기안"/>
      <sheetName val="무형"/>
      <sheetName val="세액계산"/>
      <sheetName val="WBS98"/>
      <sheetName val="SCF"/>
      <sheetName val="감가상각"/>
      <sheetName val="building"/>
      <sheetName val="대차합동"/>
      <sheetName val="QE근거"/>
      <sheetName val="목록"/>
      <sheetName val="기초해지2"/>
      <sheetName val="채권"/>
      <sheetName val="5월경비_영업외비용"/>
      <sheetName val="1"/>
      <sheetName val="32"/>
      <sheetName val="33"/>
      <sheetName val="5131"/>
      <sheetName val="Pinjaman"/>
      <sheetName val="Simpanan"/>
      <sheetName val="반품"/>
      <sheetName val="정상"/>
      <sheetName val="폐기-090831"/>
      <sheetName val="신제품지원"/>
      <sheetName val="금융리스"/>
      <sheetName val="Index"/>
      <sheetName val="14.리스"/>
      <sheetName val="RR Allocation"/>
      <sheetName val="SUP-03"/>
      <sheetName val="금융소득종합과세"/>
      <sheetName val="근로소득세2001"/>
      <sheetName val="basic_info"/>
      <sheetName val="현금흐름표"/>
      <sheetName val="Inventory_0331"/>
      <sheetName val="사업소득자세수추계"/>
      <sheetName val="HSA"/>
      <sheetName val="DB"/>
      <sheetName val="재고현황(Unit)"/>
      <sheetName val="CAUDIT"/>
      <sheetName val="현금및현금등가물"/>
      <sheetName val="Menu_Link"/>
      <sheetName val="comparables"/>
      <sheetName val="Deduction"/>
      <sheetName val="other"/>
      <sheetName val="conclusion"/>
      <sheetName val="누계실적6"/>
      <sheetName val="Accrual Final"/>
      <sheetName val="분류표"/>
      <sheetName val="수정시산표"/>
      <sheetName val="창원외상매출금(원)"/>
      <sheetName val="98실적"/>
      <sheetName val="비교손익계산서"/>
      <sheetName val="자재,노무CODE"/>
      <sheetName val="마감장"/>
      <sheetName val="뒤차축소"/>
      <sheetName val="PAJE,PRJE"/>
      <sheetName val="WTB"/>
      <sheetName val="업무분장 "/>
      <sheetName val="확정예정신고서"/>
      <sheetName val="기준수익률"/>
      <sheetName val="정산표"/>
      <sheetName val="재료비"/>
      <sheetName val="출입자명단"/>
      <sheetName val="科目余额表"/>
      <sheetName val="유림골조"/>
      <sheetName val="리드14"/>
      <sheetName val="Permanent info"/>
      <sheetName val="붙임2-1  지급조서명세서(2001년분)"/>
      <sheetName val="#REF!"/>
      <sheetName val="Summary"/>
      <sheetName val="CA"/>
      <sheetName val="C"/>
      <sheetName val="연불채권"/>
    </sheetNames>
    <sheetDataSet>
      <sheetData sheetId="0"/>
      <sheetData sheetId="1">
        <row r="1">
          <cell r="A1" t="str">
            <v>사번</v>
          </cell>
          <cell r="B1" t="str">
            <v>성      명</v>
          </cell>
          <cell r="C1" t="str">
            <v>사번성명</v>
          </cell>
          <cell r="D1" t="str">
            <v>부서</v>
          </cell>
          <cell r="E1" t="str">
            <v>부서명</v>
          </cell>
          <cell r="F1" t="str">
            <v>회계코드</v>
          </cell>
          <cell r="G1" t="str">
            <v>2000코드</v>
          </cell>
          <cell r="H1" t="str">
            <v>공항입사</v>
          </cell>
          <cell r="I1" t="str">
            <v>퇴직금추계액</v>
          </cell>
          <cell r="J1" t="str">
            <v>지급일자</v>
          </cell>
          <cell r="K1" t="str">
            <v>퇴충지급액</v>
          </cell>
          <cell r="L1" t="str">
            <v>단퇴충지급액</v>
          </cell>
          <cell r="M1" t="str">
            <v>당기전입액</v>
          </cell>
        </row>
        <row r="2">
          <cell r="A2" t="str">
            <v>0009134</v>
          </cell>
          <cell r="B2" t="str">
            <v>이　학　노</v>
          </cell>
          <cell r="C2" t="str">
            <v>0009134이　학　노</v>
          </cell>
          <cell r="D2" t="str">
            <v>임원</v>
          </cell>
          <cell r="E2" t="str">
            <v>임      원</v>
          </cell>
          <cell r="F2" t="str">
            <v>1010</v>
          </cell>
          <cell r="G2" t="e">
            <v>#N/A</v>
          </cell>
          <cell r="H2" t="str">
            <v>19970301</v>
          </cell>
          <cell r="I2">
            <v>32780000</v>
          </cell>
          <cell r="J2" t="str">
            <v>3 월</v>
          </cell>
          <cell r="K2">
            <v>38243338</v>
          </cell>
        </row>
        <row r="3">
          <cell r="A3" t="str">
            <v>0000101</v>
          </cell>
          <cell r="B3" t="str">
            <v>조　양　호</v>
          </cell>
          <cell r="C3" t="str">
            <v>0000101조　양　호</v>
          </cell>
          <cell r="D3" t="str">
            <v>임원</v>
          </cell>
          <cell r="E3" t="str">
            <v>임      원</v>
          </cell>
          <cell r="F3" t="str">
            <v>1010</v>
          </cell>
          <cell r="G3" t="str">
            <v>1010</v>
          </cell>
          <cell r="H3" t="str">
            <v>19910401</v>
          </cell>
          <cell r="I3">
            <v>490770000</v>
          </cell>
        </row>
        <row r="4">
          <cell r="A4" t="str">
            <v>0000011</v>
          </cell>
          <cell r="B4" t="str">
            <v>조　중　훈</v>
          </cell>
          <cell r="C4" t="str">
            <v>0000011조　중　훈</v>
          </cell>
          <cell r="D4" t="str">
            <v>임원</v>
          </cell>
          <cell r="E4" t="str">
            <v>임      원</v>
          </cell>
          <cell r="F4" t="str">
            <v>1010</v>
          </cell>
          <cell r="G4" t="str">
            <v>1010</v>
          </cell>
          <cell r="H4" t="str">
            <v>19771001</v>
          </cell>
          <cell r="I4">
            <v>970155833</v>
          </cell>
        </row>
        <row r="5">
          <cell r="A5" t="str">
            <v>0000078</v>
          </cell>
          <cell r="B5" t="str">
            <v>진　성　주</v>
          </cell>
          <cell r="C5" t="str">
            <v>0000078진　성　주</v>
          </cell>
          <cell r="D5" t="str">
            <v>임원</v>
          </cell>
          <cell r="E5" t="str">
            <v>임      원</v>
          </cell>
          <cell r="F5" t="str">
            <v>1010</v>
          </cell>
          <cell r="G5" t="str">
            <v>1010</v>
          </cell>
          <cell r="H5" t="str">
            <v>19900714</v>
          </cell>
          <cell r="I5">
            <v>356186667</v>
          </cell>
        </row>
        <row r="6">
          <cell r="A6" t="str">
            <v>0008111</v>
          </cell>
          <cell r="B6" t="str">
            <v>공　재　기</v>
          </cell>
          <cell r="C6" t="str">
            <v>0008111공　재　기</v>
          </cell>
          <cell r="D6" t="str">
            <v>총무</v>
          </cell>
          <cell r="E6" t="str">
            <v>총  무  팀</v>
          </cell>
          <cell r="F6" t="str">
            <v>1120</v>
          </cell>
          <cell r="G6" t="str">
            <v>2120</v>
          </cell>
          <cell r="H6" t="str">
            <v>19960201</v>
          </cell>
          <cell r="I6">
            <v>40238333</v>
          </cell>
        </row>
        <row r="7">
          <cell r="A7" t="str">
            <v>0000065</v>
          </cell>
          <cell r="B7" t="str">
            <v>김　정　남</v>
          </cell>
          <cell r="C7" t="str">
            <v>0000065김　정　남</v>
          </cell>
          <cell r="D7" t="str">
            <v>총무</v>
          </cell>
          <cell r="E7" t="str">
            <v>총  무  팀</v>
          </cell>
          <cell r="F7" t="str">
            <v>1120</v>
          </cell>
          <cell r="G7" t="str">
            <v>2810</v>
          </cell>
          <cell r="H7" t="str">
            <v>19970301</v>
          </cell>
          <cell r="I7">
            <v>32780000</v>
          </cell>
        </row>
        <row r="8">
          <cell r="A8" t="str">
            <v>0009101</v>
          </cell>
          <cell r="B8" t="str">
            <v>백　유　한</v>
          </cell>
          <cell r="C8" t="str">
            <v>0009101백　유　한</v>
          </cell>
          <cell r="D8" t="str">
            <v>총무</v>
          </cell>
          <cell r="E8" t="str">
            <v>총  무  팀</v>
          </cell>
          <cell r="F8" t="str">
            <v>1120</v>
          </cell>
          <cell r="G8" t="e">
            <v>#N/A</v>
          </cell>
          <cell r="H8" t="str">
            <v>19940228</v>
          </cell>
          <cell r="I8">
            <v>74110000</v>
          </cell>
          <cell r="J8" t="str">
            <v>3 월</v>
          </cell>
          <cell r="K8">
            <v>80285830</v>
          </cell>
        </row>
        <row r="9">
          <cell r="A9" t="str">
            <v>0008133</v>
          </cell>
          <cell r="B9" t="str">
            <v>변　기　효</v>
          </cell>
          <cell r="C9" t="str">
            <v>0008133변　기　효</v>
          </cell>
          <cell r="D9" t="str">
            <v>총무</v>
          </cell>
          <cell r="E9" t="str">
            <v>총  무  팀</v>
          </cell>
          <cell r="F9" t="str">
            <v>1120</v>
          </cell>
          <cell r="G9" t="str">
            <v>1120</v>
          </cell>
          <cell r="H9" t="str">
            <v>19980113</v>
          </cell>
          <cell r="I9">
            <v>21853333</v>
          </cell>
        </row>
        <row r="10">
          <cell r="A10" t="str">
            <v>0009112</v>
          </cell>
          <cell r="B10" t="str">
            <v>오　정　우</v>
          </cell>
          <cell r="C10" t="str">
            <v>0009112오　정　우</v>
          </cell>
          <cell r="D10" t="str">
            <v>총무</v>
          </cell>
          <cell r="E10" t="str">
            <v>총  무  팀</v>
          </cell>
          <cell r="F10" t="str">
            <v>1120</v>
          </cell>
          <cell r="G10" t="e">
            <v>#N/A</v>
          </cell>
          <cell r="H10" t="str">
            <v>19980101</v>
          </cell>
          <cell r="I10">
            <v>21853333</v>
          </cell>
          <cell r="J10" t="str">
            <v>3 월</v>
          </cell>
          <cell r="K10">
            <v>27316665</v>
          </cell>
        </row>
        <row r="11">
          <cell r="A11" t="str">
            <v>0000064</v>
          </cell>
          <cell r="B11" t="str">
            <v>유　기　갑</v>
          </cell>
          <cell r="C11" t="str">
            <v>0000064유　기　갑</v>
          </cell>
          <cell r="D11" t="str">
            <v>총무</v>
          </cell>
          <cell r="E11" t="str">
            <v>총  무  팀</v>
          </cell>
          <cell r="F11" t="str">
            <v>1120</v>
          </cell>
          <cell r="G11" t="str">
            <v>1120</v>
          </cell>
          <cell r="H11" t="str">
            <v>19970301</v>
          </cell>
          <cell r="I11">
            <v>32780000</v>
          </cell>
        </row>
        <row r="12">
          <cell r="A12" t="str">
            <v>0006017</v>
          </cell>
          <cell r="B12" t="str">
            <v>최　동　빈</v>
          </cell>
          <cell r="C12" t="str">
            <v>0006017최　동　빈</v>
          </cell>
          <cell r="D12" t="str">
            <v>총무</v>
          </cell>
          <cell r="E12" t="str">
            <v>총  무  팀</v>
          </cell>
          <cell r="F12" t="str">
            <v>1120</v>
          </cell>
          <cell r="G12" t="e">
            <v>#N/A</v>
          </cell>
          <cell r="H12" t="str">
            <v>19850227</v>
          </cell>
          <cell r="I12">
            <v>612686667</v>
          </cell>
          <cell r="J12" t="str">
            <v>3 월</v>
          </cell>
          <cell r="K12">
            <v>616333611</v>
          </cell>
        </row>
        <row r="13">
          <cell r="A13" t="str">
            <v>0000070</v>
          </cell>
          <cell r="B13" t="str">
            <v>최　성　웅</v>
          </cell>
          <cell r="C13" t="str">
            <v>0000070최　성　웅</v>
          </cell>
          <cell r="D13" t="str">
            <v>총무</v>
          </cell>
          <cell r="E13" t="str">
            <v>총  무  팀</v>
          </cell>
          <cell r="F13" t="str">
            <v>1120</v>
          </cell>
          <cell r="G13" t="e">
            <v>#N/A</v>
          </cell>
          <cell r="H13" t="str">
            <v>19980101</v>
          </cell>
          <cell r="I13">
            <v>21853333</v>
          </cell>
          <cell r="J13" t="str">
            <v>3 월</v>
          </cell>
          <cell r="K13">
            <v>27316665</v>
          </cell>
        </row>
        <row r="14">
          <cell r="A14" t="str">
            <v>0008054</v>
          </cell>
          <cell r="B14" t="str">
            <v>최　원　표</v>
          </cell>
          <cell r="C14" t="str">
            <v>0008054최　원　표</v>
          </cell>
          <cell r="D14" t="str">
            <v>총무</v>
          </cell>
          <cell r="E14" t="str">
            <v>총  무  팀</v>
          </cell>
          <cell r="F14" t="str">
            <v>1120</v>
          </cell>
          <cell r="G14" t="e">
            <v>#N/A</v>
          </cell>
          <cell r="H14" t="str">
            <v>19870226</v>
          </cell>
          <cell r="I14">
            <v>487413333</v>
          </cell>
          <cell r="J14" t="str">
            <v>3 월</v>
          </cell>
          <cell r="K14">
            <v>487413368</v>
          </cell>
        </row>
        <row r="15">
          <cell r="A15" t="str">
            <v>8800075</v>
          </cell>
          <cell r="B15" t="str">
            <v>이　승　호</v>
          </cell>
          <cell r="C15" t="str">
            <v>8800075이　승　호</v>
          </cell>
          <cell r="D15" t="str">
            <v>BA10</v>
          </cell>
          <cell r="E15" t="str">
            <v>총  무  팀</v>
          </cell>
          <cell r="F15" t="str">
            <v>1120</v>
          </cell>
          <cell r="G15" t="str">
            <v>1120</v>
          </cell>
          <cell r="H15" t="str">
            <v>19880121</v>
          </cell>
          <cell r="I15">
            <v>24733563</v>
          </cell>
        </row>
        <row r="16">
          <cell r="A16" t="str">
            <v>9110070</v>
          </cell>
          <cell r="B16" t="str">
            <v>김　경　남</v>
          </cell>
          <cell r="C16" t="str">
            <v>9110070김　경　남</v>
          </cell>
          <cell r="D16" t="str">
            <v>BA20</v>
          </cell>
          <cell r="E16" t="str">
            <v>총  무  팀</v>
          </cell>
          <cell r="F16" t="str">
            <v>1120</v>
          </cell>
          <cell r="G16" t="str">
            <v>1120</v>
          </cell>
          <cell r="H16" t="str">
            <v>19910107</v>
          </cell>
          <cell r="I16">
            <v>18021646</v>
          </cell>
        </row>
        <row r="17">
          <cell r="A17" t="str">
            <v>9610031</v>
          </cell>
          <cell r="B17" t="str">
            <v>김　삼　용</v>
          </cell>
          <cell r="C17" t="str">
            <v>9610031김　삼　용</v>
          </cell>
          <cell r="D17" t="str">
            <v>BA20</v>
          </cell>
          <cell r="E17" t="str">
            <v>총  무  팀</v>
          </cell>
          <cell r="F17" t="str">
            <v>1120</v>
          </cell>
          <cell r="G17" t="str">
            <v>1120</v>
          </cell>
          <cell r="H17" t="str">
            <v>19960101</v>
          </cell>
          <cell r="I17">
            <v>6676024</v>
          </cell>
        </row>
        <row r="18">
          <cell r="A18" t="str">
            <v>8110236</v>
          </cell>
          <cell r="B18" t="str">
            <v>한　병　기</v>
          </cell>
          <cell r="C18" t="str">
            <v>8110236한　병　기</v>
          </cell>
          <cell r="D18" t="str">
            <v>BB10</v>
          </cell>
          <cell r="E18" t="str">
            <v>총  무  팀</v>
          </cell>
          <cell r="F18" t="str">
            <v>1120</v>
          </cell>
          <cell r="G18" t="str">
            <v>1120</v>
          </cell>
          <cell r="H18" t="str">
            <v>19810301</v>
          </cell>
          <cell r="I18">
            <v>48655862</v>
          </cell>
        </row>
        <row r="19">
          <cell r="A19" t="str">
            <v>9410624</v>
          </cell>
          <cell r="B19" t="str">
            <v>김　현　욱</v>
          </cell>
          <cell r="C19" t="str">
            <v>9410624김　현　욱</v>
          </cell>
          <cell r="D19" t="str">
            <v>BB20</v>
          </cell>
          <cell r="E19" t="str">
            <v>총  무  팀</v>
          </cell>
          <cell r="F19" t="str">
            <v>1120</v>
          </cell>
          <cell r="G19" t="str">
            <v>1120</v>
          </cell>
          <cell r="H19" t="str">
            <v>19940601</v>
          </cell>
          <cell r="I19">
            <v>9610899</v>
          </cell>
        </row>
        <row r="20">
          <cell r="A20" t="str">
            <v>8710211</v>
          </cell>
          <cell r="B20" t="str">
            <v>박　기　호</v>
          </cell>
          <cell r="C20" t="str">
            <v>8710211박　기　호</v>
          </cell>
          <cell r="D20" t="str">
            <v>BB20</v>
          </cell>
          <cell r="E20" t="str">
            <v>총  무  팀</v>
          </cell>
          <cell r="F20" t="str">
            <v>1120</v>
          </cell>
          <cell r="G20" t="str">
            <v>1120</v>
          </cell>
          <cell r="H20" t="str">
            <v>19990201</v>
          </cell>
          <cell r="I20">
            <v>2090740</v>
          </cell>
        </row>
        <row r="21">
          <cell r="A21" t="str">
            <v>9000720</v>
          </cell>
          <cell r="B21" t="str">
            <v>조　용　학</v>
          </cell>
          <cell r="C21" t="str">
            <v>9000720조　용　학</v>
          </cell>
          <cell r="D21" t="str">
            <v>BB20</v>
          </cell>
          <cell r="E21" t="str">
            <v>총  무  팀</v>
          </cell>
          <cell r="F21" t="str">
            <v>1120</v>
          </cell>
          <cell r="G21" t="str">
            <v>1120</v>
          </cell>
          <cell r="H21" t="str">
            <v>19900215</v>
          </cell>
          <cell r="I21">
            <v>20182206</v>
          </cell>
        </row>
        <row r="22">
          <cell r="A22" t="str">
            <v>9710987</v>
          </cell>
          <cell r="B22" t="str">
            <v>김　준　효</v>
          </cell>
          <cell r="C22" t="str">
            <v>9710987김　준　효</v>
          </cell>
          <cell r="D22" t="str">
            <v>BB30</v>
          </cell>
          <cell r="E22" t="str">
            <v>총  무  팀</v>
          </cell>
          <cell r="F22" t="str">
            <v>1120</v>
          </cell>
          <cell r="G22" t="e">
            <v>#N/A</v>
          </cell>
          <cell r="H22" t="str">
            <v>19970609</v>
          </cell>
          <cell r="I22">
            <v>3497674</v>
          </cell>
          <cell r="J22" t="str">
            <v>3 월</v>
          </cell>
          <cell r="K22">
            <v>3822514</v>
          </cell>
        </row>
        <row r="23">
          <cell r="A23" t="str">
            <v>8902247</v>
          </cell>
          <cell r="B23" t="str">
            <v>김　창　호</v>
          </cell>
          <cell r="C23" t="str">
            <v>8902247김　창　호</v>
          </cell>
          <cell r="D23" t="str">
            <v>BB30</v>
          </cell>
          <cell r="E23" t="str">
            <v>총  무  팀</v>
          </cell>
          <cell r="F23" t="str">
            <v>1120</v>
          </cell>
          <cell r="G23" t="str">
            <v>1120</v>
          </cell>
          <cell r="H23" t="str">
            <v>19981211</v>
          </cell>
          <cell r="I23">
            <v>1805277</v>
          </cell>
        </row>
        <row r="24">
          <cell r="A24" t="str">
            <v>9210137</v>
          </cell>
          <cell r="B24" t="str">
            <v>박　현　수</v>
          </cell>
          <cell r="C24" t="str">
            <v>9210137박　현　수</v>
          </cell>
          <cell r="D24" t="str">
            <v>BB30</v>
          </cell>
          <cell r="E24" t="str">
            <v>총  무  팀</v>
          </cell>
          <cell r="F24" t="str">
            <v>1120</v>
          </cell>
          <cell r="G24" t="e">
            <v>#N/A</v>
          </cell>
          <cell r="H24" t="str">
            <v>19920107</v>
          </cell>
          <cell r="I24">
            <v>15117827</v>
          </cell>
          <cell r="J24" t="str">
            <v>9 월</v>
          </cell>
          <cell r="K24">
            <v>20176418</v>
          </cell>
        </row>
        <row r="25">
          <cell r="A25" t="str">
            <v>9010203</v>
          </cell>
          <cell r="B25" t="str">
            <v>정　희　종</v>
          </cell>
          <cell r="C25" t="str">
            <v>9010203정　희　종</v>
          </cell>
          <cell r="D25" t="str">
            <v>BB30</v>
          </cell>
          <cell r="E25" t="str">
            <v>총  무  팀</v>
          </cell>
          <cell r="F25" t="str">
            <v>1120</v>
          </cell>
          <cell r="G25" t="str">
            <v>1120</v>
          </cell>
          <cell r="H25" t="str">
            <v>19900215</v>
          </cell>
          <cell r="I25">
            <v>20218424</v>
          </cell>
        </row>
        <row r="26">
          <cell r="A26" t="str">
            <v>9400320</v>
          </cell>
          <cell r="B26" t="str">
            <v>조　성　태</v>
          </cell>
          <cell r="C26" t="str">
            <v>9400320조　성　태</v>
          </cell>
          <cell r="D26" t="str">
            <v>BB30</v>
          </cell>
          <cell r="E26" t="str">
            <v>총  무  팀</v>
          </cell>
          <cell r="F26" t="str">
            <v>1120</v>
          </cell>
          <cell r="G26" t="str">
            <v>1120</v>
          </cell>
          <cell r="H26" t="str">
            <v>19940117</v>
          </cell>
          <cell r="I26">
            <v>10301777</v>
          </cell>
        </row>
        <row r="27">
          <cell r="A27" t="str">
            <v>8100055</v>
          </cell>
          <cell r="B27" t="str">
            <v>심　왕　돈</v>
          </cell>
          <cell r="C27" t="str">
            <v>8100055심　왕　돈</v>
          </cell>
          <cell r="D27" t="str">
            <v>BC10</v>
          </cell>
          <cell r="E27" t="str">
            <v>총  무  팀</v>
          </cell>
          <cell r="F27" t="str">
            <v>1120</v>
          </cell>
          <cell r="G27" t="str">
            <v>2811</v>
          </cell>
          <cell r="H27" t="str">
            <v>19960901</v>
          </cell>
          <cell r="I27">
            <v>9343628</v>
          </cell>
        </row>
        <row r="28">
          <cell r="A28" t="str">
            <v>9600153</v>
          </cell>
          <cell r="B28" t="str">
            <v>김　윤　석</v>
          </cell>
          <cell r="C28" t="str">
            <v>9600153김　윤　석</v>
          </cell>
          <cell r="D28" t="str">
            <v>BC20</v>
          </cell>
          <cell r="E28" t="str">
            <v>총  무  팀</v>
          </cell>
          <cell r="F28" t="str">
            <v>1120</v>
          </cell>
          <cell r="G28" t="str">
            <v>1120</v>
          </cell>
          <cell r="H28" t="str">
            <v>19960108</v>
          </cell>
          <cell r="I28">
            <v>6612387</v>
          </cell>
        </row>
        <row r="29">
          <cell r="A29" t="str">
            <v>9200362</v>
          </cell>
          <cell r="B29" t="str">
            <v>백　이　현</v>
          </cell>
          <cell r="C29" t="str">
            <v>9200362백　이　현</v>
          </cell>
          <cell r="D29" t="str">
            <v>BC20</v>
          </cell>
          <cell r="E29" t="str">
            <v>총  무  팀</v>
          </cell>
          <cell r="F29" t="str">
            <v>1120</v>
          </cell>
          <cell r="G29" t="str">
            <v>2811</v>
          </cell>
          <cell r="H29" t="str">
            <v>19920107</v>
          </cell>
          <cell r="I29">
            <v>14940273</v>
          </cell>
        </row>
        <row r="30">
          <cell r="A30" t="str">
            <v>8810638</v>
          </cell>
          <cell r="B30" t="str">
            <v>이　영　일</v>
          </cell>
          <cell r="C30" t="str">
            <v>8810638이　영　일</v>
          </cell>
          <cell r="D30" t="str">
            <v>BC20</v>
          </cell>
          <cell r="E30" t="str">
            <v>총  무  팀</v>
          </cell>
          <cell r="F30" t="str">
            <v>1120</v>
          </cell>
          <cell r="G30" t="str">
            <v>2811</v>
          </cell>
          <cell r="H30" t="str">
            <v>19880712</v>
          </cell>
          <cell r="I30">
            <v>23188132</v>
          </cell>
        </row>
        <row r="31">
          <cell r="A31" t="str">
            <v>9010192</v>
          </cell>
          <cell r="B31" t="str">
            <v>이　창　훈</v>
          </cell>
          <cell r="C31" t="str">
            <v>9010192이　창　훈</v>
          </cell>
          <cell r="D31" t="str">
            <v>BC20</v>
          </cell>
          <cell r="E31" t="str">
            <v>총  무  팀</v>
          </cell>
          <cell r="F31" t="str">
            <v>1120</v>
          </cell>
          <cell r="G31" t="str">
            <v>2670</v>
          </cell>
          <cell r="H31" t="str">
            <v>19900215</v>
          </cell>
          <cell r="I31">
            <v>17530312</v>
          </cell>
        </row>
        <row r="32">
          <cell r="A32" t="str">
            <v>9200338</v>
          </cell>
          <cell r="B32" t="str">
            <v>최　광　호</v>
          </cell>
          <cell r="C32" t="str">
            <v>9200338최　광　호</v>
          </cell>
          <cell r="D32" t="str">
            <v>BC20</v>
          </cell>
          <cell r="E32" t="str">
            <v>총  무  팀</v>
          </cell>
          <cell r="F32" t="str">
            <v>1120</v>
          </cell>
          <cell r="G32" t="str">
            <v>2811</v>
          </cell>
          <cell r="H32" t="str">
            <v>19920107</v>
          </cell>
          <cell r="I32">
            <v>14839993</v>
          </cell>
        </row>
        <row r="33">
          <cell r="A33" t="str">
            <v>9400331</v>
          </cell>
          <cell r="B33" t="str">
            <v>김　영　범</v>
          </cell>
          <cell r="C33" t="str">
            <v>9400331김　영　범</v>
          </cell>
          <cell r="D33" t="str">
            <v>BC30</v>
          </cell>
          <cell r="E33" t="str">
            <v>총  무  팀</v>
          </cell>
          <cell r="F33" t="str">
            <v>1120</v>
          </cell>
          <cell r="G33" t="str">
            <v>1120</v>
          </cell>
          <cell r="H33" t="str">
            <v>19940117</v>
          </cell>
          <cell r="I33">
            <v>10228887</v>
          </cell>
        </row>
        <row r="34">
          <cell r="A34" t="str">
            <v>9211680</v>
          </cell>
          <cell r="B34" t="str">
            <v>김　태　현</v>
          </cell>
          <cell r="C34" t="str">
            <v>9211680김　태　현</v>
          </cell>
          <cell r="D34" t="str">
            <v>BC30</v>
          </cell>
          <cell r="E34" t="str">
            <v>총  무  팀</v>
          </cell>
          <cell r="F34" t="str">
            <v>1120</v>
          </cell>
          <cell r="G34" t="str">
            <v>1120</v>
          </cell>
          <cell r="H34" t="str">
            <v>19920801</v>
          </cell>
          <cell r="I34">
            <v>12680302</v>
          </cell>
        </row>
        <row r="35">
          <cell r="A35" t="str">
            <v>9305504</v>
          </cell>
          <cell r="B35" t="str">
            <v>김　현　건</v>
          </cell>
          <cell r="C35" t="str">
            <v>9305504김　현　건</v>
          </cell>
          <cell r="D35" t="str">
            <v>BC30</v>
          </cell>
          <cell r="E35" t="str">
            <v>총  무  팀</v>
          </cell>
          <cell r="F35" t="str">
            <v>1120</v>
          </cell>
          <cell r="G35" t="str">
            <v>1120</v>
          </cell>
          <cell r="H35" t="str">
            <v>19930901</v>
          </cell>
          <cell r="I35">
            <v>8518719</v>
          </cell>
        </row>
        <row r="36">
          <cell r="A36" t="str">
            <v>8700276</v>
          </cell>
          <cell r="B36" t="str">
            <v>임　종　도</v>
          </cell>
          <cell r="C36" t="str">
            <v>8700276임　종　도</v>
          </cell>
          <cell r="D36" t="str">
            <v>BC30</v>
          </cell>
          <cell r="E36" t="str">
            <v>총  무  팀</v>
          </cell>
          <cell r="F36" t="str">
            <v>1120</v>
          </cell>
          <cell r="G36" t="str">
            <v>1120</v>
          </cell>
          <cell r="H36" t="str">
            <v>19870323</v>
          </cell>
          <cell r="I36">
            <v>29096783</v>
          </cell>
        </row>
        <row r="37">
          <cell r="A37" t="str">
            <v>9850015</v>
          </cell>
          <cell r="B37" t="str">
            <v>김　지　현</v>
          </cell>
          <cell r="C37" t="str">
            <v>9850015김　지　현</v>
          </cell>
          <cell r="D37" t="str">
            <v>BD20</v>
          </cell>
          <cell r="E37" t="str">
            <v>총  무  팀</v>
          </cell>
          <cell r="F37" t="str">
            <v>1120</v>
          </cell>
          <cell r="G37" t="str">
            <v>1120</v>
          </cell>
          <cell r="H37" t="str">
            <v>19980201</v>
          </cell>
          <cell r="I37">
            <v>2644214</v>
          </cell>
        </row>
        <row r="38">
          <cell r="A38" t="str">
            <v>8602830</v>
          </cell>
          <cell r="B38" t="str">
            <v>김　현　덕</v>
          </cell>
          <cell r="C38" t="str">
            <v>8602830김　현　덕</v>
          </cell>
          <cell r="D38" t="str">
            <v>BD20</v>
          </cell>
          <cell r="E38" t="str">
            <v>총  무  팀</v>
          </cell>
          <cell r="F38" t="str">
            <v>1120</v>
          </cell>
          <cell r="G38" t="e">
            <v>#N/A</v>
          </cell>
          <cell r="H38" t="str">
            <v>19860801</v>
          </cell>
          <cell r="I38">
            <v>24524035</v>
          </cell>
          <cell r="J38" t="str">
            <v>9 월</v>
          </cell>
          <cell r="K38">
            <v>29839128</v>
          </cell>
        </row>
        <row r="39">
          <cell r="A39" t="str">
            <v>8300777</v>
          </cell>
          <cell r="B39" t="str">
            <v>명　광　섭</v>
          </cell>
          <cell r="C39" t="str">
            <v>8300777명　광　섭</v>
          </cell>
          <cell r="D39" t="str">
            <v>BD20</v>
          </cell>
          <cell r="E39" t="str">
            <v>총  무  팀</v>
          </cell>
          <cell r="F39" t="str">
            <v>1120</v>
          </cell>
          <cell r="G39" t="str">
            <v>2340</v>
          </cell>
          <cell r="H39" t="str">
            <v>19980101</v>
          </cell>
          <cell r="I39">
            <v>3667070</v>
          </cell>
        </row>
        <row r="40">
          <cell r="A40" t="str">
            <v>9311117</v>
          </cell>
          <cell r="B40" t="str">
            <v>박　태　일</v>
          </cell>
          <cell r="C40" t="str">
            <v>9311117박　태　일</v>
          </cell>
          <cell r="D40" t="str">
            <v>BD20</v>
          </cell>
          <cell r="E40" t="str">
            <v>총  무  팀</v>
          </cell>
          <cell r="F40" t="str">
            <v>1120</v>
          </cell>
          <cell r="G40" t="str">
            <v>2811</v>
          </cell>
          <cell r="H40" t="str">
            <v>19930901</v>
          </cell>
          <cell r="I40">
            <v>8816984</v>
          </cell>
        </row>
        <row r="41">
          <cell r="A41" t="str">
            <v>7810198</v>
          </cell>
          <cell r="B41" t="str">
            <v>백　낙　복</v>
          </cell>
          <cell r="C41" t="str">
            <v>7810198백　낙　복</v>
          </cell>
          <cell r="D41" t="str">
            <v>BD20</v>
          </cell>
          <cell r="E41" t="str">
            <v>총  무  팀</v>
          </cell>
          <cell r="F41" t="str">
            <v>1120</v>
          </cell>
          <cell r="G41" t="str">
            <v>2670</v>
          </cell>
          <cell r="H41" t="str">
            <v>19780516</v>
          </cell>
          <cell r="I41">
            <v>45172646</v>
          </cell>
        </row>
        <row r="42">
          <cell r="A42" t="str">
            <v>9208271</v>
          </cell>
          <cell r="B42" t="str">
            <v>양　정　진</v>
          </cell>
          <cell r="C42" t="str">
            <v>9208271양　정　진</v>
          </cell>
          <cell r="D42" t="str">
            <v>BD20</v>
          </cell>
          <cell r="E42" t="str">
            <v>총  무  팀</v>
          </cell>
          <cell r="F42" t="str">
            <v>1120</v>
          </cell>
          <cell r="G42" t="str">
            <v>2520</v>
          </cell>
          <cell r="H42" t="str">
            <v>19921226</v>
          </cell>
          <cell r="I42">
            <v>10510967</v>
          </cell>
        </row>
        <row r="43">
          <cell r="A43" t="str">
            <v>9460225</v>
          </cell>
          <cell r="B43" t="str">
            <v>엄　주　연</v>
          </cell>
          <cell r="C43" t="str">
            <v>9460225엄　주　연</v>
          </cell>
          <cell r="D43" t="str">
            <v>BD20</v>
          </cell>
          <cell r="E43" t="str">
            <v>총  무  팀</v>
          </cell>
          <cell r="F43" t="str">
            <v>1120</v>
          </cell>
          <cell r="G43" t="str">
            <v>2120</v>
          </cell>
          <cell r="H43" t="str">
            <v>19941017</v>
          </cell>
          <cell r="I43">
            <v>8564499</v>
          </cell>
        </row>
        <row r="44">
          <cell r="A44" t="str">
            <v>8510141</v>
          </cell>
          <cell r="B44" t="str">
            <v>오　광　세</v>
          </cell>
          <cell r="C44" t="str">
            <v>8510141오　광　세</v>
          </cell>
          <cell r="D44" t="str">
            <v>BD20</v>
          </cell>
          <cell r="E44" t="str">
            <v>총  무  팀</v>
          </cell>
          <cell r="F44" t="str">
            <v>1120</v>
          </cell>
          <cell r="G44" t="str">
            <v>1120</v>
          </cell>
          <cell r="H44" t="str">
            <v>19850601</v>
          </cell>
          <cell r="I44">
            <v>33900953</v>
          </cell>
        </row>
        <row r="45">
          <cell r="A45" t="str">
            <v>7700657</v>
          </cell>
          <cell r="B45" t="str">
            <v>윤　창　렬</v>
          </cell>
          <cell r="C45" t="str">
            <v>7700657윤　창　렬</v>
          </cell>
          <cell r="D45" t="str">
            <v>BD20</v>
          </cell>
          <cell r="E45" t="str">
            <v>총  무  팀</v>
          </cell>
          <cell r="F45" t="str">
            <v>1120</v>
          </cell>
          <cell r="G45" t="str">
            <v>2630</v>
          </cell>
          <cell r="H45" t="str">
            <v>19971101</v>
          </cell>
          <cell r="I45">
            <v>5506315</v>
          </cell>
        </row>
        <row r="46">
          <cell r="A46" t="str">
            <v>9301476</v>
          </cell>
          <cell r="B46" t="str">
            <v>이　민　우</v>
          </cell>
          <cell r="C46" t="str">
            <v>9301476이　민　우</v>
          </cell>
          <cell r="D46" t="str">
            <v>BD20</v>
          </cell>
          <cell r="E46" t="str">
            <v>총  무  팀</v>
          </cell>
          <cell r="F46" t="str">
            <v>1120</v>
          </cell>
          <cell r="G46" t="str">
            <v>1120</v>
          </cell>
          <cell r="H46" t="str">
            <v>19930301</v>
          </cell>
          <cell r="I46">
            <v>9417836</v>
          </cell>
        </row>
        <row r="47">
          <cell r="A47" t="str">
            <v>9612562</v>
          </cell>
          <cell r="B47" t="str">
            <v>이　용　만</v>
          </cell>
          <cell r="C47" t="str">
            <v>9612562이　용　만</v>
          </cell>
          <cell r="D47" t="str">
            <v>BD20</v>
          </cell>
          <cell r="E47" t="str">
            <v>총  무  팀</v>
          </cell>
          <cell r="F47" t="str">
            <v>1120</v>
          </cell>
          <cell r="G47" t="str">
            <v>2340</v>
          </cell>
          <cell r="H47" t="str">
            <v>19961108</v>
          </cell>
          <cell r="I47">
            <v>4057117</v>
          </cell>
        </row>
        <row r="48">
          <cell r="A48" t="str">
            <v>9400353</v>
          </cell>
          <cell r="B48" t="str">
            <v>장　동　래</v>
          </cell>
          <cell r="C48" t="str">
            <v>9400353장　동　래</v>
          </cell>
          <cell r="D48" t="str">
            <v>BD20</v>
          </cell>
          <cell r="E48" t="str">
            <v>총  무  팀</v>
          </cell>
          <cell r="F48" t="str">
            <v>1120</v>
          </cell>
          <cell r="G48" t="str">
            <v>1120</v>
          </cell>
          <cell r="H48" t="str">
            <v>19940117</v>
          </cell>
          <cell r="I48">
            <v>10114660</v>
          </cell>
        </row>
        <row r="49">
          <cell r="A49" t="str">
            <v>9100901</v>
          </cell>
          <cell r="B49" t="str">
            <v>전　명　재</v>
          </cell>
          <cell r="C49" t="str">
            <v>9100901전　명　재</v>
          </cell>
          <cell r="D49" t="str">
            <v>BD20</v>
          </cell>
          <cell r="E49" t="str">
            <v>총  무  팀</v>
          </cell>
          <cell r="F49" t="str">
            <v>1120</v>
          </cell>
          <cell r="G49" t="str">
            <v>2433</v>
          </cell>
          <cell r="H49" t="str">
            <v>19910301</v>
          </cell>
          <cell r="I49">
            <v>20526456</v>
          </cell>
        </row>
        <row r="50">
          <cell r="A50" t="str">
            <v>9400307</v>
          </cell>
          <cell r="B50" t="str">
            <v>정　순　재</v>
          </cell>
          <cell r="C50" t="str">
            <v>9400307정　순　재</v>
          </cell>
          <cell r="D50" t="str">
            <v>BD20</v>
          </cell>
          <cell r="E50" t="str">
            <v>총  무  팀</v>
          </cell>
          <cell r="F50" t="str">
            <v>1120</v>
          </cell>
          <cell r="G50" t="str">
            <v>1120</v>
          </cell>
          <cell r="H50" t="str">
            <v>19940117</v>
          </cell>
          <cell r="I50">
            <v>10265332</v>
          </cell>
        </row>
        <row r="51">
          <cell r="A51" t="str">
            <v>9310296</v>
          </cell>
          <cell r="B51" t="str">
            <v>최　근　종</v>
          </cell>
          <cell r="C51" t="str">
            <v>9310296최　근　종</v>
          </cell>
          <cell r="D51" t="str">
            <v>BD20</v>
          </cell>
          <cell r="E51" t="str">
            <v>총  무  팀</v>
          </cell>
          <cell r="F51" t="str">
            <v>1120</v>
          </cell>
          <cell r="G51" t="e">
            <v>#N/A</v>
          </cell>
          <cell r="H51" t="str">
            <v>19930401</v>
          </cell>
          <cell r="I51">
            <v>13515802</v>
          </cell>
          <cell r="J51" t="str">
            <v>9 월</v>
          </cell>
          <cell r="K51">
            <v>18052849</v>
          </cell>
        </row>
        <row r="52">
          <cell r="A52" t="str">
            <v>8710187</v>
          </cell>
          <cell r="B52" t="str">
            <v>최　세　헌</v>
          </cell>
          <cell r="C52" t="str">
            <v>8710187최　세　헌</v>
          </cell>
          <cell r="D52" t="str">
            <v>BD20</v>
          </cell>
          <cell r="E52" t="str">
            <v>총  무  팀</v>
          </cell>
          <cell r="F52" t="str">
            <v>1120</v>
          </cell>
          <cell r="G52" t="str">
            <v>1120</v>
          </cell>
          <cell r="H52" t="str">
            <v>19870121</v>
          </cell>
          <cell r="I52">
            <v>29330586</v>
          </cell>
        </row>
        <row r="53">
          <cell r="A53" t="str">
            <v>9700435</v>
          </cell>
          <cell r="B53" t="str">
            <v>최　영　규</v>
          </cell>
          <cell r="C53" t="str">
            <v>9700435최　영　규</v>
          </cell>
          <cell r="D53" t="str">
            <v>BD20</v>
          </cell>
          <cell r="E53" t="str">
            <v>총  무  팀</v>
          </cell>
          <cell r="F53" t="str">
            <v>1120</v>
          </cell>
          <cell r="G53" t="str">
            <v>2340</v>
          </cell>
          <cell r="H53" t="str">
            <v>19970421</v>
          </cell>
          <cell r="I53">
            <v>3229603</v>
          </cell>
        </row>
        <row r="54">
          <cell r="A54" t="str">
            <v>9306865</v>
          </cell>
          <cell r="B54" t="str">
            <v>한　원　진</v>
          </cell>
          <cell r="C54" t="str">
            <v>9306865한　원　진</v>
          </cell>
          <cell r="D54" t="str">
            <v>BD20</v>
          </cell>
          <cell r="E54" t="str">
            <v>총  무  팀</v>
          </cell>
          <cell r="F54" t="str">
            <v>1120</v>
          </cell>
          <cell r="G54" t="e">
            <v>#N/A</v>
          </cell>
          <cell r="H54" t="str">
            <v>19931101</v>
          </cell>
          <cell r="I54">
            <v>8614957</v>
          </cell>
          <cell r="J54" t="str">
            <v>5 월</v>
          </cell>
          <cell r="K54">
            <v>9532148</v>
          </cell>
        </row>
        <row r="55">
          <cell r="A55" t="str">
            <v>9312028</v>
          </cell>
          <cell r="B55" t="str">
            <v>김　관　태</v>
          </cell>
          <cell r="C55" t="str">
            <v>9312028김　관　태</v>
          </cell>
          <cell r="D55" t="str">
            <v>BD30</v>
          </cell>
          <cell r="E55" t="str">
            <v>총  무  팀</v>
          </cell>
          <cell r="F55" t="str">
            <v>1120</v>
          </cell>
          <cell r="G55" t="str">
            <v>1120</v>
          </cell>
          <cell r="H55" t="str">
            <v>19931216</v>
          </cell>
          <cell r="I55">
            <v>10390374</v>
          </cell>
        </row>
        <row r="56">
          <cell r="A56" t="str">
            <v>8602121</v>
          </cell>
          <cell r="B56" t="str">
            <v>박　경　흠</v>
          </cell>
          <cell r="C56" t="str">
            <v>8602121박　경　흠</v>
          </cell>
          <cell r="D56" t="str">
            <v>BD30</v>
          </cell>
          <cell r="E56" t="str">
            <v>총  무  팀</v>
          </cell>
          <cell r="F56" t="str">
            <v>1120</v>
          </cell>
          <cell r="G56" t="str">
            <v>2730</v>
          </cell>
          <cell r="H56" t="str">
            <v>19860801</v>
          </cell>
          <cell r="I56">
            <v>31015941</v>
          </cell>
        </row>
        <row r="57">
          <cell r="A57" t="str">
            <v>8810695</v>
          </cell>
          <cell r="B57" t="str">
            <v>이　도　정</v>
          </cell>
          <cell r="C57" t="str">
            <v>8810695이　도　정</v>
          </cell>
          <cell r="D57" t="str">
            <v>BD30</v>
          </cell>
          <cell r="E57" t="str">
            <v>총  무  팀</v>
          </cell>
          <cell r="F57" t="str">
            <v>1120</v>
          </cell>
          <cell r="G57" t="str">
            <v>1120</v>
          </cell>
          <cell r="H57" t="str">
            <v>19880712</v>
          </cell>
          <cell r="I57">
            <v>24013610</v>
          </cell>
        </row>
        <row r="58">
          <cell r="A58" t="str">
            <v>9600186</v>
          </cell>
          <cell r="B58" t="str">
            <v>이　종　호</v>
          </cell>
          <cell r="C58" t="str">
            <v>9600186이　종　호</v>
          </cell>
          <cell r="D58" t="str">
            <v>BD30</v>
          </cell>
          <cell r="E58" t="str">
            <v>총  무  팀</v>
          </cell>
          <cell r="F58" t="str">
            <v>1120</v>
          </cell>
          <cell r="G58" t="str">
            <v>1120</v>
          </cell>
          <cell r="H58" t="str">
            <v>19960108</v>
          </cell>
          <cell r="I58">
            <v>6641674</v>
          </cell>
        </row>
        <row r="59">
          <cell r="A59" t="str">
            <v>9814858</v>
          </cell>
          <cell r="B59" t="str">
            <v>이　한　구</v>
          </cell>
          <cell r="C59" t="str">
            <v>9814858이　한　구</v>
          </cell>
          <cell r="D59" t="str">
            <v>BD30</v>
          </cell>
          <cell r="E59" t="str">
            <v>총  무  팀</v>
          </cell>
          <cell r="F59" t="str">
            <v>1120</v>
          </cell>
          <cell r="G59" t="str">
            <v>2730</v>
          </cell>
          <cell r="H59" t="str">
            <v>19881103</v>
          </cell>
          <cell r="I59">
            <v>20641515</v>
          </cell>
        </row>
        <row r="60">
          <cell r="A60" t="str">
            <v>9212580</v>
          </cell>
          <cell r="B60" t="str">
            <v>정　수　호</v>
          </cell>
          <cell r="C60" t="str">
            <v>9212580정　수　호</v>
          </cell>
          <cell r="D60" t="str">
            <v>BD30</v>
          </cell>
          <cell r="E60" t="str">
            <v>총  무  팀</v>
          </cell>
          <cell r="F60" t="str">
            <v>1120</v>
          </cell>
          <cell r="G60" t="str">
            <v>1120</v>
          </cell>
          <cell r="H60" t="str">
            <v>19921221</v>
          </cell>
          <cell r="I60">
            <v>12163239</v>
          </cell>
        </row>
        <row r="61">
          <cell r="A61" t="str">
            <v>9611820</v>
          </cell>
          <cell r="B61" t="str">
            <v>정　회　영</v>
          </cell>
          <cell r="C61" t="str">
            <v>9611820정　회　영</v>
          </cell>
          <cell r="D61" t="str">
            <v>BD30</v>
          </cell>
          <cell r="E61" t="str">
            <v>총  무  팀</v>
          </cell>
          <cell r="F61" t="str">
            <v>1120</v>
          </cell>
          <cell r="G61" t="str">
            <v>1120</v>
          </cell>
          <cell r="H61" t="str">
            <v>19940701</v>
          </cell>
          <cell r="I61">
            <v>14468198</v>
          </cell>
        </row>
        <row r="62">
          <cell r="A62" t="str">
            <v>9710087</v>
          </cell>
          <cell r="B62" t="str">
            <v>양　용　구</v>
          </cell>
          <cell r="C62" t="str">
            <v>9710087양　용　구</v>
          </cell>
          <cell r="D62" t="str">
            <v>BE10</v>
          </cell>
          <cell r="E62" t="str">
            <v>총  무  팀</v>
          </cell>
          <cell r="F62" t="str">
            <v>1120</v>
          </cell>
          <cell r="G62" t="str">
            <v>1120</v>
          </cell>
          <cell r="H62" t="str">
            <v>19970122</v>
          </cell>
          <cell r="I62">
            <v>9877339</v>
          </cell>
        </row>
        <row r="63">
          <cell r="A63" t="str">
            <v>9207448</v>
          </cell>
          <cell r="B63" t="str">
            <v>김　상　욱</v>
          </cell>
          <cell r="C63" t="str">
            <v>9207448김　상　욱</v>
          </cell>
          <cell r="D63" t="str">
            <v>BE20</v>
          </cell>
          <cell r="E63" t="str">
            <v>총  무  팀</v>
          </cell>
          <cell r="F63" t="str">
            <v>1120</v>
          </cell>
          <cell r="G63" t="str">
            <v>1120</v>
          </cell>
          <cell r="H63" t="str">
            <v>19921205</v>
          </cell>
          <cell r="I63">
            <v>12133924</v>
          </cell>
        </row>
        <row r="64">
          <cell r="A64" t="str">
            <v>9814847</v>
          </cell>
          <cell r="B64" t="str">
            <v>박　익　규</v>
          </cell>
          <cell r="C64" t="str">
            <v>9814847박　익　규</v>
          </cell>
          <cell r="D64" t="str">
            <v>BE20</v>
          </cell>
          <cell r="E64" t="str">
            <v>총  무  팀</v>
          </cell>
          <cell r="F64" t="str">
            <v>1120</v>
          </cell>
          <cell r="G64" t="str">
            <v>1120</v>
          </cell>
          <cell r="H64" t="str">
            <v>19841101</v>
          </cell>
          <cell r="I64">
            <v>32515729</v>
          </cell>
        </row>
        <row r="65">
          <cell r="A65" t="str">
            <v>8960106</v>
          </cell>
          <cell r="B65" t="str">
            <v>이　인　선</v>
          </cell>
          <cell r="C65" t="str">
            <v>8960106이　인　선</v>
          </cell>
          <cell r="D65" t="str">
            <v>BE20</v>
          </cell>
          <cell r="E65" t="str">
            <v>총  무  팀</v>
          </cell>
          <cell r="F65" t="str">
            <v>1120</v>
          </cell>
          <cell r="G65" t="str">
            <v>1120</v>
          </cell>
          <cell r="H65" t="str">
            <v>19891023</v>
          </cell>
          <cell r="I65">
            <v>13602036</v>
          </cell>
        </row>
        <row r="66">
          <cell r="A66" t="str">
            <v>8710200</v>
          </cell>
          <cell r="B66" t="str">
            <v>정　지　명</v>
          </cell>
          <cell r="C66" t="str">
            <v>8710200정　지　명</v>
          </cell>
          <cell r="D66" t="str">
            <v>BE20</v>
          </cell>
          <cell r="E66" t="str">
            <v>총  무  팀</v>
          </cell>
          <cell r="F66" t="str">
            <v>1120</v>
          </cell>
          <cell r="G66" t="str">
            <v>1120</v>
          </cell>
          <cell r="H66" t="str">
            <v>19870121</v>
          </cell>
          <cell r="I66">
            <v>30870340</v>
          </cell>
        </row>
        <row r="67">
          <cell r="A67" t="str">
            <v>7700668</v>
          </cell>
          <cell r="B67" t="str">
            <v>한　인　식</v>
          </cell>
          <cell r="C67" t="str">
            <v>7700668한　인　식</v>
          </cell>
          <cell r="D67" t="str">
            <v>BE20</v>
          </cell>
          <cell r="E67" t="str">
            <v>총  무  팀</v>
          </cell>
          <cell r="F67" t="str">
            <v>1120</v>
          </cell>
          <cell r="G67" t="str">
            <v>1120</v>
          </cell>
          <cell r="H67" t="str">
            <v>19771029</v>
          </cell>
          <cell r="I67">
            <v>57151070</v>
          </cell>
        </row>
        <row r="68">
          <cell r="A68" t="str">
            <v>9110092</v>
          </cell>
          <cell r="B68" t="str">
            <v>박　근　식</v>
          </cell>
          <cell r="C68" t="str">
            <v>9110092박　근　식</v>
          </cell>
          <cell r="D68" t="str">
            <v>BE30</v>
          </cell>
          <cell r="E68" t="str">
            <v>총  무  팀</v>
          </cell>
          <cell r="F68" t="str">
            <v>1120</v>
          </cell>
          <cell r="G68" t="str">
            <v>1120</v>
          </cell>
          <cell r="H68" t="str">
            <v>19910107</v>
          </cell>
          <cell r="I68">
            <v>18326178</v>
          </cell>
        </row>
        <row r="69">
          <cell r="A69" t="str">
            <v>8710806</v>
          </cell>
          <cell r="B69" t="str">
            <v>박　면　식</v>
          </cell>
          <cell r="C69" t="str">
            <v>8710806박　면　식</v>
          </cell>
          <cell r="D69" t="str">
            <v>BE30</v>
          </cell>
          <cell r="E69" t="str">
            <v>총  무  팀</v>
          </cell>
          <cell r="F69" t="str">
            <v>1120</v>
          </cell>
          <cell r="G69" t="str">
            <v>2811</v>
          </cell>
          <cell r="H69" t="str">
            <v>19870713</v>
          </cell>
          <cell r="I69">
            <v>26207403</v>
          </cell>
        </row>
        <row r="70">
          <cell r="A70" t="str">
            <v>9760015</v>
          </cell>
          <cell r="B70" t="str">
            <v>박　은　주</v>
          </cell>
          <cell r="C70" t="str">
            <v>9760015박　은　주</v>
          </cell>
          <cell r="D70" t="str">
            <v>BE30</v>
          </cell>
          <cell r="E70" t="str">
            <v>총  무  팀</v>
          </cell>
          <cell r="F70" t="str">
            <v>1120</v>
          </cell>
          <cell r="G70" t="str">
            <v>1120</v>
          </cell>
          <cell r="H70" t="str">
            <v>19970101</v>
          </cell>
          <cell r="I70">
            <v>3675483</v>
          </cell>
        </row>
        <row r="71">
          <cell r="A71" t="str">
            <v>9400241</v>
          </cell>
          <cell r="B71" t="str">
            <v>신　문　식</v>
          </cell>
          <cell r="C71" t="str">
            <v>9400241신　문　식</v>
          </cell>
          <cell r="D71" t="str">
            <v>BE30</v>
          </cell>
          <cell r="E71" t="str">
            <v>총  무  팀</v>
          </cell>
          <cell r="F71" t="str">
            <v>1120</v>
          </cell>
          <cell r="G71" t="str">
            <v>1120</v>
          </cell>
          <cell r="H71" t="str">
            <v>19940117</v>
          </cell>
          <cell r="I71">
            <v>10301777</v>
          </cell>
        </row>
        <row r="72">
          <cell r="A72" t="str">
            <v>7810020</v>
          </cell>
          <cell r="B72" t="str">
            <v>이　갑　순</v>
          </cell>
          <cell r="C72" t="str">
            <v>7810020이　갑　순</v>
          </cell>
          <cell r="D72" t="str">
            <v>BE30</v>
          </cell>
          <cell r="E72" t="str">
            <v>총  무  팀</v>
          </cell>
          <cell r="F72" t="str">
            <v>1120</v>
          </cell>
          <cell r="G72" t="str">
            <v>1120</v>
          </cell>
          <cell r="H72" t="str">
            <v>19780701</v>
          </cell>
          <cell r="I72">
            <v>56549890</v>
          </cell>
        </row>
        <row r="73">
          <cell r="A73" t="str">
            <v>9406743</v>
          </cell>
          <cell r="B73" t="str">
            <v>강　승　모</v>
          </cell>
          <cell r="C73" t="str">
            <v>9406743강　승　모</v>
          </cell>
          <cell r="D73" t="str">
            <v>BE40</v>
          </cell>
          <cell r="E73" t="str">
            <v>총  무  팀</v>
          </cell>
          <cell r="F73" t="str">
            <v>1120</v>
          </cell>
          <cell r="G73" t="e">
            <v>#N/A</v>
          </cell>
          <cell r="H73" t="str">
            <v>19941216</v>
          </cell>
          <cell r="I73">
            <v>6695987</v>
          </cell>
          <cell r="J73" t="str">
            <v>9 월</v>
          </cell>
          <cell r="K73">
            <v>9266309</v>
          </cell>
        </row>
        <row r="74">
          <cell r="A74" t="str">
            <v>9305493</v>
          </cell>
          <cell r="B74" t="str">
            <v>김　인　수</v>
          </cell>
          <cell r="C74" t="str">
            <v>9305493김　인　수</v>
          </cell>
          <cell r="D74" t="str">
            <v>BE40</v>
          </cell>
          <cell r="E74" t="str">
            <v>총  무  팀</v>
          </cell>
          <cell r="F74" t="str">
            <v>1120</v>
          </cell>
          <cell r="G74" t="str">
            <v>1120</v>
          </cell>
          <cell r="H74" t="str">
            <v>19930901</v>
          </cell>
          <cell r="J74" t="str">
            <v>7 월</v>
          </cell>
          <cell r="K74">
            <v>1815467</v>
          </cell>
        </row>
        <row r="75">
          <cell r="A75" t="str">
            <v>9000437</v>
          </cell>
          <cell r="B75" t="str">
            <v>성　상　석</v>
          </cell>
          <cell r="C75" t="str">
            <v>9000437성　상　석</v>
          </cell>
          <cell r="D75" t="str">
            <v>BE40</v>
          </cell>
          <cell r="E75" t="str">
            <v>총  무  팀</v>
          </cell>
          <cell r="F75" t="str">
            <v>1120</v>
          </cell>
          <cell r="G75" t="str">
            <v>1120</v>
          </cell>
          <cell r="H75" t="str">
            <v>19890510</v>
          </cell>
          <cell r="I75">
            <v>17969514</v>
          </cell>
        </row>
        <row r="76">
          <cell r="A76" t="str">
            <v>9010170</v>
          </cell>
          <cell r="B76" t="str">
            <v>전　준　표</v>
          </cell>
          <cell r="C76" t="str">
            <v>9010170전　준　표</v>
          </cell>
          <cell r="D76" t="str">
            <v>BE40</v>
          </cell>
          <cell r="E76" t="str">
            <v>총  무  팀</v>
          </cell>
          <cell r="F76" t="str">
            <v>1120</v>
          </cell>
          <cell r="G76" t="str">
            <v>1120</v>
          </cell>
          <cell r="H76" t="str">
            <v>19900215</v>
          </cell>
          <cell r="I76">
            <v>17593454</v>
          </cell>
        </row>
        <row r="77">
          <cell r="A77" t="str">
            <v>9305493</v>
          </cell>
          <cell r="B77" t="str">
            <v>홍　기　종</v>
          </cell>
          <cell r="C77" t="str">
            <v>9305493홍　기　종</v>
          </cell>
          <cell r="D77" t="str">
            <v>BE40</v>
          </cell>
          <cell r="E77" t="str">
            <v>총  무  팀</v>
          </cell>
          <cell r="F77" t="str">
            <v>1120</v>
          </cell>
          <cell r="G77" t="str">
            <v>1120</v>
          </cell>
          <cell r="H77" t="str">
            <v>19930901</v>
          </cell>
          <cell r="I77">
            <v>8474209</v>
          </cell>
        </row>
        <row r="78">
          <cell r="A78" t="str">
            <v>9311095</v>
          </cell>
          <cell r="B78" t="str">
            <v>강　영　석</v>
          </cell>
          <cell r="C78" t="str">
            <v>9311095강　영　석</v>
          </cell>
          <cell r="D78" t="str">
            <v>BF10</v>
          </cell>
          <cell r="E78" t="str">
            <v>총  무  팀</v>
          </cell>
          <cell r="F78" t="str">
            <v>1120</v>
          </cell>
          <cell r="G78" t="str">
            <v>1120</v>
          </cell>
          <cell r="H78" t="str">
            <v>19930901</v>
          </cell>
          <cell r="I78">
            <v>9917070</v>
          </cell>
        </row>
        <row r="79">
          <cell r="A79" t="str">
            <v>8610917</v>
          </cell>
          <cell r="B79" t="str">
            <v>권　혁　문</v>
          </cell>
          <cell r="C79" t="str">
            <v>8610917권　혁　문</v>
          </cell>
          <cell r="D79" t="str">
            <v>BF10</v>
          </cell>
          <cell r="E79" t="str">
            <v>총  무  팀</v>
          </cell>
          <cell r="F79" t="str">
            <v>1120</v>
          </cell>
          <cell r="G79" t="str">
            <v>1120</v>
          </cell>
          <cell r="H79" t="str">
            <v>19860911</v>
          </cell>
          <cell r="I79">
            <v>23930656</v>
          </cell>
        </row>
        <row r="80">
          <cell r="A80" t="str">
            <v>9360022</v>
          </cell>
          <cell r="B80" t="str">
            <v>김　수　진</v>
          </cell>
          <cell r="C80" t="str">
            <v>9360022김　수　진</v>
          </cell>
          <cell r="D80" t="str">
            <v>BF10</v>
          </cell>
          <cell r="E80" t="str">
            <v>총  무  팀</v>
          </cell>
          <cell r="F80" t="str">
            <v>1120</v>
          </cell>
          <cell r="G80" t="str">
            <v>2654</v>
          </cell>
          <cell r="H80" t="str">
            <v>19930216</v>
          </cell>
          <cell r="I80">
            <v>9455695</v>
          </cell>
        </row>
        <row r="81">
          <cell r="A81" t="str">
            <v>9650272</v>
          </cell>
          <cell r="B81" t="str">
            <v>김　혜　원</v>
          </cell>
          <cell r="C81" t="str">
            <v>9650272김　혜　원</v>
          </cell>
          <cell r="D81" t="str">
            <v>BF10</v>
          </cell>
          <cell r="E81" t="str">
            <v>총  무  팀</v>
          </cell>
          <cell r="F81" t="str">
            <v>1120</v>
          </cell>
          <cell r="G81" t="str">
            <v>1120</v>
          </cell>
          <cell r="H81" t="str">
            <v>19961121</v>
          </cell>
          <cell r="I81">
            <v>3577355</v>
          </cell>
        </row>
        <row r="82">
          <cell r="A82" t="str">
            <v>8811235</v>
          </cell>
          <cell r="B82" t="str">
            <v>박　재　동</v>
          </cell>
          <cell r="C82" t="str">
            <v>8811235박　재　동</v>
          </cell>
          <cell r="D82" t="str">
            <v>BF10</v>
          </cell>
          <cell r="E82" t="str">
            <v>총  무  팀</v>
          </cell>
          <cell r="F82" t="str">
            <v>1120</v>
          </cell>
          <cell r="G82" t="str">
            <v>2653</v>
          </cell>
          <cell r="H82" t="str">
            <v>19991101</v>
          </cell>
          <cell r="I82">
            <v>328187</v>
          </cell>
        </row>
        <row r="83">
          <cell r="A83" t="str">
            <v>8710604</v>
          </cell>
          <cell r="B83" t="str">
            <v>백　사　기</v>
          </cell>
          <cell r="C83" t="str">
            <v>8710604백　사　기</v>
          </cell>
          <cell r="D83" t="str">
            <v>BF10</v>
          </cell>
          <cell r="E83" t="str">
            <v>총  무  팀</v>
          </cell>
          <cell r="F83" t="str">
            <v>1120</v>
          </cell>
          <cell r="G83" t="str">
            <v>1120</v>
          </cell>
          <cell r="H83" t="str">
            <v>19870427</v>
          </cell>
          <cell r="I83">
            <v>25543930</v>
          </cell>
        </row>
        <row r="84">
          <cell r="A84" t="str">
            <v>8100178</v>
          </cell>
          <cell r="B84" t="str">
            <v>백　헌　기</v>
          </cell>
          <cell r="C84" t="str">
            <v>8100178백　헌　기</v>
          </cell>
          <cell r="D84" t="str">
            <v>BF10</v>
          </cell>
          <cell r="E84" t="str">
            <v>총  무  팀</v>
          </cell>
          <cell r="F84" t="str">
            <v>1120</v>
          </cell>
          <cell r="G84" t="str">
            <v>1120</v>
          </cell>
          <cell r="H84" t="str">
            <v>19980101</v>
          </cell>
          <cell r="I84">
            <v>4226802</v>
          </cell>
        </row>
        <row r="85">
          <cell r="A85" t="str">
            <v>9760162</v>
          </cell>
          <cell r="B85" t="str">
            <v>이　연　호</v>
          </cell>
          <cell r="C85" t="str">
            <v>9760162이　연　호</v>
          </cell>
          <cell r="D85" t="str">
            <v>BF10</v>
          </cell>
          <cell r="E85" t="str">
            <v>총  무  팀</v>
          </cell>
          <cell r="F85" t="str">
            <v>1120</v>
          </cell>
          <cell r="G85" t="e">
            <v>#N/A</v>
          </cell>
          <cell r="H85" t="str">
            <v>19970929</v>
          </cell>
          <cell r="I85">
            <v>2316005</v>
          </cell>
          <cell r="J85" t="str">
            <v>3 월(HIST)</v>
          </cell>
          <cell r="K85">
            <v>2571595</v>
          </cell>
        </row>
        <row r="86">
          <cell r="A86" t="str">
            <v>7700591</v>
          </cell>
          <cell r="B86" t="str">
            <v>이　해　경</v>
          </cell>
          <cell r="C86" t="str">
            <v>7700591이　해　경</v>
          </cell>
          <cell r="D86" t="str">
            <v>BF10</v>
          </cell>
          <cell r="E86" t="str">
            <v>총  무  팀</v>
          </cell>
          <cell r="F86" t="str">
            <v>1120</v>
          </cell>
          <cell r="G86" t="str">
            <v>2652</v>
          </cell>
          <cell r="H86" t="str">
            <v>19980101</v>
          </cell>
          <cell r="I86">
            <v>4518242</v>
          </cell>
        </row>
        <row r="87">
          <cell r="A87" t="str">
            <v>9110057</v>
          </cell>
          <cell r="B87" t="str">
            <v>전　재　범</v>
          </cell>
          <cell r="C87" t="str">
            <v>9110057전　재　범</v>
          </cell>
          <cell r="D87" t="str">
            <v>BF10</v>
          </cell>
          <cell r="E87" t="str">
            <v>총  무  팀</v>
          </cell>
          <cell r="F87" t="str">
            <v>1120</v>
          </cell>
          <cell r="G87" t="str">
            <v>2654</v>
          </cell>
          <cell r="H87" t="str">
            <v>19910107</v>
          </cell>
          <cell r="I87">
            <v>19246906</v>
          </cell>
        </row>
        <row r="88">
          <cell r="A88" t="str">
            <v>9000775</v>
          </cell>
          <cell r="B88" t="str">
            <v>김　학　수</v>
          </cell>
          <cell r="C88" t="str">
            <v>9000775김　학　수</v>
          </cell>
          <cell r="D88" t="str">
            <v>BF20</v>
          </cell>
          <cell r="E88" t="str">
            <v>총  무  팀</v>
          </cell>
          <cell r="F88" t="str">
            <v>1120</v>
          </cell>
          <cell r="G88" t="str">
            <v>1120</v>
          </cell>
          <cell r="H88" t="str">
            <v>19981211</v>
          </cell>
          <cell r="I88">
            <v>2203564</v>
          </cell>
        </row>
        <row r="89">
          <cell r="A89" t="str">
            <v>8100022</v>
          </cell>
          <cell r="B89" t="str">
            <v>송　성　기</v>
          </cell>
          <cell r="C89" t="str">
            <v>8100022송　성　기</v>
          </cell>
          <cell r="D89" t="str">
            <v>BF20</v>
          </cell>
          <cell r="E89" t="str">
            <v>총  무  팀</v>
          </cell>
          <cell r="F89" t="str">
            <v>1120</v>
          </cell>
          <cell r="G89" t="str">
            <v>1120</v>
          </cell>
          <cell r="H89" t="str">
            <v>19981211</v>
          </cell>
          <cell r="I89">
            <v>2973195</v>
          </cell>
        </row>
        <row r="90">
          <cell r="A90" t="str">
            <v>9000764</v>
          </cell>
          <cell r="B90" t="str">
            <v>송　원　학</v>
          </cell>
          <cell r="C90" t="str">
            <v>9000764송　원　학</v>
          </cell>
          <cell r="D90" t="str">
            <v>BF20</v>
          </cell>
          <cell r="E90" t="str">
            <v>총  무  팀</v>
          </cell>
          <cell r="F90" t="str">
            <v>1120</v>
          </cell>
          <cell r="G90" t="str">
            <v>1120</v>
          </cell>
          <cell r="H90" t="str">
            <v>19900215</v>
          </cell>
          <cell r="I90">
            <v>20363276</v>
          </cell>
        </row>
        <row r="91">
          <cell r="A91" t="str">
            <v>8810640</v>
          </cell>
          <cell r="B91" t="str">
            <v>연　규　성</v>
          </cell>
          <cell r="C91" t="str">
            <v>8810640연　규　성</v>
          </cell>
          <cell r="D91" t="str">
            <v>BF20</v>
          </cell>
          <cell r="E91" t="str">
            <v>총  무  팀</v>
          </cell>
          <cell r="F91" t="str">
            <v>1120</v>
          </cell>
          <cell r="G91" t="str">
            <v>1120</v>
          </cell>
          <cell r="H91" t="str">
            <v>19880712</v>
          </cell>
          <cell r="I91">
            <v>24044509</v>
          </cell>
        </row>
        <row r="92">
          <cell r="A92" t="str">
            <v>9200428</v>
          </cell>
          <cell r="B92" t="str">
            <v>오　현　재</v>
          </cell>
          <cell r="C92" t="str">
            <v>9200428오　현　재</v>
          </cell>
          <cell r="D92" t="str">
            <v>BF20</v>
          </cell>
          <cell r="E92" t="str">
            <v>총  무  팀</v>
          </cell>
          <cell r="F92" t="str">
            <v>1120</v>
          </cell>
          <cell r="G92" t="str">
            <v>1120</v>
          </cell>
          <cell r="H92" t="str">
            <v>19920107</v>
          </cell>
          <cell r="I92">
            <v>15065638</v>
          </cell>
        </row>
        <row r="93">
          <cell r="A93" t="str">
            <v>9814871</v>
          </cell>
          <cell r="B93" t="str">
            <v>이　동　찬</v>
          </cell>
          <cell r="C93" t="str">
            <v>9814871이　동　찬</v>
          </cell>
          <cell r="D93" t="str">
            <v>BF20</v>
          </cell>
          <cell r="E93" t="str">
            <v>총  무  팀</v>
          </cell>
          <cell r="F93" t="str">
            <v>1120</v>
          </cell>
          <cell r="G93" t="str">
            <v>1120</v>
          </cell>
          <cell r="H93" t="str">
            <v>19861001</v>
          </cell>
          <cell r="I93">
            <v>30865007</v>
          </cell>
        </row>
        <row r="94">
          <cell r="A94" t="str">
            <v>9101665</v>
          </cell>
          <cell r="B94" t="str">
            <v>이　휘　섭</v>
          </cell>
          <cell r="C94" t="str">
            <v>9101665이　휘　섭</v>
          </cell>
          <cell r="D94" t="str">
            <v>BF20</v>
          </cell>
          <cell r="E94" t="str">
            <v>총  무  팀</v>
          </cell>
          <cell r="F94" t="str">
            <v>1120</v>
          </cell>
          <cell r="G94" t="str">
            <v>1120</v>
          </cell>
          <cell r="H94" t="str">
            <v>19910502</v>
          </cell>
          <cell r="I94">
            <v>14963946</v>
          </cell>
        </row>
        <row r="95">
          <cell r="A95" t="str">
            <v>9210093</v>
          </cell>
          <cell r="B95" t="str">
            <v>조　국　환</v>
          </cell>
          <cell r="C95" t="str">
            <v>9210093조　국　환</v>
          </cell>
          <cell r="D95" t="str">
            <v>BF20</v>
          </cell>
          <cell r="E95" t="str">
            <v>총  무  팀</v>
          </cell>
          <cell r="F95" t="str">
            <v>1120</v>
          </cell>
          <cell r="G95" t="str">
            <v>1120</v>
          </cell>
          <cell r="H95" t="str">
            <v>19920107</v>
          </cell>
          <cell r="I95">
            <v>14915333</v>
          </cell>
        </row>
        <row r="96">
          <cell r="A96" t="str">
            <v>9600120</v>
          </cell>
          <cell r="B96" t="str">
            <v>조　성　완</v>
          </cell>
          <cell r="C96" t="str">
            <v>9600120조　성　완</v>
          </cell>
          <cell r="D96" t="str">
            <v>BF20</v>
          </cell>
          <cell r="E96" t="str">
            <v>총  무  팀</v>
          </cell>
          <cell r="F96" t="str">
            <v>1120</v>
          </cell>
          <cell r="G96" t="e">
            <v>#N/A</v>
          </cell>
          <cell r="H96" t="str">
            <v>19960108</v>
          </cell>
          <cell r="I96">
            <v>6651439</v>
          </cell>
          <cell r="J96" t="str">
            <v>11 월</v>
          </cell>
          <cell r="K96">
            <v>10003843</v>
          </cell>
        </row>
        <row r="97">
          <cell r="A97" t="str">
            <v>9710043</v>
          </cell>
          <cell r="B97" t="str">
            <v>최　현　우</v>
          </cell>
          <cell r="C97" t="str">
            <v>9710043최　현　우</v>
          </cell>
          <cell r="D97" t="str">
            <v>BF20</v>
          </cell>
          <cell r="E97" t="str">
            <v>총  무  팀</v>
          </cell>
          <cell r="F97" t="str">
            <v>1120</v>
          </cell>
          <cell r="G97" t="str">
            <v>1120</v>
          </cell>
          <cell r="H97" t="str">
            <v>19970101</v>
          </cell>
          <cell r="I97">
            <v>4094499</v>
          </cell>
        </row>
        <row r="98">
          <cell r="A98" t="str">
            <v>9100045</v>
          </cell>
          <cell r="B98" t="str">
            <v>모　봉　주</v>
          </cell>
          <cell r="C98" t="str">
            <v>9100045모　봉　주</v>
          </cell>
          <cell r="D98" t="str">
            <v>BF30</v>
          </cell>
          <cell r="E98" t="str">
            <v>총  무  팀</v>
          </cell>
          <cell r="F98" t="str">
            <v>1120</v>
          </cell>
          <cell r="G98" t="str">
            <v>1120</v>
          </cell>
          <cell r="H98" t="str">
            <v>19910107</v>
          </cell>
          <cell r="I98">
            <v>18478439</v>
          </cell>
        </row>
        <row r="99">
          <cell r="A99" t="str">
            <v>9012150</v>
          </cell>
          <cell r="B99" t="str">
            <v>서　대　영</v>
          </cell>
          <cell r="C99" t="str">
            <v>9012150서　대　영</v>
          </cell>
          <cell r="D99" t="str">
            <v>BF30</v>
          </cell>
          <cell r="E99" t="str">
            <v>총  무  팀</v>
          </cell>
          <cell r="F99" t="str">
            <v>1120</v>
          </cell>
          <cell r="G99" t="str">
            <v>1120</v>
          </cell>
          <cell r="H99" t="str">
            <v>19900709</v>
          </cell>
          <cell r="I99">
            <v>19185000</v>
          </cell>
        </row>
        <row r="100">
          <cell r="A100" t="str">
            <v>8410140</v>
          </cell>
          <cell r="B100" t="str">
            <v>신　동　호</v>
          </cell>
          <cell r="C100" t="str">
            <v>8410140신　동　호</v>
          </cell>
          <cell r="D100" t="str">
            <v>BF30</v>
          </cell>
          <cell r="E100" t="str">
            <v>총  무  팀</v>
          </cell>
          <cell r="F100" t="str">
            <v>1120</v>
          </cell>
          <cell r="G100" t="str">
            <v>1120</v>
          </cell>
          <cell r="H100" t="str">
            <v>19991001</v>
          </cell>
          <cell r="I100">
            <v>585905</v>
          </cell>
        </row>
        <row r="101">
          <cell r="A101" t="str">
            <v>9000797</v>
          </cell>
          <cell r="B101" t="str">
            <v>안　종　상</v>
          </cell>
          <cell r="C101" t="str">
            <v>9000797안　종　상</v>
          </cell>
          <cell r="D101" t="str">
            <v>BF30</v>
          </cell>
          <cell r="E101" t="str">
            <v>총  무  팀</v>
          </cell>
          <cell r="F101" t="str">
            <v>1120</v>
          </cell>
          <cell r="G101" t="str">
            <v>1120</v>
          </cell>
          <cell r="H101" t="str">
            <v>19900215</v>
          </cell>
          <cell r="I101">
            <v>20695795</v>
          </cell>
        </row>
        <row r="102">
          <cell r="A102" t="str">
            <v>9112061</v>
          </cell>
          <cell r="B102" t="str">
            <v>이　인　범</v>
          </cell>
          <cell r="C102" t="str">
            <v>9112061이　인　범</v>
          </cell>
          <cell r="D102" t="str">
            <v>BF30</v>
          </cell>
          <cell r="E102" t="str">
            <v>총  무  팀</v>
          </cell>
          <cell r="F102" t="str">
            <v>1120</v>
          </cell>
          <cell r="G102" t="str">
            <v>1120</v>
          </cell>
          <cell r="H102" t="str">
            <v>19911202</v>
          </cell>
          <cell r="I102">
            <v>14232238</v>
          </cell>
        </row>
        <row r="103">
          <cell r="A103" t="str">
            <v>8100033</v>
          </cell>
          <cell r="B103" t="str">
            <v>이　준　열</v>
          </cell>
          <cell r="C103" t="str">
            <v>8100033이　준　열</v>
          </cell>
          <cell r="D103" t="str">
            <v>BF30</v>
          </cell>
          <cell r="E103" t="str">
            <v>총  무  팀</v>
          </cell>
          <cell r="F103" t="str">
            <v>1120</v>
          </cell>
          <cell r="G103" t="str">
            <v>1120</v>
          </cell>
          <cell r="H103" t="str">
            <v>19980101</v>
          </cell>
          <cell r="I103">
            <v>5668924</v>
          </cell>
        </row>
        <row r="104">
          <cell r="A104" t="str">
            <v>9100056</v>
          </cell>
          <cell r="B104" t="str">
            <v>고　석　범</v>
          </cell>
          <cell r="C104" t="str">
            <v>9100056고　석　범</v>
          </cell>
          <cell r="D104" t="str">
            <v>BF40</v>
          </cell>
          <cell r="E104" t="str">
            <v>총  무  팀</v>
          </cell>
          <cell r="F104" t="str">
            <v>1120</v>
          </cell>
          <cell r="G104" t="str">
            <v>1120</v>
          </cell>
          <cell r="H104" t="str">
            <v>19910107</v>
          </cell>
          <cell r="I104">
            <v>18478439</v>
          </cell>
        </row>
        <row r="105">
          <cell r="A105" t="str">
            <v>9204838</v>
          </cell>
          <cell r="B105" t="str">
            <v>고　정　규</v>
          </cell>
          <cell r="C105" t="str">
            <v>9204838고　정　규</v>
          </cell>
          <cell r="D105" t="str">
            <v>BF40</v>
          </cell>
          <cell r="E105" t="str">
            <v>총  무  팀</v>
          </cell>
          <cell r="F105" t="str">
            <v>1120</v>
          </cell>
          <cell r="G105" t="str">
            <v>1120</v>
          </cell>
          <cell r="H105" t="str">
            <v>19920810</v>
          </cell>
          <cell r="I105">
            <v>12908549</v>
          </cell>
        </row>
        <row r="106">
          <cell r="A106" t="str">
            <v>8810651</v>
          </cell>
          <cell r="B106" t="str">
            <v>김　기　돈</v>
          </cell>
          <cell r="C106" t="str">
            <v>8810651김　기　돈</v>
          </cell>
          <cell r="D106" t="str">
            <v>BF40</v>
          </cell>
          <cell r="E106" t="str">
            <v>총  무  팀</v>
          </cell>
          <cell r="F106" t="str">
            <v>1120</v>
          </cell>
          <cell r="G106" t="e">
            <v>#N/A</v>
          </cell>
          <cell r="H106" t="str">
            <v>19880712</v>
          </cell>
          <cell r="I106">
            <v>24344494</v>
          </cell>
          <cell r="J106" t="str">
            <v>2 월</v>
          </cell>
          <cell r="K106">
            <v>25425393</v>
          </cell>
        </row>
        <row r="107">
          <cell r="A107" t="str">
            <v>9411388</v>
          </cell>
          <cell r="B107" t="str">
            <v>김　성　진</v>
          </cell>
          <cell r="C107" t="str">
            <v>9411388김　성　진</v>
          </cell>
          <cell r="D107" t="str">
            <v>BF40</v>
          </cell>
          <cell r="E107" t="str">
            <v>총  무  팀</v>
          </cell>
          <cell r="F107" t="str">
            <v>1120</v>
          </cell>
          <cell r="G107" t="str">
            <v>1120</v>
          </cell>
          <cell r="H107" t="str">
            <v>19940816</v>
          </cell>
          <cell r="I107">
            <v>7358260</v>
          </cell>
        </row>
        <row r="108">
          <cell r="A108" t="str">
            <v>9010168</v>
          </cell>
          <cell r="B108" t="str">
            <v>김　승　중</v>
          </cell>
          <cell r="C108" t="str">
            <v>9010168김　승　중</v>
          </cell>
          <cell r="D108" t="str">
            <v>BF40</v>
          </cell>
          <cell r="E108" t="str">
            <v>총  무  팀</v>
          </cell>
          <cell r="F108" t="str">
            <v>1120</v>
          </cell>
          <cell r="G108" t="str">
            <v>1120</v>
          </cell>
          <cell r="H108" t="str">
            <v>19900215</v>
          </cell>
          <cell r="I108">
            <v>20119311</v>
          </cell>
        </row>
        <row r="109">
          <cell r="A109" t="str">
            <v>9206616</v>
          </cell>
          <cell r="B109" t="str">
            <v>안　준　호</v>
          </cell>
          <cell r="C109" t="str">
            <v>9206616안　준　호</v>
          </cell>
          <cell r="D109" t="str">
            <v>BF40</v>
          </cell>
          <cell r="E109" t="str">
            <v>총  무  팀</v>
          </cell>
          <cell r="F109" t="str">
            <v>1120</v>
          </cell>
          <cell r="G109" t="str">
            <v>2230</v>
          </cell>
          <cell r="H109" t="str">
            <v>19921101</v>
          </cell>
          <cell r="I109">
            <v>10077537</v>
          </cell>
        </row>
        <row r="110">
          <cell r="A110" t="str">
            <v>8604224</v>
          </cell>
          <cell r="B110" t="str">
            <v>윤　재　순</v>
          </cell>
          <cell r="C110" t="str">
            <v>8604224윤　재　순</v>
          </cell>
          <cell r="D110" t="str">
            <v>BF40</v>
          </cell>
          <cell r="E110" t="str">
            <v>총  무  팀</v>
          </cell>
          <cell r="F110" t="str">
            <v>1120</v>
          </cell>
          <cell r="G110" t="str">
            <v>1120</v>
          </cell>
          <cell r="H110" t="str">
            <v>19861020</v>
          </cell>
          <cell r="I110">
            <v>23511074</v>
          </cell>
        </row>
        <row r="111">
          <cell r="A111" t="str">
            <v>9204827</v>
          </cell>
          <cell r="B111" t="str">
            <v>이　상　열</v>
          </cell>
          <cell r="C111" t="str">
            <v>9204827이　상　열</v>
          </cell>
          <cell r="D111" t="str">
            <v>BF40</v>
          </cell>
          <cell r="E111" t="str">
            <v>총  무  팀</v>
          </cell>
          <cell r="F111" t="str">
            <v>1120</v>
          </cell>
          <cell r="G111" t="str">
            <v>1120</v>
          </cell>
          <cell r="H111" t="str">
            <v>19920810</v>
          </cell>
          <cell r="I111">
            <v>13075295</v>
          </cell>
        </row>
        <row r="112">
          <cell r="A112" t="str">
            <v>8310328</v>
          </cell>
          <cell r="B112" t="str">
            <v>장　대　호</v>
          </cell>
          <cell r="C112" t="str">
            <v>8310328장　대　호</v>
          </cell>
          <cell r="D112" t="str">
            <v>BF40</v>
          </cell>
          <cell r="E112" t="str">
            <v>총  무  팀</v>
          </cell>
          <cell r="F112" t="str">
            <v>1120</v>
          </cell>
          <cell r="G112" t="str">
            <v>1120</v>
          </cell>
          <cell r="H112" t="str">
            <v>19831216</v>
          </cell>
          <cell r="I112">
            <v>37362304</v>
          </cell>
        </row>
        <row r="113">
          <cell r="A113" t="str">
            <v>8604303</v>
          </cell>
          <cell r="B113" t="str">
            <v>하　동　명</v>
          </cell>
          <cell r="C113" t="str">
            <v>8604303하　동　명</v>
          </cell>
          <cell r="D113" t="str">
            <v>BF40</v>
          </cell>
          <cell r="E113" t="str">
            <v>총  무  팀</v>
          </cell>
          <cell r="F113" t="str">
            <v>1120</v>
          </cell>
          <cell r="G113" t="str">
            <v>1120</v>
          </cell>
          <cell r="H113" t="str">
            <v>19981201</v>
          </cell>
          <cell r="I113">
            <v>1931702</v>
          </cell>
        </row>
        <row r="114">
          <cell r="A114" t="str">
            <v>9010337</v>
          </cell>
          <cell r="B114" t="str">
            <v>김　낙　선</v>
          </cell>
          <cell r="C114" t="str">
            <v>9010337김　낙　선</v>
          </cell>
          <cell r="D114" t="str">
            <v>BF50</v>
          </cell>
          <cell r="E114" t="str">
            <v>총  무  팀</v>
          </cell>
          <cell r="F114" t="str">
            <v>1120</v>
          </cell>
          <cell r="G114" t="str">
            <v>1120</v>
          </cell>
          <cell r="H114" t="str">
            <v>19900215</v>
          </cell>
          <cell r="I114">
            <v>20017374</v>
          </cell>
        </row>
        <row r="115">
          <cell r="A115" t="str">
            <v>8500318</v>
          </cell>
          <cell r="B115" t="str">
            <v>안　희　만</v>
          </cell>
          <cell r="C115" t="str">
            <v>8500318안　희　만</v>
          </cell>
          <cell r="D115" t="str">
            <v>BF50</v>
          </cell>
          <cell r="E115" t="str">
            <v>총  무  팀</v>
          </cell>
          <cell r="F115" t="str">
            <v>1120</v>
          </cell>
          <cell r="G115" t="str">
            <v>1120</v>
          </cell>
          <cell r="H115" t="str">
            <v>19850105</v>
          </cell>
          <cell r="I115">
            <v>37026472</v>
          </cell>
        </row>
        <row r="116">
          <cell r="A116" t="str">
            <v>9600197</v>
          </cell>
          <cell r="B116" t="str">
            <v>임　창　도</v>
          </cell>
          <cell r="C116" t="str">
            <v>9600197임　창　도</v>
          </cell>
          <cell r="D116" t="str">
            <v>BF50</v>
          </cell>
          <cell r="E116" t="str">
            <v>총  무  팀</v>
          </cell>
          <cell r="F116" t="str">
            <v>1120</v>
          </cell>
          <cell r="G116" t="str">
            <v>1120</v>
          </cell>
          <cell r="H116" t="str">
            <v>19960108</v>
          </cell>
          <cell r="I116">
            <v>6641674</v>
          </cell>
        </row>
        <row r="117">
          <cell r="A117" t="str">
            <v>9400342</v>
          </cell>
          <cell r="B117" t="str">
            <v>정　성　한</v>
          </cell>
          <cell r="C117" t="str">
            <v>9400342정　성　한</v>
          </cell>
          <cell r="D117" t="str">
            <v>BF50</v>
          </cell>
          <cell r="E117" t="str">
            <v>총  무  팀</v>
          </cell>
          <cell r="F117" t="str">
            <v>1120</v>
          </cell>
          <cell r="G117" t="str">
            <v>1120</v>
          </cell>
          <cell r="H117" t="str">
            <v>19940117</v>
          </cell>
          <cell r="I117">
            <v>10155996</v>
          </cell>
        </row>
        <row r="118">
          <cell r="A118" t="str">
            <v>9200340</v>
          </cell>
          <cell r="B118" t="str">
            <v>한　기　종</v>
          </cell>
          <cell r="C118" t="str">
            <v>9200340한　기　종</v>
          </cell>
          <cell r="D118" t="str">
            <v>BF50</v>
          </cell>
          <cell r="E118" t="str">
            <v>총  무  팀</v>
          </cell>
          <cell r="F118" t="str">
            <v>1120</v>
          </cell>
          <cell r="G118" t="str">
            <v>1120</v>
          </cell>
          <cell r="H118" t="str">
            <v>19920107</v>
          </cell>
          <cell r="I118">
            <v>14865061</v>
          </cell>
        </row>
        <row r="119">
          <cell r="A119" t="str">
            <v>8710288</v>
          </cell>
          <cell r="B119" t="str">
            <v>곽　병　석</v>
          </cell>
          <cell r="C119" t="str">
            <v>8710288곽　병　석</v>
          </cell>
          <cell r="D119" t="str">
            <v>BG10</v>
          </cell>
          <cell r="E119" t="str">
            <v>총  무  팀</v>
          </cell>
          <cell r="F119" t="str">
            <v>1120</v>
          </cell>
          <cell r="G119" t="str">
            <v>1120</v>
          </cell>
          <cell r="H119" t="str">
            <v>19870323</v>
          </cell>
          <cell r="I119">
            <v>19191482</v>
          </cell>
        </row>
        <row r="120">
          <cell r="A120" t="str">
            <v>9204805</v>
          </cell>
          <cell r="B120" t="str">
            <v>김　승　호</v>
          </cell>
          <cell r="C120" t="str">
            <v>9204805김　승　호</v>
          </cell>
          <cell r="D120" t="str">
            <v>BG10</v>
          </cell>
          <cell r="E120" t="str">
            <v>총  무  팀</v>
          </cell>
          <cell r="F120" t="str">
            <v>1120</v>
          </cell>
          <cell r="G120" t="str">
            <v>1120</v>
          </cell>
          <cell r="H120" t="str">
            <v>19920817</v>
          </cell>
          <cell r="I120">
            <v>15704580</v>
          </cell>
        </row>
        <row r="121">
          <cell r="A121" t="str">
            <v>9510772</v>
          </cell>
          <cell r="B121" t="str">
            <v>김　영　석</v>
          </cell>
          <cell r="C121" t="str">
            <v>9510772김　영　석</v>
          </cell>
          <cell r="D121" t="str">
            <v>BG10</v>
          </cell>
          <cell r="E121" t="str">
            <v>총  무  팀</v>
          </cell>
          <cell r="F121" t="str">
            <v>1120</v>
          </cell>
          <cell r="G121" t="str">
            <v>1120</v>
          </cell>
          <cell r="H121" t="str">
            <v>19950510</v>
          </cell>
          <cell r="I121">
            <v>10909903</v>
          </cell>
        </row>
        <row r="122">
          <cell r="A122" t="str">
            <v>9610018</v>
          </cell>
          <cell r="B122" t="str">
            <v>박　대　희</v>
          </cell>
          <cell r="C122" t="str">
            <v>9610018박　대　희</v>
          </cell>
          <cell r="D122" t="str">
            <v>BG10</v>
          </cell>
          <cell r="E122" t="str">
            <v>총  무  팀</v>
          </cell>
          <cell r="F122" t="str">
            <v>1120</v>
          </cell>
          <cell r="G122" t="str">
            <v>1120</v>
          </cell>
          <cell r="H122" t="str">
            <v>19960101</v>
          </cell>
          <cell r="I122">
            <v>8230048</v>
          </cell>
        </row>
        <row r="123">
          <cell r="A123" t="str">
            <v>8800108</v>
          </cell>
          <cell r="B123" t="str">
            <v>장　성　훈</v>
          </cell>
          <cell r="C123" t="str">
            <v>8800108장　성　훈</v>
          </cell>
          <cell r="D123" t="str">
            <v>BG10</v>
          </cell>
          <cell r="E123" t="str">
            <v>총  무  팀</v>
          </cell>
          <cell r="F123" t="str">
            <v>1120</v>
          </cell>
          <cell r="G123" t="str">
            <v>1120</v>
          </cell>
          <cell r="H123" t="str">
            <v>19880121</v>
          </cell>
          <cell r="I123">
            <v>22847177</v>
          </cell>
        </row>
        <row r="124">
          <cell r="A124" t="str">
            <v>8902923</v>
          </cell>
          <cell r="B124" t="str">
            <v>최　원　석</v>
          </cell>
          <cell r="C124" t="str">
            <v>8902923최　원　석</v>
          </cell>
          <cell r="D124" t="str">
            <v>BG10</v>
          </cell>
          <cell r="E124" t="str">
            <v>총  무  팀</v>
          </cell>
          <cell r="F124" t="str">
            <v>1120</v>
          </cell>
          <cell r="G124" t="str">
            <v>1120</v>
          </cell>
          <cell r="H124" t="str">
            <v>19890313</v>
          </cell>
          <cell r="I124">
            <v>18317011</v>
          </cell>
        </row>
        <row r="125">
          <cell r="A125" t="str">
            <v>8710874</v>
          </cell>
          <cell r="B125" t="str">
            <v>김　문　성</v>
          </cell>
          <cell r="C125" t="str">
            <v>8710874김　문　성</v>
          </cell>
          <cell r="D125" t="str">
            <v>CB10</v>
          </cell>
          <cell r="E125" t="str">
            <v>총  무  팀</v>
          </cell>
          <cell r="F125" t="str">
            <v>1120</v>
          </cell>
          <cell r="G125" t="str">
            <v>1120</v>
          </cell>
          <cell r="H125" t="str">
            <v>19870813</v>
          </cell>
          <cell r="I125">
            <v>26067253</v>
          </cell>
          <cell r="J125" t="str">
            <v>5 월</v>
          </cell>
          <cell r="K125">
            <v>27033656</v>
          </cell>
        </row>
        <row r="126">
          <cell r="A126" t="str">
            <v>9460012</v>
          </cell>
          <cell r="B126" t="str">
            <v>김　미　숙</v>
          </cell>
          <cell r="C126" t="str">
            <v>9460012김　미　숙</v>
          </cell>
          <cell r="D126" t="str">
            <v>CB10</v>
          </cell>
          <cell r="E126" t="str">
            <v>총  무  팀</v>
          </cell>
          <cell r="F126" t="str">
            <v>1120</v>
          </cell>
          <cell r="G126" t="str">
            <v>1120</v>
          </cell>
          <cell r="H126" t="str">
            <v>19940216</v>
          </cell>
          <cell r="I126">
            <v>7173993</v>
          </cell>
        </row>
        <row r="127">
          <cell r="A127" t="str">
            <v>8000368</v>
          </cell>
          <cell r="B127" t="str">
            <v>김　호　철</v>
          </cell>
          <cell r="C127" t="str">
            <v>8000368김　호　철</v>
          </cell>
          <cell r="D127" t="str">
            <v>CB10</v>
          </cell>
          <cell r="E127" t="str">
            <v>총  무  팀</v>
          </cell>
          <cell r="F127" t="str">
            <v>1120</v>
          </cell>
          <cell r="G127" t="str">
            <v>1120</v>
          </cell>
          <cell r="H127" t="str">
            <v>19801101</v>
          </cell>
          <cell r="I127">
            <v>42282622</v>
          </cell>
          <cell r="J127" t="str">
            <v>2 월</v>
          </cell>
          <cell r="K127">
            <v>44464844</v>
          </cell>
        </row>
        <row r="128">
          <cell r="A128" t="str">
            <v>7810380</v>
          </cell>
          <cell r="B128" t="str">
            <v>김　홍　덕</v>
          </cell>
          <cell r="C128" t="str">
            <v>7810380김　홍　덕</v>
          </cell>
          <cell r="D128" t="str">
            <v>CB10</v>
          </cell>
          <cell r="E128" t="str">
            <v>총  무  팀</v>
          </cell>
          <cell r="F128" t="str">
            <v>1120</v>
          </cell>
          <cell r="G128" t="str">
            <v>2599</v>
          </cell>
          <cell r="H128" t="str">
            <v>19780201</v>
          </cell>
          <cell r="I128">
            <v>47086196</v>
          </cell>
        </row>
        <row r="129">
          <cell r="A129" t="str">
            <v>8501490</v>
          </cell>
          <cell r="B129" t="str">
            <v>김　화　순</v>
          </cell>
          <cell r="C129" t="str">
            <v>8501490김　화　순</v>
          </cell>
          <cell r="D129" t="str">
            <v>CB10</v>
          </cell>
          <cell r="E129" t="str">
            <v>총  무  팀</v>
          </cell>
          <cell r="F129" t="str">
            <v>1120</v>
          </cell>
          <cell r="G129" t="e">
            <v>#N/A</v>
          </cell>
          <cell r="H129" t="str">
            <v>19971101</v>
          </cell>
          <cell r="I129">
            <v>5526477</v>
          </cell>
          <cell r="J129" t="str">
            <v>4 월</v>
          </cell>
          <cell r="K129">
            <v>6278078</v>
          </cell>
        </row>
        <row r="130">
          <cell r="A130" t="str">
            <v>9203545</v>
          </cell>
          <cell r="B130" t="str">
            <v>박　재　철</v>
          </cell>
          <cell r="C130" t="str">
            <v>9203545박　재　철</v>
          </cell>
          <cell r="D130" t="str">
            <v>CB10</v>
          </cell>
          <cell r="E130" t="str">
            <v>총  무  팀</v>
          </cell>
          <cell r="F130" t="str">
            <v>1120</v>
          </cell>
          <cell r="G130" t="str">
            <v>1120</v>
          </cell>
          <cell r="H130" t="str">
            <v>19920701</v>
          </cell>
          <cell r="I130">
            <v>13247528</v>
          </cell>
        </row>
        <row r="131">
          <cell r="A131" t="str">
            <v>8510174</v>
          </cell>
          <cell r="B131" t="str">
            <v>서　학　범</v>
          </cell>
          <cell r="C131" t="str">
            <v>8510174서　학　범</v>
          </cell>
          <cell r="D131" t="str">
            <v>CB10</v>
          </cell>
          <cell r="E131" t="str">
            <v>총  무  팀</v>
          </cell>
          <cell r="F131" t="str">
            <v>1120</v>
          </cell>
          <cell r="G131" t="str">
            <v>2599</v>
          </cell>
          <cell r="H131" t="str">
            <v>19850601</v>
          </cell>
          <cell r="I131">
            <v>37925240</v>
          </cell>
        </row>
        <row r="132">
          <cell r="A132" t="str">
            <v>8401432</v>
          </cell>
          <cell r="B132" t="str">
            <v>엄　창　용</v>
          </cell>
          <cell r="C132" t="str">
            <v>8401432엄　창　용</v>
          </cell>
          <cell r="D132" t="str">
            <v>CB10</v>
          </cell>
          <cell r="E132" t="str">
            <v>총  무  팀</v>
          </cell>
          <cell r="F132" t="str">
            <v>1120</v>
          </cell>
          <cell r="G132" t="str">
            <v>1120</v>
          </cell>
          <cell r="H132" t="str">
            <v>19981201</v>
          </cell>
          <cell r="I132">
            <v>2675349</v>
          </cell>
        </row>
        <row r="133">
          <cell r="A133" t="str">
            <v>7800131</v>
          </cell>
          <cell r="B133" t="str">
            <v>전　영　호</v>
          </cell>
          <cell r="C133" t="str">
            <v>7800131전　영　호</v>
          </cell>
          <cell r="D133" t="str">
            <v>CB10</v>
          </cell>
          <cell r="E133" t="str">
            <v>총  무  팀</v>
          </cell>
          <cell r="F133" t="str">
            <v>1120</v>
          </cell>
          <cell r="G133" t="str">
            <v>1120</v>
          </cell>
          <cell r="H133" t="str">
            <v>19780322</v>
          </cell>
          <cell r="I133">
            <v>44306372</v>
          </cell>
        </row>
        <row r="134">
          <cell r="A134" t="str">
            <v>8602108</v>
          </cell>
          <cell r="B134" t="str">
            <v>최　기　봉</v>
          </cell>
          <cell r="C134" t="str">
            <v>8602108최　기　봉</v>
          </cell>
          <cell r="D134" t="str">
            <v>CB10</v>
          </cell>
          <cell r="E134" t="str">
            <v>총  무  팀</v>
          </cell>
          <cell r="F134" t="str">
            <v>1120</v>
          </cell>
          <cell r="G134" t="str">
            <v>1120</v>
          </cell>
          <cell r="H134" t="str">
            <v>19860701</v>
          </cell>
          <cell r="I134">
            <v>30125661</v>
          </cell>
        </row>
        <row r="135">
          <cell r="A135" t="str">
            <v>9800065</v>
          </cell>
          <cell r="B135" t="str">
            <v>김　　　성</v>
          </cell>
          <cell r="C135" t="str">
            <v>9800065김　　　성</v>
          </cell>
          <cell r="D135" t="str">
            <v>CD20</v>
          </cell>
          <cell r="E135" t="str">
            <v>총  무  팀</v>
          </cell>
          <cell r="F135" t="str">
            <v>1120</v>
          </cell>
          <cell r="G135" t="str">
            <v>1120</v>
          </cell>
          <cell r="H135" t="str">
            <v>19980201</v>
          </cell>
          <cell r="I135">
            <v>2522692</v>
          </cell>
        </row>
        <row r="136">
          <cell r="A136" t="str">
            <v>9800076</v>
          </cell>
          <cell r="B136" t="str">
            <v>한　　　신</v>
          </cell>
          <cell r="C136" t="str">
            <v>9800076한　　　신</v>
          </cell>
          <cell r="D136" t="str">
            <v>CD20</v>
          </cell>
          <cell r="E136" t="str">
            <v>총  무  팀</v>
          </cell>
          <cell r="F136" t="str">
            <v>1120</v>
          </cell>
          <cell r="G136" t="str">
            <v>1120</v>
          </cell>
          <cell r="H136" t="str">
            <v>19980201</v>
          </cell>
          <cell r="I136">
            <v>2522692</v>
          </cell>
        </row>
        <row r="137">
          <cell r="A137" t="str">
            <v>9800098</v>
          </cell>
          <cell r="B137" t="str">
            <v>이　극　배</v>
          </cell>
          <cell r="C137" t="str">
            <v>9800098이　극　배</v>
          </cell>
          <cell r="D137" t="str">
            <v>CE20</v>
          </cell>
          <cell r="E137" t="str">
            <v>총  무  팀</v>
          </cell>
          <cell r="F137" t="str">
            <v>1120</v>
          </cell>
          <cell r="G137" t="str">
            <v>2811</v>
          </cell>
          <cell r="H137" t="str">
            <v>19980201</v>
          </cell>
          <cell r="I137">
            <v>2522692</v>
          </cell>
        </row>
        <row r="138">
          <cell r="A138" t="str">
            <v>7500115</v>
          </cell>
          <cell r="B138" t="str">
            <v>채　수　찬</v>
          </cell>
          <cell r="C138" t="str">
            <v>7500115채　수　찬</v>
          </cell>
          <cell r="D138" t="str">
            <v>CE20</v>
          </cell>
          <cell r="E138" t="str">
            <v>총  무  팀</v>
          </cell>
          <cell r="F138" t="str">
            <v>1120</v>
          </cell>
          <cell r="G138" t="str">
            <v>1120</v>
          </cell>
          <cell r="H138" t="str">
            <v>19890701</v>
          </cell>
          <cell r="I138">
            <v>20936583</v>
          </cell>
        </row>
        <row r="139">
          <cell r="A139" t="str">
            <v>9600164</v>
          </cell>
          <cell r="B139" t="str">
            <v>오　민　철</v>
          </cell>
          <cell r="C139" t="str">
            <v>9600164오　민　철</v>
          </cell>
          <cell r="D139" t="str">
            <v>CF20</v>
          </cell>
          <cell r="E139" t="str">
            <v>총  무  팀</v>
          </cell>
          <cell r="F139" t="str">
            <v>1120</v>
          </cell>
          <cell r="G139" t="str">
            <v>1120</v>
          </cell>
          <cell r="H139" t="str">
            <v>19960108</v>
          </cell>
          <cell r="I139">
            <v>6602626</v>
          </cell>
        </row>
        <row r="140">
          <cell r="A140" t="str">
            <v>9406732</v>
          </cell>
          <cell r="B140" t="str">
            <v>장　시　곤</v>
          </cell>
          <cell r="C140" t="str">
            <v>9406732장　시　곤</v>
          </cell>
          <cell r="D140" t="str">
            <v>CH50</v>
          </cell>
          <cell r="E140" t="str">
            <v>총  무  팀</v>
          </cell>
          <cell r="F140" t="str">
            <v>1120</v>
          </cell>
          <cell r="G140" t="str">
            <v>2340</v>
          </cell>
          <cell r="H140" t="str">
            <v>19941216</v>
          </cell>
          <cell r="I140">
            <v>6021454</v>
          </cell>
        </row>
        <row r="141">
          <cell r="A141" t="str">
            <v>8610491</v>
          </cell>
          <cell r="B141" t="str">
            <v>최　재　갑</v>
          </cell>
          <cell r="C141" t="str">
            <v>8610491최　재　갑</v>
          </cell>
          <cell r="D141" t="str">
            <v>CJ15</v>
          </cell>
          <cell r="E141" t="str">
            <v>총  무  팀</v>
          </cell>
          <cell r="F141" t="str">
            <v>1120</v>
          </cell>
          <cell r="G141" t="str">
            <v>1120</v>
          </cell>
          <cell r="H141" t="str">
            <v>19860616</v>
          </cell>
          <cell r="I141">
            <v>31384228</v>
          </cell>
        </row>
        <row r="142">
          <cell r="A142" t="str">
            <v>9400252</v>
          </cell>
          <cell r="B142" t="str">
            <v>김　도　균</v>
          </cell>
          <cell r="C142" t="str">
            <v>9400252김　도　균</v>
          </cell>
          <cell r="D142" t="str">
            <v>CK40</v>
          </cell>
          <cell r="E142" t="str">
            <v>총  무  팀</v>
          </cell>
          <cell r="F142" t="str">
            <v>1120</v>
          </cell>
          <cell r="G142" t="str">
            <v>2730</v>
          </cell>
          <cell r="H142" t="str">
            <v>19940117</v>
          </cell>
          <cell r="I142">
            <v>10137776</v>
          </cell>
        </row>
        <row r="143">
          <cell r="A143" t="str">
            <v>0050264</v>
          </cell>
          <cell r="B143" t="str">
            <v>김　미　경</v>
          </cell>
          <cell r="C143" t="str">
            <v>0050264김　미　경</v>
          </cell>
          <cell r="D143" t="str">
            <v>CK40</v>
          </cell>
          <cell r="E143" t="str">
            <v>총  무  팀</v>
          </cell>
          <cell r="F143" t="str">
            <v>1120</v>
          </cell>
          <cell r="G143" t="str">
            <v>1120</v>
          </cell>
          <cell r="J143" t="str">
            <v>4 월</v>
          </cell>
          <cell r="M143">
            <v>22215002</v>
          </cell>
        </row>
        <row r="144">
          <cell r="A144" t="str">
            <v>0021137</v>
          </cell>
          <cell r="B144" t="str">
            <v>맹　성　호</v>
          </cell>
          <cell r="C144" t="str">
            <v>0021137맹　성　호</v>
          </cell>
          <cell r="D144" t="str">
            <v>CK40</v>
          </cell>
          <cell r="E144" t="str">
            <v>총  무  팀</v>
          </cell>
          <cell r="F144" t="str">
            <v>1120</v>
          </cell>
          <cell r="G144" t="str">
            <v>1120</v>
          </cell>
          <cell r="J144" t="str">
            <v>4 월</v>
          </cell>
          <cell r="M144">
            <v>19935197</v>
          </cell>
        </row>
        <row r="145">
          <cell r="A145" t="str">
            <v>9660025</v>
          </cell>
          <cell r="B145" t="str">
            <v>백　미　연</v>
          </cell>
          <cell r="C145" t="str">
            <v>9660025백　미　연</v>
          </cell>
          <cell r="D145" t="str">
            <v>CK40</v>
          </cell>
          <cell r="E145" t="str">
            <v>총  무  팀</v>
          </cell>
          <cell r="F145" t="str">
            <v>1120</v>
          </cell>
          <cell r="G145" t="str">
            <v>2654</v>
          </cell>
          <cell r="H145" t="str">
            <v>19960601</v>
          </cell>
          <cell r="I145">
            <v>3658944</v>
          </cell>
        </row>
        <row r="146">
          <cell r="A146" t="str">
            <v>0050264</v>
          </cell>
          <cell r="B146" t="str">
            <v>송　영　수</v>
          </cell>
          <cell r="C146" t="str">
            <v>0050264송　영　수</v>
          </cell>
          <cell r="D146" t="str">
            <v>CK40</v>
          </cell>
          <cell r="E146" t="str">
            <v>총  무  팀</v>
          </cell>
          <cell r="F146" t="str">
            <v>1120</v>
          </cell>
          <cell r="G146" t="str">
            <v>1120</v>
          </cell>
          <cell r="J146" t="str">
            <v>7 월</v>
          </cell>
          <cell r="M146">
            <v>453375000</v>
          </cell>
        </row>
        <row r="147">
          <cell r="A147" t="str">
            <v>9600660</v>
          </cell>
          <cell r="B147" t="str">
            <v>유　제　중</v>
          </cell>
          <cell r="C147" t="str">
            <v>9600660유　제　중</v>
          </cell>
          <cell r="D147" t="str">
            <v>CK40</v>
          </cell>
          <cell r="E147" t="str">
            <v>총  무  팀</v>
          </cell>
          <cell r="F147" t="str">
            <v>1120</v>
          </cell>
          <cell r="G147" t="str">
            <v>2730</v>
          </cell>
          <cell r="H147" t="str">
            <v>19960909</v>
          </cell>
          <cell r="I147">
            <v>3613441</v>
          </cell>
        </row>
        <row r="148">
          <cell r="A148" t="str">
            <v>9600221</v>
          </cell>
          <cell r="B148" t="str">
            <v>이　상　우</v>
          </cell>
          <cell r="C148" t="str">
            <v>9600221이　상　우</v>
          </cell>
          <cell r="D148" t="str">
            <v>CK40</v>
          </cell>
          <cell r="E148" t="str">
            <v>총  무  팀</v>
          </cell>
          <cell r="F148" t="str">
            <v>1120</v>
          </cell>
          <cell r="G148" t="str">
            <v>1120</v>
          </cell>
          <cell r="H148" t="str">
            <v>19960108</v>
          </cell>
          <cell r="I148">
            <v>5474360</v>
          </cell>
        </row>
        <row r="149">
          <cell r="A149" t="str">
            <v>9450022</v>
          </cell>
          <cell r="B149" t="str">
            <v>이　주　연</v>
          </cell>
          <cell r="C149" t="str">
            <v>9450022이　주　연</v>
          </cell>
          <cell r="D149" t="str">
            <v>CK40</v>
          </cell>
          <cell r="E149" t="str">
            <v>총  무  팀</v>
          </cell>
          <cell r="F149" t="str">
            <v>1120</v>
          </cell>
          <cell r="G149" t="str">
            <v>2730</v>
          </cell>
          <cell r="H149" t="str">
            <v>19940105</v>
          </cell>
          <cell r="I149">
            <v>6489878</v>
          </cell>
        </row>
        <row r="150">
          <cell r="A150" t="str">
            <v>9510592</v>
          </cell>
          <cell r="B150" t="str">
            <v>정　영　찬</v>
          </cell>
          <cell r="C150" t="str">
            <v>9510592정　영　찬</v>
          </cell>
          <cell r="D150" t="str">
            <v>CK40</v>
          </cell>
          <cell r="E150" t="str">
            <v>총  무  팀</v>
          </cell>
          <cell r="F150" t="str">
            <v>1120</v>
          </cell>
          <cell r="G150" t="str">
            <v>2730</v>
          </cell>
          <cell r="H150" t="str">
            <v>19950501</v>
          </cell>
          <cell r="I150">
            <v>6153525</v>
          </cell>
        </row>
        <row r="151">
          <cell r="A151" t="str">
            <v>8100066</v>
          </cell>
          <cell r="B151" t="str">
            <v>주　한　기</v>
          </cell>
          <cell r="C151" t="str">
            <v>8100066주　한　기</v>
          </cell>
          <cell r="D151" t="str">
            <v>CK40</v>
          </cell>
          <cell r="E151" t="str">
            <v>총  무  팀</v>
          </cell>
          <cell r="F151" t="str">
            <v>1120</v>
          </cell>
          <cell r="G151" t="str">
            <v>2652</v>
          </cell>
          <cell r="H151" t="str">
            <v>19981001</v>
          </cell>
          <cell r="I151">
            <v>3183668</v>
          </cell>
        </row>
        <row r="152">
          <cell r="A152" t="str">
            <v>9500646</v>
          </cell>
          <cell r="B152" t="str">
            <v>최　정　주</v>
          </cell>
          <cell r="C152" t="str">
            <v>9500646최　정　주</v>
          </cell>
          <cell r="D152" t="str">
            <v>CK40</v>
          </cell>
          <cell r="E152" t="str">
            <v>총  무  팀</v>
          </cell>
          <cell r="F152" t="str">
            <v>1120</v>
          </cell>
          <cell r="G152" t="str">
            <v>1120</v>
          </cell>
          <cell r="H152" t="str">
            <v>19950415</v>
          </cell>
          <cell r="I152">
            <v>6248553</v>
          </cell>
        </row>
        <row r="153">
          <cell r="A153" t="str">
            <v>9210328</v>
          </cell>
          <cell r="B153" t="str">
            <v>강　영　준</v>
          </cell>
          <cell r="C153" t="str">
            <v>9210328강　영　준</v>
          </cell>
          <cell r="D153" t="str">
            <v>BD40</v>
          </cell>
          <cell r="E153" t="str">
            <v>시설  임대</v>
          </cell>
          <cell r="F153" t="str">
            <v>1130</v>
          </cell>
          <cell r="G153" t="str">
            <v>1120</v>
          </cell>
          <cell r="H153" t="str">
            <v>19920215</v>
          </cell>
          <cell r="I153">
            <v>17011041</v>
          </cell>
        </row>
        <row r="154">
          <cell r="A154" t="str">
            <v>9210330</v>
          </cell>
          <cell r="B154" t="str">
            <v>곽　희　남</v>
          </cell>
          <cell r="C154" t="str">
            <v>9210330곽　희　남</v>
          </cell>
          <cell r="D154" t="str">
            <v>BD40</v>
          </cell>
          <cell r="E154" t="str">
            <v>시설  임대</v>
          </cell>
          <cell r="F154" t="str">
            <v>1130</v>
          </cell>
          <cell r="G154" t="str">
            <v>1120</v>
          </cell>
          <cell r="H154" t="str">
            <v>19920215</v>
          </cell>
          <cell r="I154">
            <v>17026944</v>
          </cell>
        </row>
        <row r="155">
          <cell r="A155" t="str">
            <v>9210407</v>
          </cell>
          <cell r="B155" t="str">
            <v>권　광　욱</v>
          </cell>
          <cell r="C155" t="str">
            <v>9210407권　광　욱</v>
          </cell>
          <cell r="D155" t="str">
            <v>BD40</v>
          </cell>
          <cell r="E155" t="str">
            <v>시설  임대</v>
          </cell>
          <cell r="F155" t="str">
            <v>1130</v>
          </cell>
          <cell r="G155" t="str">
            <v>1120</v>
          </cell>
          <cell r="H155" t="str">
            <v>19920215</v>
          </cell>
          <cell r="I155">
            <v>13843300</v>
          </cell>
        </row>
        <row r="156">
          <cell r="A156" t="str">
            <v>9600175</v>
          </cell>
          <cell r="B156" t="str">
            <v>권　영　석</v>
          </cell>
          <cell r="C156" t="str">
            <v>9600175권　영　석</v>
          </cell>
          <cell r="D156" t="str">
            <v>BD40</v>
          </cell>
          <cell r="E156" t="str">
            <v>시설  임대</v>
          </cell>
          <cell r="F156" t="str">
            <v>1130</v>
          </cell>
          <cell r="G156" t="str">
            <v>2810</v>
          </cell>
          <cell r="H156" t="str">
            <v>19960108</v>
          </cell>
          <cell r="I156">
            <v>5613302</v>
          </cell>
        </row>
        <row r="157">
          <cell r="A157" t="str">
            <v>9210420</v>
          </cell>
          <cell r="B157" t="str">
            <v>김　영　만</v>
          </cell>
          <cell r="C157" t="str">
            <v>9210420김　영　만</v>
          </cell>
          <cell r="D157" t="str">
            <v>BD40</v>
          </cell>
          <cell r="E157" t="str">
            <v>시설  임대</v>
          </cell>
          <cell r="F157" t="str">
            <v>1130</v>
          </cell>
          <cell r="G157" t="str">
            <v>1120</v>
          </cell>
          <cell r="H157" t="str">
            <v>19920215</v>
          </cell>
          <cell r="I157">
            <v>14728767</v>
          </cell>
        </row>
        <row r="158">
          <cell r="A158" t="str">
            <v>8700715</v>
          </cell>
          <cell r="B158" t="str">
            <v>박　제　영</v>
          </cell>
          <cell r="C158" t="str">
            <v>8700715박　제　영</v>
          </cell>
          <cell r="D158" t="str">
            <v>BD40</v>
          </cell>
          <cell r="E158" t="str">
            <v>시설  임대</v>
          </cell>
          <cell r="F158" t="str">
            <v>1130</v>
          </cell>
          <cell r="G158" t="str">
            <v>1120</v>
          </cell>
          <cell r="H158" t="str">
            <v>19870521</v>
          </cell>
          <cell r="I158">
            <v>24618885</v>
          </cell>
        </row>
        <row r="159">
          <cell r="A159" t="str">
            <v>9310037</v>
          </cell>
          <cell r="B159" t="str">
            <v>박　종　성</v>
          </cell>
          <cell r="C159" t="str">
            <v>9310037박　종　성</v>
          </cell>
          <cell r="D159" t="str">
            <v>BD40</v>
          </cell>
          <cell r="E159" t="str">
            <v>시설  임대</v>
          </cell>
          <cell r="F159" t="str">
            <v>1130</v>
          </cell>
          <cell r="G159" t="str">
            <v>1120</v>
          </cell>
          <cell r="H159" t="str">
            <v>19930201</v>
          </cell>
          <cell r="I159">
            <v>11682456</v>
          </cell>
        </row>
        <row r="160">
          <cell r="A160" t="str">
            <v>9702022</v>
          </cell>
          <cell r="B160" t="str">
            <v>방　자　용</v>
          </cell>
          <cell r="C160" t="str">
            <v>9702022방　자　용</v>
          </cell>
          <cell r="D160" t="str">
            <v>BD40</v>
          </cell>
          <cell r="E160" t="str">
            <v>시설  임대</v>
          </cell>
          <cell r="F160" t="str">
            <v>1130</v>
          </cell>
          <cell r="G160" t="str">
            <v>1120</v>
          </cell>
          <cell r="H160" t="str">
            <v>19970801</v>
          </cell>
          <cell r="I160">
            <v>3387267</v>
          </cell>
        </row>
        <row r="161">
          <cell r="A161" t="str">
            <v>8500072</v>
          </cell>
          <cell r="B161" t="str">
            <v>안　준　길</v>
          </cell>
          <cell r="C161" t="str">
            <v>8500072안　준　길</v>
          </cell>
          <cell r="D161" t="str">
            <v>BD40</v>
          </cell>
          <cell r="E161" t="str">
            <v>시설  임대</v>
          </cell>
          <cell r="F161" t="str">
            <v>1130</v>
          </cell>
          <cell r="G161" t="e">
            <v>#N/A</v>
          </cell>
          <cell r="H161" t="str">
            <v>19851001</v>
          </cell>
          <cell r="I161">
            <v>27107289</v>
          </cell>
          <cell r="J161" t="str">
            <v>9 월</v>
          </cell>
          <cell r="K161">
            <v>34599942</v>
          </cell>
        </row>
        <row r="162">
          <cell r="A162" t="str">
            <v>9210688</v>
          </cell>
          <cell r="B162" t="str">
            <v>정　원　길</v>
          </cell>
          <cell r="C162" t="str">
            <v>9210688정　원　길</v>
          </cell>
          <cell r="D162" t="str">
            <v>BD40</v>
          </cell>
          <cell r="E162" t="str">
            <v>시설  임대</v>
          </cell>
          <cell r="F162" t="str">
            <v>1130</v>
          </cell>
          <cell r="G162" t="str">
            <v>1120</v>
          </cell>
          <cell r="H162" t="str">
            <v>19920215</v>
          </cell>
          <cell r="I162">
            <v>13992957</v>
          </cell>
        </row>
        <row r="163">
          <cell r="A163" t="str">
            <v>9210126</v>
          </cell>
          <cell r="B163" t="str">
            <v>정　해　룡</v>
          </cell>
          <cell r="C163" t="str">
            <v>9210126정　해　룡</v>
          </cell>
          <cell r="D163" t="str">
            <v>BD40</v>
          </cell>
          <cell r="E163" t="str">
            <v>시설  임대</v>
          </cell>
          <cell r="F163" t="str">
            <v>1130</v>
          </cell>
          <cell r="G163" t="str">
            <v>1120</v>
          </cell>
          <cell r="H163" t="str">
            <v>19920107</v>
          </cell>
          <cell r="I163">
            <v>14990681</v>
          </cell>
        </row>
        <row r="164">
          <cell r="A164" t="str">
            <v>9210712</v>
          </cell>
          <cell r="B164" t="str">
            <v>주　항　유</v>
          </cell>
          <cell r="C164" t="str">
            <v>9210712주　항　유</v>
          </cell>
          <cell r="D164" t="str">
            <v>BD40</v>
          </cell>
          <cell r="E164" t="str">
            <v>시설  임대</v>
          </cell>
          <cell r="F164" t="str">
            <v>1130</v>
          </cell>
          <cell r="G164" t="str">
            <v>1120</v>
          </cell>
          <cell r="H164" t="str">
            <v>19920215</v>
          </cell>
          <cell r="I164">
            <v>16350060</v>
          </cell>
        </row>
        <row r="165">
          <cell r="A165" t="str">
            <v>8110091</v>
          </cell>
          <cell r="B165" t="str">
            <v>최　훈　영</v>
          </cell>
          <cell r="C165" t="str">
            <v>8110091최　훈　영</v>
          </cell>
          <cell r="D165" t="str">
            <v>BD40</v>
          </cell>
          <cell r="E165" t="str">
            <v>시설  임대</v>
          </cell>
          <cell r="F165" t="str">
            <v>1130</v>
          </cell>
          <cell r="G165" t="str">
            <v>1120</v>
          </cell>
          <cell r="H165" t="str">
            <v>19991101</v>
          </cell>
          <cell r="I165">
            <v>431887</v>
          </cell>
        </row>
        <row r="166">
          <cell r="A166" t="str">
            <v>0000041</v>
          </cell>
          <cell r="B166" t="str">
            <v>남　인　우</v>
          </cell>
          <cell r="C166" t="str">
            <v>0000041남　인　우</v>
          </cell>
          <cell r="D166" t="str">
            <v>사업총괄팀</v>
          </cell>
          <cell r="E166" t="str">
            <v>G I S 지점</v>
          </cell>
          <cell r="F166" t="str">
            <v>15651</v>
          </cell>
          <cell r="G166" t="e">
            <v>#N/A</v>
          </cell>
          <cell r="H166" t="str">
            <v>19910227</v>
          </cell>
          <cell r="I166">
            <v>217170000</v>
          </cell>
          <cell r="J166" t="str">
            <v>3 월(HIST)</v>
          </cell>
          <cell r="K166">
            <v>221191686</v>
          </cell>
        </row>
        <row r="167">
          <cell r="A167" t="str">
            <v>8710738</v>
          </cell>
          <cell r="B167" t="str">
            <v>송　창　수</v>
          </cell>
          <cell r="C167" t="str">
            <v>8710738송　창　수</v>
          </cell>
          <cell r="D167" t="str">
            <v>EA10</v>
          </cell>
          <cell r="E167" t="str">
            <v>G I S 지점</v>
          </cell>
          <cell r="F167" t="str">
            <v>15651</v>
          </cell>
          <cell r="G167" t="e">
            <v>#N/A</v>
          </cell>
          <cell r="H167" t="str">
            <v>19870601</v>
          </cell>
          <cell r="I167">
            <v>35822472</v>
          </cell>
          <cell r="J167" t="str">
            <v>3 월(HIST)</v>
          </cell>
          <cell r="K167">
            <v>38849336</v>
          </cell>
        </row>
        <row r="168">
          <cell r="A168" t="str">
            <v>9710076</v>
          </cell>
          <cell r="B168" t="str">
            <v>김　광　철</v>
          </cell>
          <cell r="C168" t="str">
            <v>9710076김　광　철</v>
          </cell>
          <cell r="D168" t="str">
            <v>EA20</v>
          </cell>
          <cell r="E168" t="str">
            <v>G I S 지점</v>
          </cell>
          <cell r="F168" t="str">
            <v>15651</v>
          </cell>
          <cell r="G168" t="e">
            <v>#N/A</v>
          </cell>
          <cell r="H168" t="str">
            <v>19970101</v>
          </cell>
          <cell r="I168">
            <v>4101792</v>
          </cell>
          <cell r="J168" t="str">
            <v>3 월(HIST)</v>
          </cell>
          <cell r="K168">
            <v>4534556</v>
          </cell>
        </row>
        <row r="169">
          <cell r="A169" t="str">
            <v>9611278</v>
          </cell>
          <cell r="B169" t="str">
            <v>김　재　훈</v>
          </cell>
          <cell r="C169" t="str">
            <v>9611278김　재　훈</v>
          </cell>
          <cell r="D169" t="str">
            <v>EA20</v>
          </cell>
          <cell r="E169" t="str">
            <v>G I S 지점</v>
          </cell>
          <cell r="F169" t="str">
            <v>15651</v>
          </cell>
          <cell r="G169" t="e">
            <v>#N/A</v>
          </cell>
          <cell r="H169" t="str">
            <v>19900215</v>
          </cell>
          <cell r="I169">
            <v>19139987</v>
          </cell>
          <cell r="J169" t="str">
            <v>3 월(HIST)</v>
          </cell>
          <cell r="K169">
            <v>20165305</v>
          </cell>
        </row>
        <row r="170">
          <cell r="A170" t="str">
            <v>9810088</v>
          </cell>
          <cell r="B170" t="str">
            <v>문　성　호</v>
          </cell>
          <cell r="C170" t="str">
            <v>9810088문　성　호</v>
          </cell>
          <cell r="D170" t="str">
            <v>EA20</v>
          </cell>
          <cell r="E170" t="str">
            <v>G I S 지점</v>
          </cell>
          <cell r="F170" t="str">
            <v>15651</v>
          </cell>
          <cell r="G170" t="e">
            <v>#N/A</v>
          </cell>
          <cell r="H170" t="str">
            <v>19980101</v>
          </cell>
          <cell r="I170">
            <v>2685666</v>
          </cell>
          <cell r="J170" t="str">
            <v>3 월(HIST)</v>
          </cell>
          <cell r="K170">
            <v>3088618</v>
          </cell>
        </row>
        <row r="171">
          <cell r="A171" t="str">
            <v>8810155</v>
          </cell>
          <cell r="B171" t="str">
            <v>신　영　철</v>
          </cell>
          <cell r="C171" t="str">
            <v>8810155신　영　철</v>
          </cell>
          <cell r="D171" t="str">
            <v>EA20</v>
          </cell>
          <cell r="E171" t="str">
            <v>G I S 지점</v>
          </cell>
          <cell r="F171" t="str">
            <v>15651</v>
          </cell>
          <cell r="G171" t="e">
            <v>#N/A</v>
          </cell>
          <cell r="H171" t="str">
            <v>19880118</v>
          </cell>
          <cell r="I171">
            <v>25069507</v>
          </cell>
          <cell r="J171" t="str">
            <v>2 월</v>
          </cell>
          <cell r="K171">
            <v>25802639</v>
          </cell>
        </row>
        <row r="172">
          <cell r="A172" t="str">
            <v>8810155</v>
          </cell>
          <cell r="B172" t="str">
            <v>신　영　철</v>
          </cell>
          <cell r="C172" t="str">
            <v>8810155신　영　철</v>
          </cell>
          <cell r="D172" t="str">
            <v>EA20</v>
          </cell>
          <cell r="E172" t="str">
            <v>G I S 지점</v>
          </cell>
          <cell r="F172" t="str">
            <v>15651</v>
          </cell>
          <cell r="G172" t="e">
            <v>#N/A</v>
          </cell>
          <cell r="H172" t="str">
            <v>19880118</v>
          </cell>
          <cell r="J172" t="str">
            <v>3 월(HIST)</v>
          </cell>
          <cell r="K172">
            <v>364679</v>
          </cell>
        </row>
        <row r="173">
          <cell r="A173" t="str">
            <v>9610740</v>
          </cell>
          <cell r="B173" t="str">
            <v>윤　태　영</v>
          </cell>
          <cell r="C173" t="str">
            <v>9610740윤　태　영</v>
          </cell>
          <cell r="D173" t="str">
            <v>EA20</v>
          </cell>
          <cell r="E173" t="str">
            <v>G I S 지점</v>
          </cell>
          <cell r="F173" t="str">
            <v>15651</v>
          </cell>
          <cell r="G173" t="e">
            <v>#N/A</v>
          </cell>
          <cell r="H173" t="str">
            <v>19900601</v>
          </cell>
          <cell r="I173">
            <v>23010312</v>
          </cell>
          <cell r="J173" t="str">
            <v>3 월(HIST)</v>
          </cell>
          <cell r="K173">
            <v>24812902</v>
          </cell>
        </row>
        <row r="174">
          <cell r="A174" t="str">
            <v>8810201</v>
          </cell>
          <cell r="B174" t="str">
            <v>정　덕　용</v>
          </cell>
          <cell r="C174" t="str">
            <v>8810201정　덕　용</v>
          </cell>
          <cell r="D174" t="str">
            <v>EA20</v>
          </cell>
          <cell r="E174" t="str">
            <v>G I S 지점</v>
          </cell>
          <cell r="F174" t="str">
            <v>15651</v>
          </cell>
          <cell r="G174" t="e">
            <v>#N/A</v>
          </cell>
          <cell r="H174" t="str">
            <v>19880118</v>
          </cell>
          <cell r="I174">
            <v>24954455</v>
          </cell>
          <cell r="J174" t="str">
            <v>3 월(HIST)</v>
          </cell>
          <cell r="K174">
            <v>26394131</v>
          </cell>
        </row>
        <row r="175">
          <cell r="A175" t="str">
            <v>9611111</v>
          </cell>
          <cell r="B175" t="str">
            <v>최　경　일</v>
          </cell>
          <cell r="C175" t="str">
            <v>9611111최　경　일</v>
          </cell>
          <cell r="D175" t="str">
            <v>EA20</v>
          </cell>
          <cell r="E175" t="str">
            <v>G I S 지점</v>
          </cell>
          <cell r="F175" t="str">
            <v>15651</v>
          </cell>
          <cell r="G175" t="e">
            <v>#N/A</v>
          </cell>
          <cell r="H175" t="str">
            <v>19910107</v>
          </cell>
          <cell r="I175">
            <v>18204371</v>
          </cell>
          <cell r="J175" t="str">
            <v>3 월(HIST)</v>
          </cell>
          <cell r="K175">
            <v>19189221</v>
          </cell>
        </row>
        <row r="176">
          <cell r="A176" t="str">
            <v>9611651</v>
          </cell>
          <cell r="B176" t="str">
            <v>최　대　용</v>
          </cell>
          <cell r="C176" t="str">
            <v>9611651최　대　용</v>
          </cell>
          <cell r="D176" t="str">
            <v>EA20</v>
          </cell>
          <cell r="E176" t="str">
            <v>G I S 지점</v>
          </cell>
          <cell r="F176" t="str">
            <v>15651</v>
          </cell>
          <cell r="G176" t="e">
            <v>#N/A</v>
          </cell>
          <cell r="H176" t="str">
            <v>19931216</v>
          </cell>
          <cell r="I176">
            <v>10148041</v>
          </cell>
          <cell r="J176" t="str">
            <v>3 월(HIST)</v>
          </cell>
          <cell r="K176">
            <v>10949870</v>
          </cell>
        </row>
        <row r="177">
          <cell r="A177" t="str">
            <v>9611100</v>
          </cell>
          <cell r="B177" t="str">
            <v>고　광　덕</v>
          </cell>
          <cell r="C177" t="str">
            <v>9611100고　광　덕</v>
          </cell>
          <cell r="D177" t="str">
            <v>EA40</v>
          </cell>
          <cell r="E177" t="str">
            <v>G I S 지점</v>
          </cell>
          <cell r="F177" t="str">
            <v>15651</v>
          </cell>
          <cell r="G177" t="e">
            <v>#N/A</v>
          </cell>
          <cell r="H177" t="str">
            <v>19900601</v>
          </cell>
          <cell r="I177">
            <v>16488551</v>
          </cell>
          <cell r="J177" t="str">
            <v>3 월(HIST)</v>
          </cell>
          <cell r="K177">
            <v>17356905</v>
          </cell>
        </row>
        <row r="178">
          <cell r="A178" t="str">
            <v>9611897</v>
          </cell>
          <cell r="B178" t="str">
            <v>권　해　민</v>
          </cell>
          <cell r="C178" t="str">
            <v>9611897권　해　민</v>
          </cell>
          <cell r="D178" t="str">
            <v>EA40</v>
          </cell>
          <cell r="E178" t="str">
            <v>G I S 지점</v>
          </cell>
          <cell r="F178" t="str">
            <v>15651</v>
          </cell>
          <cell r="G178" t="e">
            <v>#N/A</v>
          </cell>
          <cell r="H178" t="str">
            <v>19941216</v>
          </cell>
          <cell r="I178">
            <v>7198339</v>
          </cell>
          <cell r="J178" t="str">
            <v>3 월(HIST)</v>
          </cell>
          <cell r="K178">
            <v>7793924</v>
          </cell>
        </row>
        <row r="179">
          <cell r="A179" t="str">
            <v>9010146</v>
          </cell>
          <cell r="B179" t="str">
            <v>김　상　일</v>
          </cell>
          <cell r="C179" t="str">
            <v>9010146김　상　일</v>
          </cell>
          <cell r="D179" t="str">
            <v>EA40</v>
          </cell>
          <cell r="E179" t="str">
            <v>G I S 지점</v>
          </cell>
          <cell r="F179" t="str">
            <v>15651</v>
          </cell>
          <cell r="G179" t="e">
            <v>#N/A</v>
          </cell>
          <cell r="H179" t="str">
            <v>19900302</v>
          </cell>
          <cell r="I179">
            <v>20035589</v>
          </cell>
          <cell r="J179" t="str">
            <v>3 월(HIST)</v>
          </cell>
          <cell r="K179">
            <v>21464583</v>
          </cell>
        </row>
        <row r="180">
          <cell r="A180" t="str">
            <v>9611875</v>
          </cell>
          <cell r="B180" t="str">
            <v>문　병　수</v>
          </cell>
          <cell r="C180" t="str">
            <v>9611875문　병　수</v>
          </cell>
          <cell r="D180" t="str">
            <v>EA40</v>
          </cell>
          <cell r="E180" t="str">
            <v>G I S 지점</v>
          </cell>
          <cell r="F180" t="str">
            <v>15651</v>
          </cell>
          <cell r="G180" t="e">
            <v>#N/A</v>
          </cell>
          <cell r="H180" t="str">
            <v>19960701</v>
          </cell>
          <cell r="I180">
            <v>8683520</v>
          </cell>
          <cell r="J180" t="str">
            <v>3 월(HIST)</v>
          </cell>
          <cell r="K180">
            <v>9800659</v>
          </cell>
        </row>
        <row r="181">
          <cell r="A181" t="str">
            <v>9660137</v>
          </cell>
          <cell r="B181" t="str">
            <v>백　의　영</v>
          </cell>
          <cell r="C181" t="str">
            <v>9660137백　의　영</v>
          </cell>
          <cell r="D181" t="str">
            <v>EA40</v>
          </cell>
          <cell r="E181" t="str">
            <v>G I S 지점</v>
          </cell>
          <cell r="F181" t="str">
            <v>15651</v>
          </cell>
          <cell r="G181" t="e">
            <v>#N/A</v>
          </cell>
          <cell r="H181" t="str">
            <v>19930316</v>
          </cell>
          <cell r="I181">
            <v>8617952</v>
          </cell>
          <cell r="J181" t="str">
            <v>3 월(HIST)</v>
          </cell>
          <cell r="K181">
            <v>9060620</v>
          </cell>
        </row>
        <row r="182">
          <cell r="A182" t="str">
            <v>9660161</v>
          </cell>
          <cell r="B182" t="str">
            <v>이　하　영</v>
          </cell>
          <cell r="C182" t="str">
            <v>9660161이　하　영</v>
          </cell>
          <cell r="D182" t="str">
            <v>EA40</v>
          </cell>
          <cell r="E182" t="str">
            <v>G I S 지점</v>
          </cell>
          <cell r="F182" t="str">
            <v>15651</v>
          </cell>
          <cell r="G182" t="e">
            <v>#N/A</v>
          </cell>
          <cell r="H182" t="str">
            <v>19941101</v>
          </cell>
          <cell r="I182">
            <v>5449456</v>
          </cell>
          <cell r="J182" t="str">
            <v>3 월</v>
          </cell>
          <cell r="K182">
            <v>5778912</v>
          </cell>
        </row>
        <row r="183">
          <cell r="A183" t="str">
            <v>9560068</v>
          </cell>
          <cell r="B183" t="str">
            <v>최　정　연</v>
          </cell>
          <cell r="C183" t="str">
            <v>9560068최　정　연</v>
          </cell>
          <cell r="D183" t="str">
            <v>EA40</v>
          </cell>
          <cell r="E183" t="str">
            <v>G I S 지점</v>
          </cell>
          <cell r="F183" t="str">
            <v>15651</v>
          </cell>
          <cell r="G183" t="e">
            <v>#N/A</v>
          </cell>
          <cell r="H183" t="str">
            <v>19950801</v>
          </cell>
          <cell r="I183">
            <v>5594814</v>
          </cell>
          <cell r="J183" t="str">
            <v>3 월(HIST)</v>
          </cell>
          <cell r="K183">
            <v>5926676</v>
          </cell>
        </row>
        <row r="184">
          <cell r="A184" t="str">
            <v>9611471</v>
          </cell>
          <cell r="B184" t="str">
            <v>강　유　철</v>
          </cell>
          <cell r="C184" t="str">
            <v>9611471강　유　철</v>
          </cell>
          <cell r="D184" t="str">
            <v>EB20</v>
          </cell>
          <cell r="E184" t="str">
            <v>G I S 지점</v>
          </cell>
          <cell r="F184" t="str">
            <v>15651</v>
          </cell>
          <cell r="G184" t="e">
            <v>#N/A</v>
          </cell>
          <cell r="H184" t="str">
            <v>19960701</v>
          </cell>
          <cell r="I184">
            <v>6164356</v>
          </cell>
          <cell r="J184" t="str">
            <v>3 월(HIST)</v>
          </cell>
          <cell r="K184">
            <v>6405469</v>
          </cell>
        </row>
        <row r="185">
          <cell r="A185" t="str">
            <v>9610828</v>
          </cell>
          <cell r="B185" t="str">
            <v>김　상　중</v>
          </cell>
          <cell r="C185" t="str">
            <v>9610828김　상　중</v>
          </cell>
          <cell r="D185" t="str">
            <v>EB20</v>
          </cell>
          <cell r="E185" t="str">
            <v>G I S 지점</v>
          </cell>
          <cell r="F185" t="str">
            <v>15651</v>
          </cell>
          <cell r="G185" t="e">
            <v>#N/A</v>
          </cell>
          <cell r="H185" t="str">
            <v>19900601</v>
          </cell>
          <cell r="I185">
            <v>21207407</v>
          </cell>
          <cell r="J185" t="str">
            <v>3 월(HIST)</v>
          </cell>
          <cell r="K185">
            <v>21975986</v>
          </cell>
        </row>
        <row r="186">
          <cell r="A186" t="str">
            <v>9712675</v>
          </cell>
          <cell r="B186" t="str">
            <v>김　지　운</v>
          </cell>
          <cell r="C186" t="str">
            <v>9712675김　지　운</v>
          </cell>
          <cell r="D186" t="str">
            <v>EB20</v>
          </cell>
          <cell r="E186" t="str">
            <v>G I S 지점</v>
          </cell>
          <cell r="F186" t="str">
            <v>15651</v>
          </cell>
          <cell r="G186" t="e">
            <v>#N/A</v>
          </cell>
          <cell r="H186" t="str">
            <v>19971208</v>
          </cell>
          <cell r="I186">
            <v>2429730</v>
          </cell>
          <cell r="J186" t="str">
            <v>3 월(HIST)</v>
          </cell>
          <cell r="K186">
            <v>2691093</v>
          </cell>
        </row>
        <row r="187">
          <cell r="A187" t="str">
            <v>9611436</v>
          </cell>
          <cell r="B187" t="str">
            <v>김　지　환</v>
          </cell>
          <cell r="C187" t="str">
            <v>9611436김　지　환</v>
          </cell>
          <cell r="D187" t="str">
            <v>EB20</v>
          </cell>
          <cell r="E187" t="str">
            <v>G I S 지점</v>
          </cell>
          <cell r="F187" t="str">
            <v>15651</v>
          </cell>
          <cell r="G187" t="e">
            <v>#N/A</v>
          </cell>
          <cell r="H187" t="str">
            <v>19960701</v>
          </cell>
          <cell r="I187">
            <v>6271000</v>
          </cell>
          <cell r="J187" t="str">
            <v>3 월(HIST)</v>
          </cell>
          <cell r="K187">
            <v>6929321</v>
          </cell>
        </row>
        <row r="188">
          <cell r="A188" t="str">
            <v>9712697</v>
          </cell>
          <cell r="B188" t="str">
            <v>김　현　철</v>
          </cell>
          <cell r="C188" t="str">
            <v>9712697김　현　철</v>
          </cell>
          <cell r="D188" t="str">
            <v>EB20</v>
          </cell>
          <cell r="E188" t="str">
            <v>G I S 지점</v>
          </cell>
          <cell r="F188" t="str">
            <v>15651</v>
          </cell>
          <cell r="G188" t="e">
            <v>#N/A</v>
          </cell>
          <cell r="H188" t="str">
            <v>19971208</v>
          </cell>
          <cell r="I188">
            <v>2384608</v>
          </cell>
          <cell r="J188" t="str">
            <v>3 월(HIST)</v>
          </cell>
          <cell r="K188">
            <v>2748427</v>
          </cell>
        </row>
        <row r="189">
          <cell r="A189" t="str">
            <v>9611370</v>
          </cell>
          <cell r="B189" t="str">
            <v>김　황　수</v>
          </cell>
          <cell r="C189" t="str">
            <v>9611370김　황　수</v>
          </cell>
          <cell r="D189" t="str">
            <v>EB20</v>
          </cell>
          <cell r="E189" t="str">
            <v>G I S 지점</v>
          </cell>
          <cell r="F189" t="str">
            <v>15651</v>
          </cell>
          <cell r="G189" t="e">
            <v>#N/A</v>
          </cell>
          <cell r="H189" t="str">
            <v>19900601</v>
          </cell>
          <cell r="I189">
            <v>19242934</v>
          </cell>
          <cell r="J189" t="str">
            <v>3 월(HIST)</v>
          </cell>
          <cell r="K189">
            <v>19945688</v>
          </cell>
        </row>
        <row r="190">
          <cell r="A190" t="str">
            <v>9660238</v>
          </cell>
          <cell r="B190" t="str">
            <v>문　미　옥</v>
          </cell>
          <cell r="C190" t="str">
            <v>9660238문　미　옥</v>
          </cell>
          <cell r="D190" t="str">
            <v>EB20</v>
          </cell>
          <cell r="E190" t="str">
            <v>G I S 지점</v>
          </cell>
          <cell r="F190" t="str">
            <v>15651</v>
          </cell>
          <cell r="G190" t="e">
            <v>#N/A</v>
          </cell>
          <cell r="H190" t="str">
            <v>19951115</v>
          </cell>
          <cell r="I190">
            <v>5232450</v>
          </cell>
          <cell r="J190" t="str">
            <v>3 월(HIST)</v>
          </cell>
          <cell r="K190">
            <v>5544495</v>
          </cell>
        </row>
        <row r="191">
          <cell r="A191" t="str">
            <v>9611010</v>
          </cell>
          <cell r="B191" t="str">
            <v>박　관　수</v>
          </cell>
          <cell r="C191" t="str">
            <v>9611010박　관　수</v>
          </cell>
          <cell r="D191" t="str">
            <v>EB20</v>
          </cell>
          <cell r="E191" t="str">
            <v>G I S 지점</v>
          </cell>
          <cell r="F191" t="str">
            <v>15651</v>
          </cell>
          <cell r="G191" t="e">
            <v>#N/A</v>
          </cell>
          <cell r="H191" t="str">
            <v>19900601</v>
          </cell>
          <cell r="I191">
            <v>20702180</v>
          </cell>
          <cell r="J191" t="str">
            <v>3 월</v>
          </cell>
          <cell r="K191">
            <v>21748853</v>
          </cell>
        </row>
        <row r="192">
          <cell r="A192" t="str">
            <v>9611381</v>
          </cell>
          <cell r="B192" t="str">
            <v>배　인　영</v>
          </cell>
          <cell r="C192" t="str">
            <v>9611381배　인　영</v>
          </cell>
          <cell r="D192" t="str">
            <v>EB20</v>
          </cell>
          <cell r="E192" t="str">
            <v>G I S 지점</v>
          </cell>
          <cell r="F192" t="str">
            <v>15651</v>
          </cell>
          <cell r="G192" t="e">
            <v>#N/A</v>
          </cell>
          <cell r="H192" t="str">
            <v>19940701</v>
          </cell>
          <cell r="I192">
            <v>10308232</v>
          </cell>
          <cell r="J192" t="str">
            <v>3 월(HIST)</v>
          </cell>
          <cell r="K192">
            <v>10597066</v>
          </cell>
        </row>
        <row r="193">
          <cell r="A193" t="str">
            <v>9611403</v>
          </cell>
          <cell r="B193" t="str">
            <v>서　영　일</v>
          </cell>
          <cell r="C193" t="str">
            <v>9611403서　영　일</v>
          </cell>
          <cell r="D193" t="str">
            <v>EB20</v>
          </cell>
          <cell r="E193" t="str">
            <v>G I S 지점</v>
          </cell>
          <cell r="F193" t="str">
            <v>15651</v>
          </cell>
          <cell r="G193" t="e">
            <v>#N/A</v>
          </cell>
          <cell r="H193" t="str">
            <v>19960701</v>
          </cell>
          <cell r="I193">
            <v>6114517</v>
          </cell>
          <cell r="J193" t="str">
            <v>3 월(HIST)</v>
          </cell>
          <cell r="K193">
            <v>6503104</v>
          </cell>
        </row>
        <row r="194">
          <cell r="A194" t="str">
            <v>9710471</v>
          </cell>
          <cell r="B194" t="str">
            <v>안　정　일</v>
          </cell>
          <cell r="C194" t="str">
            <v>9710471안　정　일</v>
          </cell>
          <cell r="D194" t="str">
            <v>EB20</v>
          </cell>
          <cell r="E194" t="str">
            <v>G I S 지점</v>
          </cell>
          <cell r="F194" t="str">
            <v>15651</v>
          </cell>
          <cell r="G194" t="e">
            <v>#N/A</v>
          </cell>
          <cell r="H194" t="str">
            <v>19970317</v>
          </cell>
          <cell r="I194">
            <v>3205260</v>
          </cell>
          <cell r="J194" t="str">
            <v>3 월(HIST)</v>
          </cell>
          <cell r="K194">
            <v>3443853</v>
          </cell>
        </row>
        <row r="195">
          <cell r="A195" t="str">
            <v>9611392</v>
          </cell>
          <cell r="B195" t="str">
            <v>오　세　철</v>
          </cell>
          <cell r="C195" t="str">
            <v>9611392오　세　철</v>
          </cell>
          <cell r="D195" t="str">
            <v>EB20</v>
          </cell>
          <cell r="E195" t="str">
            <v>G I S 지점</v>
          </cell>
          <cell r="F195" t="str">
            <v>15651</v>
          </cell>
          <cell r="G195" t="e">
            <v>#N/A</v>
          </cell>
          <cell r="H195" t="str">
            <v>19960701</v>
          </cell>
          <cell r="I195">
            <v>6187946</v>
          </cell>
          <cell r="J195" t="str">
            <v>3 월(HIST)</v>
          </cell>
          <cell r="K195">
            <v>6764265</v>
          </cell>
        </row>
        <row r="196">
          <cell r="A196" t="str">
            <v>9610997</v>
          </cell>
          <cell r="B196" t="str">
            <v>오　하　근</v>
          </cell>
          <cell r="C196" t="str">
            <v>9610997오　하　근</v>
          </cell>
          <cell r="D196" t="str">
            <v>EB20</v>
          </cell>
          <cell r="E196" t="str">
            <v>G I S 지점</v>
          </cell>
          <cell r="F196" t="str">
            <v>15651</v>
          </cell>
          <cell r="G196" t="e">
            <v>#N/A</v>
          </cell>
          <cell r="H196" t="str">
            <v>19940701</v>
          </cell>
          <cell r="I196">
            <v>12177518</v>
          </cell>
          <cell r="J196" t="str">
            <v>3 월(HIST)</v>
          </cell>
          <cell r="K196">
            <v>13254446</v>
          </cell>
        </row>
        <row r="197">
          <cell r="A197" t="str">
            <v>9611954</v>
          </cell>
          <cell r="B197" t="str">
            <v>유　상　범</v>
          </cell>
          <cell r="C197" t="str">
            <v>9611954유　상　범</v>
          </cell>
          <cell r="D197" t="str">
            <v>EB20</v>
          </cell>
          <cell r="E197" t="str">
            <v>G I S 지점</v>
          </cell>
          <cell r="F197" t="str">
            <v>15651</v>
          </cell>
          <cell r="G197" t="e">
            <v>#N/A</v>
          </cell>
          <cell r="H197" t="str">
            <v>19950710</v>
          </cell>
          <cell r="I197">
            <v>6028985</v>
          </cell>
          <cell r="J197" t="str">
            <v>3 월(HIST)</v>
          </cell>
          <cell r="K197">
            <v>6384858</v>
          </cell>
        </row>
        <row r="198">
          <cell r="A198" t="str">
            <v>9711033</v>
          </cell>
          <cell r="B198" t="str">
            <v>유　상　역</v>
          </cell>
          <cell r="C198" t="str">
            <v>9711033유　상　역</v>
          </cell>
          <cell r="D198" t="str">
            <v>EB20</v>
          </cell>
          <cell r="E198" t="str">
            <v>G I S 지점</v>
          </cell>
          <cell r="F198" t="str">
            <v>15651</v>
          </cell>
          <cell r="G198" t="e">
            <v>#N/A</v>
          </cell>
          <cell r="H198" t="str">
            <v>19970609</v>
          </cell>
          <cell r="I198">
            <v>3044460</v>
          </cell>
          <cell r="J198" t="str">
            <v>3 월(HIST)</v>
          </cell>
          <cell r="K198">
            <v>3266587</v>
          </cell>
        </row>
        <row r="199">
          <cell r="A199" t="str">
            <v>9612167</v>
          </cell>
          <cell r="B199" t="str">
            <v>유　영　덕</v>
          </cell>
          <cell r="C199" t="str">
            <v>9612167유　영　덕</v>
          </cell>
          <cell r="D199" t="str">
            <v>EB20</v>
          </cell>
          <cell r="E199" t="str">
            <v>G I S 지점</v>
          </cell>
          <cell r="F199" t="str">
            <v>15651</v>
          </cell>
          <cell r="G199" t="e">
            <v>#N/A</v>
          </cell>
          <cell r="H199" t="str">
            <v>19960801</v>
          </cell>
          <cell r="I199">
            <v>5875781</v>
          </cell>
          <cell r="J199" t="str">
            <v>7 월</v>
          </cell>
          <cell r="K199">
            <v>7501332</v>
          </cell>
        </row>
        <row r="200">
          <cell r="A200" t="str">
            <v>9611008</v>
          </cell>
          <cell r="B200" t="str">
            <v>윤　목　희</v>
          </cell>
          <cell r="C200" t="str">
            <v>9611008윤　목　희</v>
          </cell>
          <cell r="D200" t="str">
            <v>EB20</v>
          </cell>
          <cell r="E200" t="str">
            <v>G I S 지점</v>
          </cell>
          <cell r="F200" t="str">
            <v>15651</v>
          </cell>
          <cell r="G200" t="e">
            <v>#N/A</v>
          </cell>
          <cell r="H200" t="str">
            <v>19900601</v>
          </cell>
          <cell r="I200">
            <v>20961240</v>
          </cell>
          <cell r="J200" t="str">
            <v>3 월(HIST)</v>
          </cell>
          <cell r="K200">
            <v>21446097</v>
          </cell>
        </row>
        <row r="201">
          <cell r="A201" t="str">
            <v>9611054</v>
          </cell>
          <cell r="B201" t="str">
            <v>윤　인　준</v>
          </cell>
          <cell r="C201" t="str">
            <v>9611054윤　인　준</v>
          </cell>
          <cell r="D201" t="str">
            <v>EB20</v>
          </cell>
          <cell r="E201" t="str">
            <v>G I S 지점</v>
          </cell>
          <cell r="F201" t="str">
            <v>15651</v>
          </cell>
          <cell r="G201" t="e">
            <v>#N/A</v>
          </cell>
          <cell r="H201" t="str">
            <v>19881219</v>
          </cell>
          <cell r="I201">
            <v>24699239</v>
          </cell>
          <cell r="J201" t="str">
            <v>3 월(HIST)</v>
          </cell>
          <cell r="K201">
            <v>26039619</v>
          </cell>
        </row>
        <row r="202">
          <cell r="A202" t="str">
            <v>9610964</v>
          </cell>
          <cell r="B202" t="str">
            <v>이　경　재</v>
          </cell>
          <cell r="C202" t="str">
            <v>9610964이　경　재</v>
          </cell>
          <cell r="D202" t="str">
            <v>EB20</v>
          </cell>
          <cell r="E202" t="str">
            <v>G I S 지점</v>
          </cell>
          <cell r="F202" t="str">
            <v>15651</v>
          </cell>
          <cell r="G202" t="e">
            <v>#N/A</v>
          </cell>
          <cell r="H202" t="str">
            <v>19890109</v>
          </cell>
          <cell r="I202">
            <v>23836739</v>
          </cell>
          <cell r="J202" t="str">
            <v>3 월(HIST)</v>
          </cell>
          <cell r="K202">
            <v>24867229</v>
          </cell>
        </row>
        <row r="203">
          <cell r="A203" t="str">
            <v>9611864</v>
          </cell>
          <cell r="B203" t="str">
            <v>이　근　화</v>
          </cell>
          <cell r="C203" t="str">
            <v>9611864이　근　화</v>
          </cell>
          <cell r="D203" t="str">
            <v>EB20</v>
          </cell>
          <cell r="E203" t="str">
            <v>G I S 지점</v>
          </cell>
          <cell r="F203" t="str">
            <v>15651</v>
          </cell>
          <cell r="G203" t="e">
            <v>#N/A</v>
          </cell>
          <cell r="H203" t="str">
            <v>19870101</v>
          </cell>
          <cell r="I203">
            <v>34686067</v>
          </cell>
          <cell r="J203" t="str">
            <v>3 월(HIST)</v>
          </cell>
          <cell r="K203">
            <v>36949295</v>
          </cell>
        </row>
        <row r="204">
          <cell r="A204" t="str">
            <v>9511964</v>
          </cell>
          <cell r="B204" t="str">
            <v>이　용　철</v>
          </cell>
          <cell r="C204" t="str">
            <v>9511964이　용　철</v>
          </cell>
          <cell r="D204" t="str">
            <v>EB20</v>
          </cell>
          <cell r="E204" t="str">
            <v>G I S 지점</v>
          </cell>
          <cell r="F204" t="str">
            <v>15651</v>
          </cell>
          <cell r="G204" t="e">
            <v>#N/A</v>
          </cell>
          <cell r="H204" t="str">
            <v>19951201</v>
          </cell>
          <cell r="I204">
            <v>4705812</v>
          </cell>
          <cell r="J204" t="str">
            <v>3 월(HIST)</v>
          </cell>
          <cell r="K204">
            <v>4967690</v>
          </cell>
        </row>
        <row r="205">
          <cell r="A205" t="str">
            <v>9610817</v>
          </cell>
          <cell r="B205" t="str">
            <v>이　재　경</v>
          </cell>
          <cell r="C205" t="str">
            <v>9610817이　재　경</v>
          </cell>
          <cell r="D205" t="str">
            <v>EB20</v>
          </cell>
          <cell r="E205" t="str">
            <v>G I S 지점</v>
          </cell>
          <cell r="F205" t="str">
            <v>15651</v>
          </cell>
          <cell r="G205" t="e">
            <v>#N/A</v>
          </cell>
          <cell r="H205" t="str">
            <v>19960701</v>
          </cell>
          <cell r="I205">
            <v>7464192</v>
          </cell>
          <cell r="J205" t="str">
            <v>3 월(HIST)</v>
          </cell>
          <cell r="K205">
            <v>8317748</v>
          </cell>
        </row>
        <row r="206">
          <cell r="A206" t="str">
            <v>9612325</v>
          </cell>
          <cell r="B206" t="str">
            <v>이　재　민</v>
          </cell>
          <cell r="C206" t="str">
            <v>9612325이　재　민</v>
          </cell>
          <cell r="D206" t="str">
            <v>EB20</v>
          </cell>
          <cell r="E206" t="str">
            <v>G I S 지점</v>
          </cell>
          <cell r="F206" t="str">
            <v>15651</v>
          </cell>
          <cell r="G206" t="e">
            <v>#N/A</v>
          </cell>
          <cell r="H206" t="str">
            <v>19960916</v>
          </cell>
          <cell r="I206">
            <v>3811404</v>
          </cell>
          <cell r="J206" t="str">
            <v>3 월(HIST)</v>
          </cell>
          <cell r="K206">
            <v>4196064</v>
          </cell>
        </row>
        <row r="207">
          <cell r="A207" t="str">
            <v>9611594</v>
          </cell>
          <cell r="B207" t="str">
            <v>이　재　복</v>
          </cell>
          <cell r="C207" t="str">
            <v>9611594이　재　복</v>
          </cell>
          <cell r="D207" t="str">
            <v>EB20</v>
          </cell>
          <cell r="E207" t="str">
            <v>G I S 지점</v>
          </cell>
          <cell r="F207" t="str">
            <v>15651</v>
          </cell>
          <cell r="G207" t="e">
            <v>#N/A</v>
          </cell>
          <cell r="H207" t="str">
            <v>19940701</v>
          </cell>
          <cell r="I207">
            <v>9901848</v>
          </cell>
          <cell r="J207" t="str">
            <v>3 월(HIST)</v>
          </cell>
          <cell r="K207">
            <v>10703625</v>
          </cell>
        </row>
        <row r="208">
          <cell r="A208" t="str">
            <v>9611267</v>
          </cell>
          <cell r="B208" t="str">
            <v>전　영　선</v>
          </cell>
          <cell r="C208" t="str">
            <v>9611267전　영　선</v>
          </cell>
          <cell r="D208" t="str">
            <v>EB20</v>
          </cell>
          <cell r="E208" t="str">
            <v>G I S 지점</v>
          </cell>
          <cell r="F208" t="str">
            <v>15651</v>
          </cell>
          <cell r="G208" t="e">
            <v>#N/A</v>
          </cell>
          <cell r="H208" t="str">
            <v>19910510</v>
          </cell>
          <cell r="I208">
            <v>16465685</v>
          </cell>
          <cell r="J208" t="str">
            <v>3 월(HIST)</v>
          </cell>
          <cell r="K208">
            <v>16796352</v>
          </cell>
        </row>
        <row r="209">
          <cell r="A209" t="str">
            <v>9611741</v>
          </cell>
          <cell r="B209" t="str">
            <v>전　종　섭</v>
          </cell>
          <cell r="C209" t="str">
            <v>9611741전　종　섭</v>
          </cell>
          <cell r="D209" t="str">
            <v>EB20</v>
          </cell>
          <cell r="E209" t="str">
            <v>G I S 지점</v>
          </cell>
          <cell r="F209" t="str">
            <v>15651</v>
          </cell>
          <cell r="G209" t="e">
            <v>#N/A</v>
          </cell>
          <cell r="H209" t="str">
            <v>19931216</v>
          </cell>
          <cell r="I209">
            <v>8424863</v>
          </cell>
          <cell r="J209" t="str">
            <v>3 월(HIST)</v>
          </cell>
          <cell r="K209">
            <v>8785100</v>
          </cell>
        </row>
        <row r="210">
          <cell r="A210" t="str">
            <v>9611043</v>
          </cell>
          <cell r="B210" t="str">
            <v>정　기　홍</v>
          </cell>
          <cell r="C210" t="str">
            <v>9611043정　기　홍</v>
          </cell>
          <cell r="D210" t="str">
            <v>EB20</v>
          </cell>
          <cell r="E210" t="str">
            <v>G I S 지점</v>
          </cell>
          <cell r="F210" t="str">
            <v>15651</v>
          </cell>
          <cell r="G210" t="e">
            <v>#N/A</v>
          </cell>
          <cell r="H210" t="str">
            <v>19881219</v>
          </cell>
          <cell r="I210">
            <v>23594002</v>
          </cell>
          <cell r="J210" t="str">
            <v>3 월(HIST)</v>
          </cell>
          <cell r="K210">
            <v>24834575</v>
          </cell>
        </row>
        <row r="211">
          <cell r="A211" t="str">
            <v>8810302</v>
          </cell>
          <cell r="B211" t="str">
            <v>정　병　조</v>
          </cell>
          <cell r="C211" t="str">
            <v>8810302정　병　조</v>
          </cell>
          <cell r="D211" t="str">
            <v>EB20</v>
          </cell>
          <cell r="E211" t="str">
            <v>G I S 지점</v>
          </cell>
          <cell r="F211" t="str">
            <v>15651</v>
          </cell>
          <cell r="G211" t="e">
            <v>#N/A</v>
          </cell>
          <cell r="H211" t="str">
            <v>19880201</v>
          </cell>
          <cell r="I211">
            <v>39869258</v>
          </cell>
          <cell r="J211" t="str">
            <v>3 월(HIST)</v>
          </cell>
          <cell r="K211">
            <v>42072236</v>
          </cell>
        </row>
        <row r="212">
          <cell r="A212" t="str">
            <v>8710053</v>
          </cell>
          <cell r="B212" t="str">
            <v>정　병　호</v>
          </cell>
          <cell r="C212" t="str">
            <v>8710053정　병　호</v>
          </cell>
          <cell r="D212" t="str">
            <v>EB20</v>
          </cell>
          <cell r="E212" t="str">
            <v>G I S 지점</v>
          </cell>
          <cell r="F212" t="str">
            <v>15651</v>
          </cell>
          <cell r="G212" t="e">
            <v>#N/A</v>
          </cell>
          <cell r="H212" t="str">
            <v>19870101</v>
          </cell>
          <cell r="I212">
            <v>37278592</v>
          </cell>
          <cell r="J212" t="str">
            <v>3 월(HIST)</v>
          </cell>
          <cell r="K212">
            <v>38637636</v>
          </cell>
        </row>
        <row r="213">
          <cell r="A213" t="str">
            <v>9611493</v>
          </cell>
          <cell r="B213" t="str">
            <v>정　원　철</v>
          </cell>
          <cell r="C213" t="str">
            <v>9611493정　원　철</v>
          </cell>
          <cell r="D213" t="str">
            <v>EB20</v>
          </cell>
          <cell r="E213" t="str">
            <v>G I S 지점</v>
          </cell>
          <cell r="F213" t="str">
            <v>15651</v>
          </cell>
          <cell r="G213" t="e">
            <v>#N/A</v>
          </cell>
          <cell r="H213" t="str">
            <v>19940701</v>
          </cell>
          <cell r="I213">
            <v>8055299</v>
          </cell>
          <cell r="J213" t="str">
            <v>3 월(HIST)</v>
          </cell>
          <cell r="K213">
            <v>8526876</v>
          </cell>
        </row>
        <row r="214">
          <cell r="A214" t="str">
            <v>9612887</v>
          </cell>
          <cell r="B214" t="str">
            <v>정　인　식</v>
          </cell>
          <cell r="C214" t="str">
            <v>9612887정　인　식</v>
          </cell>
          <cell r="D214" t="str">
            <v>EB20</v>
          </cell>
          <cell r="E214" t="str">
            <v>G I S 지점</v>
          </cell>
          <cell r="F214" t="str">
            <v>15651</v>
          </cell>
          <cell r="G214" t="e">
            <v>#N/A</v>
          </cell>
          <cell r="H214" t="str">
            <v>19961201</v>
          </cell>
          <cell r="I214">
            <v>3595830</v>
          </cell>
          <cell r="J214" t="str">
            <v>3 월(HIST)</v>
          </cell>
          <cell r="K214">
            <v>3858403</v>
          </cell>
        </row>
        <row r="215">
          <cell r="A215" t="str">
            <v>9611302</v>
          </cell>
          <cell r="B215" t="str">
            <v>정　철　두</v>
          </cell>
          <cell r="C215" t="str">
            <v>9611302정　철　두</v>
          </cell>
          <cell r="D215" t="str">
            <v>EB20</v>
          </cell>
          <cell r="E215" t="str">
            <v>G I S 지점</v>
          </cell>
          <cell r="F215" t="str">
            <v>15651</v>
          </cell>
          <cell r="G215" t="e">
            <v>#N/A</v>
          </cell>
          <cell r="H215" t="str">
            <v>19881219</v>
          </cell>
          <cell r="I215">
            <v>23895230</v>
          </cell>
          <cell r="J215" t="str">
            <v>3 월(HIST)</v>
          </cell>
          <cell r="K215">
            <v>24890664</v>
          </cell>
        </row>
        <row r="216">
          <cell r="A216" t="str">
            <v>9712631</v>
          </cell>
          <cell r="B216" t="str">
            <v>최　병　진</v>
          </cell>
          <cell r="C216" t="str">
            <v>9712631최　병　진</v>
          </cell>
          <cell r="D216" t="str">
            <v>EB20</v>
          </cell>
          <cell r="E216" t="str">
            <v>G I S 지점</v>
          </cell>
          <cell r="F216" t="str">
            <v>15651</v>
          </cell>
          <cell r="G216" t="e">
            <v>#N/A</v>
          </cell>
          <cell r="H216" t="str">
            <v>19971208</v>
          </cell>
          <cell r="I216">
            <v>2527016</v>
          </cell>
          <cell r="J216" t="str">
            <v>3 월(HIST)</v>
          </cell>
          <cell r="K216">
            <v>2885060</v>
          </cell>
        </row>
        <row r="217">
          <cell r="A217" t="str">
            <v>9611460</v>
          </cell>
          <cell r="B217" t="str">
            <v>한　조　일</v>
          </cell>
          <cell r="C217" t="str">
            <v>9611460한　조　일</v>
          </cell>
          <cell r="D217" t="str">
            <v>EB20</v>
          </cell>
          <cell r="E217" t="str">
            <v>G I S 지점</v>
          </cell>
          <cell r="F217" t="str">
            <v>15651</v>
          </cell>
          <cell r="G217" t="e">
            <v>#N/A</v>
          </cell>
          <cell r="H217" t="str">
            <v>19940701</v>
          </cell>
          <cell r="I217">
            <v>10149224</v>
          </cell>
          <cell r="J217" t="str">
            <v>3 월(HIST)</v>
          </cell>
          <cell r="K217">
            <v>10664916</v>
          </cell>
        </row>
        <row r="218">
          <cell r="A218" t="str">
            <v>9612044</v>
          </cell>
          <cell r="B218" t="str">
            <v>경　명　렬</v>
          </cell>
          <cell r="C218" t="str">
            <v>9612044경　명　렬</v>
          </cell>
          <cell r="D218" t="str">
            <v>EB30</v>
          </cell>
          <cell r="E218" t="str">
            <v>G I S 지점</v>
          </cell>
          <cell r="F218" t="str">
            <v>15651</v>
          </cell>
          <cell r="G218" t="e">
            <v>#N/A</v>
          </cell>
          <cell r="H218" t="str">
            <v>19951115</v>
          </cell>
          <cell r="I218">
            <v>6375542</v>
          </cell>
          <cell r="J218" t="str">
            <v>3 월(HIST)</v>
          </cell>
          <cell r="K218">
            <v>6624796</v>
          </cell>
        </row>
        <row r="219">
          <cell r="A219" t="str">
            <v>9611076</v>
          </cell>
          <cell r="B219" t="str">
            <v>경　승　현</v>
          </cell>
          <cell r="C219" t="str">
            <v>9611076경　승　현</v>
          </cell>
          <cell r="D219" t="str">
            <v>EB30</v>
          </cell>
          <cell r="E219" t="str">
            <v>G I S 지점</v>
          </cell>
          <cell r="F219" t="str">
            <v>15651</v>
          </cell>
          <cell r="G219" t="e">
            <v>#N/A</v>
          </cell>
          <cell r="H219" t="str">
            <v>19940701</v>
          </cell>
          <cell r="I219">
            <v>11706064</v>
          </cell>
          <cell r="J219" t="str">
            <v>3 월(HIST)</v>
          </cell>
          <cell r="K219">
            <v>11587573</v>
          </cell>
        </row>
        <row r="220">
          <cell r="A220" t="str">
            <v>9660172</v>
          </cell>
          <cell r="B220" t="str">
            <v>고　은　진</v>
          </cell>
          <cell r="C220" t="str">
            <v>9660172고　은　진</v>
          </cell>
          <cell r="D220" t="str">
            <v>EB30</v>
          </cell>
          <cell r="E220" t="str">
            <v>G I S 지점</v>
          </cell>
          <cell r="F220" t="str">
            <v>15651</v>
          </cell>
          <cell r="G220" t="e">
            <v>#N/A</v>
          </cell>
          <cell r="H220" t="str">
            <v>19960701</v>
          </cell>
          <cell r="I220">
            <v>4727419</v>
          </cell>
          <cell r="J220" t="str">
            <v>2 월</v>
          </cell>
          <cell r="K220">
            <v>4794472</v>
          </cell>
        </row>
        <row r="221">
          <cell r="A221" t="str">
            <v>9611763</v>
          </cell>
          <cell r="B221" t="str">
            <v>김　경　수</v>
          </cell>
          <cell r="C221" t="str">
            <v>9611763김　경　수</v>
          </cell>
          <cell r="D221" t="str">
            <v>EB30</v>
          </cell>
          <cell r="E221" t="str">
            <v>G I S 지점</v>
          </cell>
          <cell r="F221" t="str">
            <v>15651</v>
          </cell>
          <cell r="G221" t="e">
            <v>#N/A</v>
          </cell>
          <cell r="H221" t="str">
            <v>19960701</v>
          </cell>
          <cell r="I221">
            <v>5433184</v>
          </cell>
          <cell r="J221" t="str">
            <v>3 월(HIST)</v>
          </cell>
          <cell r="K221">
            <v>5287703</v>
          </cell>
        </row>
        <row r="222">
          <cell r="A222" t="str">
            <v>9611515</v>
          </cell>
          <cell r="B222" t="str">
            <v>김　경　호</v>
          </cell>
          <cell r="C222" t="str">
            <v>9611515김　경　호</v>
          </cell>
          <cell r="D222" t="str">
            <v>EB30</v>
          </cell>
          <cell r="E222" t="str">
            <v>G I S 지점</v>
          </cell>
          <cell r="F222" t="str">
            <v>15651</v>
          </cell>
          <cell r="G222" t="e">
            <v>#N/A</v>
          </cell>
          <cell r="H222" t="str">
            <v>19920106</v>
          </cell>
          <cell r="I222">
            <v>13984290</v>
          </cell>
          <cell r="J222" t="str">
            <v>3 월(HIST)</v>
          </cell>
          <cell r="K222">
            <v>14388323</v>
          </cell>
        </row>
        <row r="223">
          <cell r="A223" t="str">
            <v>9611605</v>
          </cell>
          <cell r="B223" t="str">
            <v>김　광　윤</v>
          </cell>
          <cell r="C223" t="str">
            <v>9611605김　광　윤</v>
          </cell>
          <cell r="D223" t="str">
            <v>EB30</v>
          </cell>
          <cell r="E223" t="str">
            <v>G I S 지점</v>
          </cell>
          <cell r="F223" t="str">
            <v>15651</v>
          </cell>
          <cell r="G223" t="e">
            <v>#N/A</v>
          </cell>
          <cell r="H223" t="str">
            <v>19940701</v>
          </cell>
          <cell r="I223">
            <v>8722270</v>
          </cell>
          <cell r="J223" t="str">
            <v>3 월(HIST)</v>
          </cell>
          <cell r="K223">
            <v>9371741</v>
          </cell>
        </row>
        <row r="224">
          <cell r="A224" t="str">
            <v>9612922</v>
          </cell>
          <cell r="B224" t="str">
            <v>김　기　옥</v>
          </cell>
          <cell r="C224" t="str">
            <v>9612922김　기　옥</v>
          </cell>
          <cell r="D224" t="str">
            <v>EB30</v>
          </cell>
          <cell r="E224" t="str">
            <v>G I S 지점</v>
          </cell>
          <cell r="F224" t="str">
            <v>15651</v>
          </cell>
          <cell r="G224" t="e">
            <v>#N/A</v>
          </cell>
          <cell r="H224" t="str">
            <v>19961201</v>
          </cell>
          <cell r="I224">
            <v>4334142</v>
          </cell>
          <cell r="J224" t="str">
            <v>3 월(HIST)</v>
          </cell>
          <cell r="K224">
            <v>4832297</v>
          </cell>
        </row>
        <row r="225">
          <cell r="A225" t="str">
            <v>9712642</v>
          </cell>
          <cell r="B225" t="str">
            <v>김　덕　중</v>
          </cell>
          <cell r="C225" t="str">
            <v>9712642김　덕　중</v>
          </cell>
          <cell r="D225" t="str">
            <v>EB30</v>
          </cell>
          <cell r="E225" t="str">
            <v>G I S 지점</v>
          </cell>
          <cell r="F225" t="str">
            <v>15651</v>
          </cell>
          <cell r="G225" t="e">
            <v>#N/A</v>
          </cell>
          <cell r="H225" t="str">
            <v>19971208</v>
          </cell>
          <cell r="I225">
            <v>2853392</v>
          </cell>
          <cell r="J225" t="str">
            <v>3 월(HIST)</v>
          </cell>
          <cell r="K225">
            <v>3265421</v>
          </cell>
        </row>
        <row r="226">
          <cell r="A226" t="str">
            <v>9612101</v>
          </cell>
          <cell r="B226" t="str">
            <v>김　동　규</v>
          </cell>
          <cell r="C226" t="str">
            <v>9612101김　동　규</v>
          </cell>
          <cell r="D226" t="str">
            <v>EB30</v>
          </cell>
          <cell r="E226" t="str">
            <v>G I S 지점</v>
          </cell>
          <cell r="F226" t="str">
            <v>15651</v>
          </cell>
          <cell r="G226" t="e">
            <v>#N/A</v>
          </cell>
          <cell r="H226" t="str">
            <v>19951206</v>
          </cell>
          <cell r="I226">
            <v>6180240</v>
          </cell>
          <cell r="J226" t="str">
            <v>3 월(HIST)</v>
          </cell>
          <cell r="K226">
            <v>6645054</v>
          </cell>
        </row>
        <row r="227">
          <cell r="A227" t="str">
            <v>9711088</v>
          </cell>
          <cell r="B227" t="str">
            <v>김　민　철</v>
          </cell>
          <cell r="C227" t="str">
            <v>9711088김　민　철</v>
          </cell>
          <cell r="D227" t="str">
            <v>EB30</v>
          </cell>
          <cell r="E227" t="str">
            <v>G I S 지점</v>
          </cell>
          <cell r="F227" t="str">
            <v>15651</v>
          </cell>
          <cell r="G227" t="e">
            <v>#N/A</v>
          </cell>
          <cell r="H227" t="str">
            <v>19970609</v>
          </cell>
          <cell r="I227">
            <v>2970249</v>
          </cell>
          <cell r="J227" t="str">
            <v>3 월(HIST)</v>
          </cell>
          <cell r="K227">
            <v>3329202</v>
          </cell>
        </row>
        <row r="228">
          <cell r="A228" t="str">
            <v>9611638</v>
          </cell>
          <cell r="B228" t="str">
            <v>김　상　규</v>
          </cell>
          <cell r="C228" t="str">
            <v>9611638김　상　규</v>
          </cell>
          <cell r="D228" t="str">
            <v>EB30</v>
          </cell>
          <cell r="E228" t="str">
            <v>G I S 지점</v>
          </cell>
          <cell r="F228" t="str">
            <v>15651</v>
          </cell>
          <cell r="G228" t="e">
            <v>#N/A</v>
          </cell>
          <cell r="H228" t="str">
            <v>19930916</v>
          </cell>
          <cell r="I228">
            <v>10075800</v>
          </cell>
          <cell r="J228" t="str">
            <v>3 월(HIST)</v>
          </cell>
          <cell r="K228">
            <v>10722828</v>
          </cell>
        </row>
        <row r="229">
          <cell r="A229" t="str">
            <v>9611550</v>
          </cell>
          <cell r="B229" t="str">
            <v>김　정　태</v>
          </cell>
          <cell r="C229" t="str">
            <v>9611550김　정　태</v>
          </cell>
          <cell r="D229" t="str">
            <v>EB30</v>
          </cell>
          <cell r="E229" t="str">
            <v>G I S 지점</v>
          </cell>
          <cell r="F229" t="str">
            <v>15651</v>
          </cell>
          <cell r="G229" t="e">
            <v>#N/A</v>
          </cell>
          <cell r="H229" t="str">
            <v>19940701</v>
          </cell>
          <cell r="I229">
            <v>10283271</v>
          </cell>
          <cell r="J229" t="str">
            <v>3 월(HIST)</v>
          </cell>
          <cell r="K229">
            <v>9932757</v>
          </cell>
        </row>
        <row r="230">
          <cell r="A230" t="str">
            <v>9611717</v>
          </cell>
          <cell r="B230" t="str">
            <v>김　태　성</v>
          </cell>
          <cell r="C230" t="str">
            <v>9611717김　태　성</v>
          </cell>
          <cell r="D230" t="str">
            <v>EB30</v>
          </cell>
          <cell r="E230" t="str">
            <v>G I S 지점</v>
          </cell>
          <cell r="F230" t="str">
            <v>15651</v>
          </cell>
          <cell r="G230" t="e">
            <v>#N/A</v>
          </cell>
          <cell r="H230" t="str">
            <v>19930916</v>
          </cell>
          <cell r="I230">
            <v>10275449</v>
          </cell>
          <cell r="J230" t="str">
            <v>3 월(HIST)</v>
          </cell>
          <cell r="K230">
            <v>11307264</v>
          </cell>
        </row>
        <row r="231">
          <cell r="A231" t="str">
            <v>9711000</v>
          </cell>
          <cell r="B231" t="str">
            <v>김　판　섭</v>
          </cell>
          <cell r="C231" t="str">
            <v>9711000김　판　섭</v>
          </cell>
          <cell r="D231" t="str">
            <v>EB30</v>
          </cell>
          <cell r="E231" t="str">
            <v>G I S 지점</v>
          </cell>
          <cell r="F231" t="str">
            <v>15651</v>
          </cell>
          <cell r="G231" t="e">
            <v>#N/A</v>
          </cell>
          <cell r="H231" t="str">
            <v>19970609</v>
          </cell>
          <cell r="I231">
            <v>3248824</v>
          </cell>
          <cell r="J231" t="str">
            <v>3 월(HIST)</v>
          </cell>
          <cell r="K231">
            <v>3595170</v>
          </cell>
        </row>
        <row r="232">
          <cell r="A232" t="str">
            <v>9611695</v>
          </cell>
          <cell r="B232" t="str">
            <v>김　행　주</v>
          </cell>
          <cell r="C232" t="str">
            <v>9611695김　행　주</v>
          </cell>
          <cell r="D232" t="str">
            <v>EB30</v>
          </cell>
          <cell r="E232" t="str">
            <v>G I S 지점</v>
          </cell>
          <cell r="F232" t="str">
            <v>15651</v>
          </cell>
          <cell r="G232" t="e">
            <v>#N/A</v>
          </cell>
          <cell r="H232" t="str">
            <v>19930916</v>
          </cell>
          <cell r="I232">
            <v>10740949</v>
          </cell>
          <cell r="J232" t="str">
            <v>3 월(HIST)</v>
          </cell>
          <cell r="K232">
            <v>10393058</v>
          </cell>
        </row>
        <row r="233">
          <cell r="A233" t="str">
            <v>9660150</v>
          </cell>
          <cell r="B233" t="str">
            <v>김　현　경</v>
          </cell>
          <cell r="C233" t="str">
            <v>9660150김　현　경</v>
          </cell>
          <cell r="D233" t="str">
            <v>EB30</v>
          </cell>
          <cell r="E233" t="str">
            <v>G I S 지점</v>
          </cell>
          <cell r="F233" t="str">
            <v>15651</v>
          </cell>
          <cell r="G233" t="e">
            <v>#N/A</v>
          </cell>
          <cell r="H233" t="str">
            <v>19930801</v>
          </cell>
          <cell r="I233">
            <v>7076030</v>
          </cell>
          <cell r="J233" t="str">
            <v>3 월(HIST)</v>
          </cell>
          <cell r="K233">
            <v>7328120</v>
          </cell>
        </row>
        <row r="234">
          <cell r="A234" t="str">
            <v>9712653</v>
          </cell>
          <cell r="B234" t="str">
            <v>김　홍　원</v>
          </cell>
          <cell r="C234" t="str">
            <v>9712653김　홍　원</v>
          </cell>
          <cell r="D234" t="str">
            <v>EB30</v>
          </cell>
          <cell r="E234" t="str">
            <v>G I S 지점</v>
          </cell>
          <cell r="F234" t="str">
            <v>15651</v>
          </cell>
          <cell r="G234" t="e">
            <v>#N/A</v>
          </cell>
          <cell r="H234" t="str">
            <v>19971208</v>
          </cell>
          <cell r="I234">
            <v>2854371</v>
          </cell>
          <cell r="J234" t="str">
            <v>3 월(HIST)</v>
          </cell>
          <cell r="K234">
            <v>3052541</v>
          </cell>
        </row>
        <row r="235">
          <cell r="A235" t="str">
            <v>9612033</v>
          </cell>
          <cell r="B235" t="str">
            <v>노　수　래</v>
          </cell>
          <cell r="C235" t="str">
            <v>9612033노　수　래</v>
          </cell>
          <cell r="D235" t="str">
            <v>EB30</v>
          </cell>
          <cell r="E235" t="str">
            <v>G I S 지점</v>
          </cell>
          <cell r="F235" t="str">
            <v>15651</v>
          </cell>
          <cell r="G235" t="e">
            <v>#N/A</v>
          </cell>
          <cell r="H235" t="str">
            <v>19951115</v>
          </cell>
          <cell r="I235">
            <v>6490489</v>
          </cell>
          <cell r="J235" t="str">
            <v>3 월(HIST)</v>
          </cell>
          <cell r="K235">
            <v>7264320</v>
          </cell>
        </row>
        <row r="236">
          <cell r="A236" t="str">
            <v>9611346</v>
          </cell>
          <cell r="B236" t="str">
            <v>성　하　광</v>
          </cell>
          <cell r="C236" t="str">
            <v>9611346성　하　광</v>
          </cell>
          <cell r="D236" t="str">
            <v>EB30</v>
          </cell>
          <cell r="E236" t="str">
            <v>G I S 지점</v>
          </cell>
          <cell r="F236" t="str">
            <v>15651</v>
          </cell>
          <cell r="G236" t="e">
            <v>#N/A</v>
          </cell>
          <cell r="H236" t="str">
            <v>19940701</v>
          </cell>
          <cell r="I236">
            <v>11555037</v>
          </cell>
          <cell r="J236" t="str">
            <v>3 월(HIST)</v>
          </cell>
          <cell r="K236">
            <v>11710312</v>
          </cell>
        </row>
        <row r="237">
          <cell r="A237" t="str">
            <v>9711066</v>
          </cell>
          <cell r="B237" t="str">
            <v>송　주　현</v>
          </cell>
          <cell r="C237" t="str">
            <v>9711066송　주　현</v>
          </cell>
          <cell r="D237" t="str">
            <v>EB30</v>
          </cell>
          <cell r="E237" t="str">
            <v>G I S 지점</v>
          </cell>
          <cell r="F237" t="str">
            <v>15651</v>
          </cell>
          <cell r="G237" t="e">
            <v>#N/A</v>
          </cell>
          <cell r="H237" t="str">
            <v>19970609</v>
          </cell>
          <cell r="I237">
            <v>3487404</v>
          </cell>
          <cell r="J237" t="str">
            <v>3 월(HIST)</v>
          </cell>
          <cell r="K237">
            <v>3591898</v>
          </cell>
        </row>
        <row r="238">
          <cell r="A238" t="str">
            <v>9711011</v>
          </cell>
          <cell r="B238" t="str">
            <v>신　종　식</v>
          </cell>
          <cell r="C238" t="str">
            <v>9711011신　종　식</v>
          </cell>
          <cell r="D238" t="str">
            <v>EB30</v>
          </cell>
          <cell r="E238" t="str">
            <v>G I S 지점</v>
          </cell>
          <cell r="F238" t="str">
            <v>15651</v>
          </cell>
          <cell r="G238" t="e">
            <v>#N/A</v>
          </cell>
          <cell r="H238" t="str">
            <v>19970609</v>
          </cell>
          <cell r="I238">
            <v>3534554</v>
          </cell>
          <cell r="J238" t="str">
            <v>3 월(HIST)</v>
          </cell>
          <cell r="K238">
            <v>3660187</v>
          </cell>
        </row>
        <row r="239">
          <cell r="A239" t="str">
            <v>9611357</v>
          </cell>
          <cell r="B239" t="str">
            <v>신　태　규</v>
          </cell>
          <cell r="C239" t="str">
            <v>9611357신　태　규</v>
          </cell>
          <cell r="D239" t="str">
            <v>EB30</v>
          </cell>
          <cell r="E239" t="str">
            <v>G I S 지점</v>
          </cell>
          <cell r="F239" t="str">
            <v>15651</v>
          </cell>
          <cell r="G239" t="e">
            <v>#N/A</v>
          </cell>
          <cell r="H239" t="str">
            <v>19940701</v>
          </cell>
          <cell r="I239">
            <v>10945596</v>
          </cell>
          <cell r="J239" t="str">
            <v>3 월(HIST)</v>
          </cell>
          <cell r="K239">
            <v>10733197</v>
          </cell>
        </row>
        <row r="240">
          <cell r="A240" t="str">
            <v>9612933</v>
          </cell>
          <cell r="B240" t="str">
            <v>안　명　흥</v>
          </cell>
          <cell r="C240" t="str">
            <v>9612933안　명　흥</v>
          </cell>
          <cell r="D240" t="str">
            <v>EB30</v>
          </cell>
          <cell r="E240" t="str">
            <v>G I S 지점</v>
          </cell>
          <cell r="F240" t="str">
            <v>15651</v>
          </cell>
          <cell r="G240" t="e">
            <v>#N/A</v>
          </cell>
          <cell r="H240" t="str">
            <v>19961201</v>
          </cell>
          <cell r="I240">
            <v>4521309</v>
          </cell>
          <cell r="J240" t="str">
            <v>3 월(HIST)</v>
          </cell>
          <cell r="K240">
            <v>4950133</v>
          </cell>
        </row>
        <row r="241">
          <cell r="A241" t="str">
            <v>9612066</v>
          </cell>
          <cell r="B241" t="str">
            <v>여　운　행</v>
          </cell>
          <cell r="C241" t="str">
            <v>9612066여　운　행</v>
          </cell>
          <cell r="D241" t="str">
            <v>EB30</v>
          </cell>
          <cell r="E241" t="str">
            <v>G I S 지점</v>
          </cell>
          <cell r="F241" t="str">
            <v>15651</v>
          </cell>
          <cell r="G241" t="e">
            <v>#N/A</v>
          </cell>
          <cell r="H241" t="str">
            <v>19951206</v>
          </cell>
          <cell r="I241">
            <v>5417281</v>
          </cell>
          <cell r="J241" t="str">
            <v>3 월(HIST)</v>
          </cell>
          <cell r="K241">
            <v>5652522</v>
          </cell>
        </row>
        <row r="242">
          <cell r="A242" t="str">
            <v>9612955</v>
          </cell>
          <cell r="B242" t="str">
            <v>오　인　영</v>
          </cell>
          <cell r="C242" t="str">
            <v>9612955오　인　영</v>
          </cell>
          <cell r="D242" t="str">
            <v>EB30</v>
          </cell>
          <cell r="E242" t="str">
            <v>G I S 지점</v>
          </cell>
          <cell r="F242" t="str">
            <v>15651</v>
          </cell>
          <cell r="G242" t="e">
            <v>#N/A</v>
          </cell>
          <cell r="H242" t="str">
            <v>19961201</v>
          </cell>
          <cell r="I242">
            <v>3618553</v>
          </cell>
          <cell r="J242" t="str">
            <v>3 월(HIST)</v>
          </cell>
          <cell r="K242">
            <v>4053563</v>
          </cell>
        </row>
        <row r="243">
          <cell r="A243" t="str">
            <v>9610863</v>
          </cell>
          <cell r="B243" t="str">
            <v>유　정　근</v>
          </cell>
          <cell r="C243" t="str">
            <v>9610863유　정　근</v>
          </cell>
          <cell r="D243" t="str">
            <v>EB30</v>
          </cell>
          <cell r="E243" t="str">
            <v>G I S 지점</v>
          </cell>
          <cell r="F243" t="str">
            <v>15651</v>
          </cell>
          <cell r="G243" t="e">
            <v>#N/A</v>
          </cell>
          <cell r="H243" t="str">
            <v>19940701</v>
          </cell>
          <cell r="I243">
            <v>12713777</v>
          </cell>
          <cell r="J243" t="str">
            <v>3 월(HIST)</v>
          </cell>
          <cell r="K243">
            <v>13780416</v>
          </cell>
        </row>
        <row r="244">
          <cell r="A244" t="str">
            <v>9611616</v>
          </cell>
          <cell r="B244" t="str">
            <v>윤　문　태</v>
          </cell>
          <cell r="C244" t="str">
            <v>9611616윤　문　태</v>
          </cell>
          <cell r="D244" t="str">
            <v>EB30</v>
          </cell>
          <cell r="E244" t="str">
            <v>G I S 지점</v>
          </cell>
          <cell r="F244" t="str">
            <v>15651</v>
          </cell>
          <cell r="G244" t="e">
            <v>#N/A</v>
          </cell>
          <cell r="H244" t="str">
            <v>19930801</v>
          </cell>
          <cell r="I244">
            <v>13516929</v>
          </cell>
          <cell r="J244" t="str">
            <v>3 월(HIST)</v>
          </cell>
          <cell r="K244">
            <v>13625240</v>
          </cell>
        </row>
        <row r="245">
          <cell r="A245" t="str">
            <v>9611752</v>
          </cell>
          <cell r="B245" t="str">
            <v>이　원　호</v>
          </cell>
          <cell r="C245" t="str">
            <v>9611752이　원　호</v>
          </cell>
          <cell r="D245" t="str">
            <v>EB30</v>
          </cell>
          <cell r="E245" t="str">
            <v>G I S 지점</v>
          </cell>
          <cell r="F245" t="str">
            <v>15651</v>
          </cell>
          <cell r="G245" t="e">
            <v>#N/A</v>
          </cell>
          <cell r="H245" t="str">
            <v>19960701</v>
          </cell>
          <cell r="I245">
            <v>5486043</v>
          </cell>
          <cell r="J245" t="str">
            <v>3 월(HIST)</v>
          </cell>
          <cell r="K245">
            <v>5386819</v>
          </cell>
        </row>
        <row r="246">
          <cell r="A246" t="str">
            <v>9611313</v>
          </cell>
          <cell r="B246" t="str">
            <v>임　기　수</v>
          </cell>
          <cell r="C246" t="str">
            <v>9611313임　기　수</v>
          </cell>
          <cell r="D246" t="str">
            <v>EB30</v>
          </cell>
          <cell r="E246" t="str">
            <v>G I S 지점</v>
          </cell>
          <cell r="F246" t="str">
            <v>15651</v>
          </cell>
          <cell r="G246" t="e">
            <v>#N/A</v>
          </cell>
          <cell r="H246" t="str">
            <v>19881219</v>
          </cell>
          <cell r="I246">
            <v>25087946</v>
          </cell>
          <cell r="J246" t="str">
            <v>3 월(HIST)</v>
          </cell>
          <cell r="K246">
            <v>25847832</v>
          </cell>
        </row>
        <row r="247">
          <cell r="A247" t="str">
            <v>9611526</v>
          </cell>
          <cell r="B247" t="str">
            <v>임　무　환</v>
          </cell>
          <cell r="C247" t="str">
            <v>9611526임　무　환</v>
          </cell>
          <cell r="D247" t="str">
            <v>EB30</v>
          </cell>
          <cell r="E247" t="str">
            <v>G I S 지점</v>
          </cell>
          <cell r="F247" t="str">
            <v>15651</v>
          </cell>
          <cell r="G247" t="e">
            <v>#N/A</v>
          </cell>
          <cell r="H247" t="str">
            <v>19960701</v>
          </cell>
          <cell r="I247">
            <v>6603178</v>
          </cell>
          <cell r="J247" t="str">
            <v>3 월(HIST)</v>
          </cell>
          <cell r="K247">
            <v>6885544</v>
          </cell>
        </row>
        <row r="248">
          <cell r="A248" t="str">
            <v>9711077</v>
          </cell>
          <cell r="B248" t="str">
            <v>장　민　수</v>
          </cell>
          <cell r="C248" t="str">
            <v>9711077장　민　수</v>
          </cell>
          <cell r="D248" t="str">
            <v>EB30</v>
          </cell>
          <cell r="E248" t="str">
            <v>G I S 지점</v>
          </cell>
          <cell r="F248" t="str">
            <v>15651</v>
          </cell>
          <cell r="G248" t="e">
            <v>#N/A</v>
          </cell>
          <cell r="H248" t="str">
            <v>19970609</v>
          </cell>
          <cell r="I248">
            <v>3379442</v>
          </cell>
          <cell r="J248" t="str">
            <v>3 월(HIST)</v>
          </cell>
          <cell r="K248">
            <v>3435258</v>
          </cell>
        </row>
        <row r="249">
          <cell r="A249" t="str">
            <v>9711055</v>
          </cell>
          <cell r="B249" t="str">
            <v>정　운　창</v>
          </cell>
          <cell r="C249" t="str">
            <v>9711055정　운　창</v>
          </cell>
          <cell r="D249" t="str">
            <v>EB30</v>
          </cell>
          <cell r="E249" t="str">
            <v>G I S 지점</v>
          </cell>
          <cell r="F249" t="str">
            <v>15651</v>
          </cell>
          <cell r="G249" t="e">
            <v>#N/A</v>
          </cell>
          <cell r="H249" t="str">
            <v>19970609</v>
          </cell>
          <cell r="I249">
            <v>3107234</v>
          </cell>
          <cell r="J249" t="str">
            <v>3 월(HIST)</v>
          </cell>
          <cell r="K249">
            <v>3279609</v>
          </cell>
        </row>
        <row r="250">
          <cell r="A250" t="str">
            <v>9611458</v>
          </cell>
          <cell r="B250" t="str">
            <v>조　경　훈</v>
          </cell>
          <cell r="C250" t="str">
            <v>9611458조　경　훈</v>
          </cell>
          <cell r="D250" t="str">
            <v>EB30</v>
          </cell>
          <cell r="E250" t="str">
            <v>G I S 지점</v>
          </cell>
          <cell r="F250" t="str">
            <v>15651</v>
          </cell>
          <cell r="G250" t="e">
            <v>#N/A</v>
          </cell>
          <cell r="H250" t="str">
            <v>19910510</v>
          </cell>
          <cell r="I250">
            <v>18903817</v>
          </cell>
          <cell r="J250" t="str">
            <v>3 월(HIST)</v>
          </cell>
          <cell r="K250">
            <v>18178373</v>
          </cell>
        </row>
        <row r="251">
          <cell r="A251" t="str">
            <v>9711022</v>
          </cell>
          <cell r="B251" t="str">
            <v>조　현　진</v>
          </cell>
          <cell r="C251" t="str">
            <v>9711022조　현　진</v>
          </cell>
          <cell r="D251" t="str">
            <v>EB30</v>
          </cell>
          <cell r="E251" t="str">
            <v>G I S 지점</v>
          </cell>
          <cell r="F251" t="str">
            <v>15651</v>
          </cell>
          <cell r="G251" t="e">
            <v>#N/A</v>
          </cell>
          <cell r="H251" t="str">
            <v>19970609</v>
          </cell>
          <cell r="I251">
            <v>3195871</v>
          </cell>
          <cell r="J251" t="str">
            <v>3 월(HIST)</v>
          </cell>
          <cell r="K251">
            <v>3349084</v>
          </cell>
        </row>
        <row r="252">
          <cell r="A252" t="str">
            <v>9611291</v>
          </cell>
          <cell r="B252" t="str">
            <v>최　용　균</v>
          </cell>
          <cell r="C252" t="str">
            <v>9611291최　용　균</v>
          </cell>
          <cell r="D252" t="str">
            <v>EB30</v>
          </cell>
          <cell r="E252" t="str">
            <v>G I S 지점</v>
          </cell>
          <cell r="F252" t="str">
            <v>15651</v>
          </cell>
          <cell r="G252" t="e">
            <v>#N/A</v>
          </cell>
          <cell r="H252" t="str">
            <v>19960701</v>
          </cell>
          <cell r="I252">
            <v>7635143</v>
          </cell>
          <cell r="J252" t="str">
            <v>3 월(HIST)</v>
          </cell>
          <cell r="K252">
            <v>7795013</v>
          </cell>
        </row>
        <row r="253">
          <cell r="A253" t="str">
            <v>9611730</v>
          </cell>
          <cell r="B253" t="str">
            <v>최　원　　</v>
          </cell>
          <cell r="C253" t="str">
            <v>9611730최　원　　</v>
          </cell>
          <cell r="D253" t="str">
            <v>EB30</v>
          </cell>
          <cell r="E253" t="str">
            <v>G I S 지점</v>
          </cell>
          <cell r="F253" t="str">
            <v>15651</v>
          </cell>
          <cell r="G253" t="e">
            <v>#N/A</v>
          </cell>
          <cell r="H253" t="str">
            <v>19931216</v>
          </cell>
          <cell r="I253">
            <v>7291391</v>
          </cell>
          <cell r="J253" t="str">
            <v>3 월(HIST)</v>
          </cell>
          <cell r="K253">
            <v>7406800</v>
          </cell>
        </row>
        <row r="254">
          <cell r="A254" t="str">
            <v>9711775</v>
          </cell>
          <cell r="B254" t="str">
            <v>최　호　준</v>
          </cell>
          <cell r="C254" t="str">
            <v>9711775최　호　준</v>
          </cell>
          <cell r="D254" t="str">
            <v>EB30</v>
          </cell>
          <cell r="E254" t="str">
            <v>G I S 지점</v>
          </cell>
          <cell r="F254" t="str">
            <v>15651</v>
          </cell>
          <cell r="G254" t="e">
            <v>#N/A</v>
          </cell>
          <cell r="H254" t="str">
            <v>19971006</v>
          </cell>
          <cell r="I254">
            <v>3502511</v>
          </cell>
          <cell r="J254" t="str">
            <v>3 월(HIST)</v>
          </cell>
          <cell r="K254">
            <v>3545083</v>
          </cell>
        </row>
        <row r="255">
          <cell r="A255" t="str">
            <v>9610986</v>
          </cell>
          <cell r="B255" t="str">
            <v>황　성　범</v>
          </cell>
          <cell r="C255" t="str">
            <v>9610986황　성　범</v>
          </cell>
          <cell r="D255" t="str">
            <v>EB30</v>
          </cell>
          <cell r="E255" t="str">
            <v>G I S 지점</v>
          </cell>
          <cell r="F255" t="str">
            <v>15651</v>
          </cell>
          <cell r="G255" t="e">
            <v>#N/A</v>
          </cell>
          <cell r="H255" t="str">
            <v>19881219</v>
          </cell>
          <cell r="I255">
            <v>23552994</v>
          </cell>
          <cell r="J255" t="str">
            <v>3 월(HIST)</v>
          </cell>
          <cell r="K255">
            <v>24999807</v>
          </cell>
        </row>
        <row r="256">
          <cell r="A256" t="str">
            <v>9612314</v>
          </cell>
          <cell r="B256" t="str">
            <v>황　영　길</v>
          </cell>
          <cell r="C256" t="str">
            <v>9612314황　영　길</v>
          </cell>
          <cell r="D256" t="str">
            <v>EB30</v>
          </cell>
          <cell r="E256" t="str">
            <v>G I S 지점</v>
          </cell>
          <cell r="F256" t="str">
            <v>15651</v>
          </cell>
          <cell r="G256" t="e">
            <v>#N/A</v>
          </cell>
          <cell r="H256" t="str">
            <v>19960916</v>
          </cell>
          <cell r="I256">
            <v>3994316</v>
          </cell>
          <cell r="J256" t="str">
            <v>3 월(HIST)</v>
          </cell>
          <cell r="K256">
            <v>4150200</v>
          </cell>
        </row>
        <row r="257">
          <cell r="A257" t="str">
            <v>9610751</v>
          </cell>
          <cell r="B257" t="str">
            <v>이　강　원</v>
          </cell>
          <cell r="C257" t="str">
            <v>9610751이　강　원</v>
          </cell>
          <cell r="D257" t="str">
            <v>EC10</v>
          </cell>
          <cell r="E257" t="str">
            <v>G I S 지점</v>
          </cell>
          <cell r="F257" t="str">
            <v>15651</v>
          </cell>
          <cell r="G257" t="e">
            <v>#N/A</v>
          </cell>
          <cell r="H257" t="str">
            <v>19940701</v>
          </cell>
          <cell r="I257">
            <v>17021390</v>
          </cell>
          <cell r="J257" t="str">
            <v>3 월(HIST)</v>
          </cell>
          <cell r="K257">
            <v>19143832</v>
          </cell>
        </row>
        <row r="258">
          <cell r="A258" t="str">
            <v>9611965</v>
          </cell>
          <cell r="B258" t="str">
            <v>고　태　환</v>
          </cell>
          <cell r="C258" t="str">
            <v>9611965고　태　환</v>
          </cell>
          <cell r="D258" t="str">
            <v>EC20</v>
          </cell>
          <cell r="E258" t="str">
            <v>G I S 지점</v>
          </cell>
          <cell r="F258" t="str">
            <v>15651</v>
          </cell>
          <cell r="G258" t="e">
            <v>#N/A</v>
          </cell>
          <cell r="H258" t="str">
            <v>19950801</v>
          </cell>
          <cell r="I258">
            <v>9198060</v>
          </cell>
          <cell r="J258" t="str">
            <v>3 월(HIST)</v>
          </cell>
          <cell r="K258">
            <v>9988053</v>
          </cell>
        </row>
        <row r="259">
          <cell r="A259" t="str">
            <v>9711156</v>
          </cell>
          <cell r="B259" t="str">
            <v>권　기　용</v>
          </cell>
          <cell r="C259" t="str">
            <v>9711156권　기　용</v>
          </cell>
          <cell r="D259" t="str">
            <v>EC20</v>
          </cell>
          <cell r="E259" t="str">
            <v>G I S 지점</v>
          </cell>
          <cell r="F259" t="str">
            <v>15651</v>
          </cell>
          <cell r="G259" t="e">
            <v>#N/A</v>
          </cell>
          <cell r="H259" t="str">
            <v>19970701</v>
          </cell>
          <cell r="I259">
            <v>4185280</v>
          </cell>
          <cell r="J259" t="str">
            <v>3 월(HIST)</v>
          </cell>
          <cell r="K259">
            <v>4787030</v>
          </cell>
        </row>
        <row r="260">
          <cell r="A260" t="str">
            <v>9611144</v>
          </cell>
          <cell r="B260" t="str">
            <v>김　갑　진</v>
          </cell>
          <cell r="C260" t="str">
            <v>9611144김　갑　진</v>
          </cell>
          <cell r="D260" t="str">
            <v>EC20</v>
          </cell>
          <cell r="E260" t="str">
            <v>G I S 지점</v>
          </cell>
          <cell r="F260" t="str">
            <v>15651</v>
          </cell>
          <cell r="G260" t="e">
            <v>#N/A</v>
          </cell>
          <cell r="H260" t="str">
            <v>19911202</v>
          </cell>
          <cell r="I260">
            <v>18852306</v>
          </cell>
          <cell r="J260" t="str">
            <v>3 월(HIST)</v>
          </cell>
          <cell r="K260">
            <v>21473600</v>
          </cell>
        </row>
        <row r="261">
          <cell r="A261" t="str">
            <v>9611188</v>
          </cell>
          <cell r="B261" t="str">
            <v>김　성　욱</v>
          </cell>
          <cell r="C261" t="str">
            <v>9611188김　성　욱</v>
          </cell>
          <cell r="D261" t="str">
            <v>EC20</v>
          </cell>
          <cell r="E261" t="str">
            <v>G I S 지점</v>
          </cell>
          <cell r="F261" t="str">
            <v>15651</v>
          </cell>
          <cell r="G261" t="e">
            <v>#N/A</v>
          </cell>
          <cell r="H261" t="str">
            <v>19940216</v>
          </cell>
          <cell r="I261">
            <v>13669117</v>
          </cell>
          <cell r="J261" t="str">
            <v>3 월(HIST)</v>
          </cell>
          <cell r="K261">
            <v>14700880</v>
          </cell>
        </row>
        <row r="262">
          <cell r="A262" t="str">
            <v>9611223</v>
          </cell>
          <cell r="B262" t="str">
            <v>김　승　용</v>
          </cell>
          <cell r="C262" t="str">
            <v>9611223김　승　용</v>
          </cell>
          <cell r="D262" t="str">
            <v>EC20</v>
          </cell>
          <cell r="E262" t="str">
            <v>G I S 지점</v>
          </cell>
          <cell r="F262" t="str">
            <v>15651</v>
          </cell>
          <cell r="G262" t="e">
            <v>#N/A</v>
          </cell>
          <cell r="H262" t="str">
            <v>19931216</v>
          </cell>
          <cell r="I262">
            <v>12831676</v>
          </cell>
          <cell r="J262" t="str">
            <v>3 월(HIST)</v>
          </cell>
          <cell r="K262">
            <v>13669229</v>
          </cell>
        </row>
        <row r="263">
          <cell r="A263" t="str">
            <v>9710820</v>
          </cell>
          <cell r="B263" t="str">
            <v>김　현　배</v>
          </cell>
          <cell r="C263" t="str">
            <v>9710820김　현　배</v>
          </cell>
          <cell r="D263" t="str">
            <v>EC20</v>
          </cell>
          <cell r="E263" t="str">
            <v>G I S 지점</v>
          </cell>
          <cell r="F263" t="str">
            <v>15651</v>
          </cell>
          <cell r="G263" t="e">
            <v>#N/A</v>
          </cell>
          <cell r="H263" t="str">
            <v>19970331</v>
          </cell>
          <cell r="I263">
            <v>5612056</v>
          </cell>
          <cell r="J263" t="str">
            <v>3 월(HIST)</v>
          </cell>
          <cell r="K263">
            <v>6239288</v>
          </cell>
        </row>
        <row r="264">
          <cell r="A264" t="str">
            <v>9611447</v>
          </cell>
          <cell r="B264" t="str">
            <v>문　정　관</v>
          </cell>
          <cell r="C264" t="str">
            <v>9611447문　정　관</v>
          </cell>
          <cell r="D264" t="str">
            <v>EC20</v>
          </cell>
          <cell r="E264" t="str">
            <v>G I S 지점</v>
          </cell>
          <cell r="F264" t="str">
            <v>15651</v>
          </cell>
          <cell r="G264" t="e">
            <v>#N/A</v>
          </cell>
          <cell r="H264" t="str">
            <v>19960701</v>
          </cell>
          <cell r="I264">
            <v>7522927</v>
          </cell>
          <cell r="J264" t="str">
            <v>3 월(HIST)</v>
          </cell>
          <cell r="K264">
            <v>8305793</v>
          </cell>
        </row>
        <row r="265">
          <cell r="A265" t="str">
            <v>9611910</v>
          </cell>
          <cell r="B265" t="str">
            <v>박　기　태</v>
          </cell>
          <cell r="C265" t="str">
            <v>9611910박　기　태</v>
          </cell>
          <cell r="D265" t="str">
            <v>EC20</v>
          </cell>
          <cell r="E265" t="str">
            <v>G I S 지점</v>
          </cell>
          <cell r="F265" t="str">
            <v>15651</v>
          </cell>
          <cell r="G265" t="e">
            <v>#N/A</v>
          </cell>
          <cell r="H265" t="str">
            <v>19950302</v>
          </cell>
          <cell r="I265">
            <v>10340132</v>
          </cell>
          <cell r="J265" t="str">
            <v>3 월(HIST)</v>
          </cell>
          <cell r="K265">
            <v>11297149</v>
          </cell>
        </row>
        <row r="266">
          <cell r="A266" t="str">
            <v>9611908</v>
          </cell>
          <cell r="B266" t="str">
            <v>박　효　근</v>
          </cell>
          <cell r="C266" t="str">
            <v>9611908박　효　근</v>
          </cell>
          <cell r="D266" t="str">
            <v>EC20</v>
          </cell>
          <cell r="E266" t="str">
            <v>G I S 지점</v>
          </cell>
          <cell r="F266" t="str">
            <v>15651</v>
          </cell>
          <cell r="G266" t="e">
            <v>#N/A</v>
          </cell>
          <cell r="H266" t="str">
            <v>19950302</v>
          </cell>
          <cell r="I266">
            <v>10141703</v>
          </cell>
          <cell r="J266" t="str">
            <v>3 월(HIST)</v>
          </cell>
          <cell r="K266">
            <v>10773403</v>
          </cell>
        </row>
        <row r="267">
          <cell r="A267" t="str">
            <v>9710831</v>
          </cell>
          <cell r="B267" t="str">
            <v>성　노　성</v>
          </cell>
          <cell r="C267" t="str">
            <v>9710831성　노　성</v>
          </cell>
          <cell r="D267" t="str">
            <v>EC20</v>
          </cell>
          <cell r="E267" t="str">
            <v>G I S 지점</v>
          </cell>
          <cell r="F267" t="str">
            <v>15651</v>
          </cell>
          <cell r="G267" t="e">
            <v>#N/A</v>
          </cell>
          <cell r="H267" t="str">
            <v>19970331</v>
          </cell>
          <cell r="I267">
            <v>5605764</v>
          </cell>
          <cell r="J267" t="str">
            <v>3 월(HIST)</v>
          </cell>
          <cell r="K267">
            <v>6279050</v>
          </cell>
        </row>
        <row r="268">
          <cell r="A268" t="str">
            <v>9611212</v>
          </cell>
          <cell r="B268" t="str">
            <v>성　환　두</v>
          </cell>
          <cell r="C268" t="str">
            <v>9611212성　환　두</v>
          </cell>
          <cell r="D268" t="str">
            <v>EC20</v>
          </cell>
          <cell r="E268" t="str">
            <v>G I S 지점</v>
          </cell>
          <cell r="F268" t="str">
            <v>15651</v>
          </cell>
          <cell r="G268" t="e">
            <v>#N/A</v>
          </cell>
          <cell r="H268" t="str">
            <v>19931216</v>
          </cell>
          <cell r="I268">
            <v>12789007</v>
          </cell>
          <cell r="J268" t="str">
            <v>3 월(HIST)</v>
          </cell>
          <cell r="K268">
            <v>13909553</v>
          </cell>
        </row>
        <row r="269">
          <cell r="A269" t="str">
            <v>9660205</v>
          </cell>
          <cell r="B269" t="str">
            <v>양　정　화</v>
          </cell>
          <cell r="C269" t="str">
            <v>9660205양　정　화</v>
          </cell>
          <cell r="D269" t="str">
            <v>EC20</v>
          </cell>
          <cell r="E269" t="str">
            <v>G I S 지점</v>
          </cell>
          <cell r="F269" t="str">
            <v>15651</v>
          </cell>
          <cell r="G269" t="e">
            <v>#N/A</v>
          </cell>
          <cell r="H269" t="str">
            <v>19950801</v>
          </cell>
          <cell r="I269">
            <v>8566182</v>
          </cell>
          <cell r="J269" t="str">
            <v>3 월(HIST)</v>
          </cell>
          <cell r="K269">
            <v>9246216</v>
          </cell>
        </row>
        <row r="270">
          <cell r="A270" t="str">
            <v>9612112</v>
          </cell>
          <cell r="B270" t="str">
            <v>염　재　홍</v>
          </cell>
          <cell r="C270" t="str">
            <v>9612112염　재　홍</v>
          </cell>
          <cell r="D270" t="str">
            <v>EC20</v>
          </cell>
          <cell r="E270" t="str">
            <v>G I S 지점</v>
          </cell>
          <cell r="F270" t="str">
            <v>15651</v>
          </cell>
          <cell r="G270" t="e">
            <v>#N/A</v>
          </cell>
          <cell r="H270" t="str">
            <v>19960221</v>
          </cell>
          <cell r="I270">
            <v>7529960</v>
          </cell>
          <cell r="J270" t="str">
            <v>3 월(HIST)</v>
          </cell>
          <cell r="K270">
            <v>8652685</v>
          </cell>
        </row>
        <row r="271">
          <cell r="A271" t="str">
            <v>9810090</v>
          </cell>
          <cell r="B271" t="str">
            <v>원　재　호</v>
          </cell>
          <cell r="C271" t="str">
            <v>9810090원　재　호</v>
          </cell>
          <cell r="D271" t="str">
            <v>EC20</v>
          </cell>
          <cell r="E271" t="str">
            <v>G I S 지점</v>
          </cell>
          <cell r="F271" t="str">
            <v>15651</v>
          </cell>
          <cell r="G271" t="e">
            <v>#N/A</v>
          </cell>
          <cell r="H271" t="str">
            <v>19980101</v>
          </cell>
          <cell r="I271">
            <v>3278200</v>
          </cell>
          <cell r="J271" t="str">
            <v>3 월(HIST)</v>
          </cell>
          <cell r="K271">
            <v>3687975</v>
          </cell>
        </row>
        <row r="272">
          <cell r="A272" t="str">
            <v>9611155</v>
          </cell>
          <cell r="B272" t="str">
            <v>윤　종　선</v>
          </cell>
          <cell r="C272" t="str">
            <v>9611155윤　종　선</v>
          </cell>
          <cell r="D272" t="str">
            <v>EC20</v>
          </cell>
          <cell r="E272" t="str">
            <v>G I S 지점</v>
          </cell>
          <cell r="F272" t="str">
            <v>15651</v>
          </cell>
          <cell r="G272" t="e">
            <v>#N/A</v>
          </cell>
          <cell r="H272" t="str">
            <v>19920416</v>
          </cell>
          <cell r="I272">
            <v>18019063</v>
          </cell>
          <cell r="J272" t="str">
            <v>3 월(HIST)</v>
          </cell>
          <cell r="K272">
            <v>19501488</v>
          </cell>
        </row>
        <row r="273">
          <cell r="A273" t="str">
            <v>9610942</v>
          </cell>
          <cell r="B273" t="str">
            <v>윤　종　성</v>
          </cell>
          <cell r="C273" t="str">
            <v>9610942윤　종　성</v>
          </cell>
          <cell r="D273" t="str">
            <v>EC20</v>
          </cell>
          <cell r="E273" t="str">
            <v>G I S 지점</v>
          </cell>
          <cell r="F273" t="str">
            <v>15651</v>
          </cell>
          <cell r="G273" t="e">
            <v>#N/A</v>
          </cell>
          <cell r="H273" t="str">
            <v>19960701</v>
          </cell>
          <cell r="I273">
            <v>9056644</v>
          </cell>
          <cell r="J273" t="str">
            <v>3 월</v>
          </cell>
          <cell r="K273">
            <v>10154835</v>
          </cell>
        </row>
        <row r="274">
          <cell r="A274" t="str">
            <v>9711134</v>
          </cell>
          <cell r="B274" t="str">
            <v>이　강　열</v>
          </cell>
          <cell r="C274" t="str">
            <v>9711134이　강　열</v>
          </cell>
          <cell r="D274" t="str">
            <v>EC20</v>
          </cell>
          <cell r="E274" t="str">
            <v>G I S 지점</v>
          </cell>
          <cell r="F274" t="str">
            <v>15651</v>
          </cell>
          <cell r="G274" t="e">
            <v>#N/A</v>
          </cell>
          <cell r="H274" t="str">
            <v>19970701</v>
          </cell>
          <cell r="I274">
            <v>4167573</v>
          </cell>
          <cell r="J274" t="str">
            <v>3 월(HIST)</v>
          </cell>
          <cell r="K274">
            <v>4738982</v>
          </cell>
        </row>
        <row r="275">
          <cell r="A275" t="str">
            <v>9810112</v>
          </cell>
          <cell r="B275" t="str">
            <v>이　병　윤</v>
          </cell>
          <cell r="C275" t="str">
            <v>9810112이　병　윤</v>
          </cell>
          <cell r="D275" t="str">
            <v>EC20</v>
          </cell>
          <cell r="E275" t="str">
            <v>G I S 지점</v>
          </cell>
          <cell r="F275" t="str">
            <v>15651</v>
          </cell>
          <cell r="G275" t="e">
            <v>#N/A</v>
          </cell>
          <cell r="H275" t="str">
            <v>19980101</v>
          </cell>
          <cell r="I275">
            <v>3245000</v>
          </cell>
          <cell r="J275" t="str">
            <v>3 월(HIST)</v>
          </cell>
          <cell r="K275">
            <v>3763152</v>
          </cell>
        </row>
        <row r="276">
          <cell r="A276" t="str">
            <v>9610931</v>
          </cell>
          <cell r="B276" t="str">
            <v>이　재　호</v>
          </cell>
          <cell r="C276" t="str">
            <v>9610931이　재　호</v>
          </cell>
          <cell r="D276" t="str">
            <v>EC20</v>
          </cell>
          <cell r="E276" t="str">
            <v>G I S 지점</v>
          </cell>
          <cell r="F276" t="str">
            <v>15651</v>
          </cell>
          <cell r="G276" t="e">
            <v>#N/A</v>
          </cell>
          <cell r="H276" t="str">
            <v>19960701</v>
          </cell>
          <cell r="I276">
            <v>8944169</v>
          </cell>
          <cell r="J276" t="str">
            <v>3 월(HIST)</v>
          </cell>
          <cell r="K276">
            <v>10090650</v>
          </cell>
        </row>
        <row r="277">
          <cell r="A277" t="str">
            <v>9711145</v>
          </cell>
          <cell r="B277" t="str">
            <v>이　진　석</v>
          </cell>
          <cell r="C277" t="str">
            <v>9711145이　진　석</v>
          </cell>
          <cell r="D277" t="str">
            <v>EC20</v>
          </cell>
          <cell r="E277" t="str">
            <v>G I S 지점</v>
          </cell>
          <cell r="F277" t="str">
            <v>15651</v>
          </cell>
          <cell r="G277" t="e">
            <v>#N/A</v>
          </cell>
          <cell r="H277" t="str">
            <v>19970701</v>
          </cell>
          <cell r="I277">
            <v>4108138</v>
          </cell>
          <cell r="J277" t="str">
            <v>3 월(HIST)</v>
          </cell>
          <cell r="K277">
            <v>4726813</v>
          </cell>
        </row>
        <row r="278">
          <cell r="A278" t="str">
            <v>9611177</v>
          </cell>
          <cell r="B278" t="str">
            <v>이　홍　술</v>
          </cell>
          <cell r="C278" t="str">
            <v>9611177이　홍　술</v>
          </cell>
          <cell r="D278" t="str">
            <v>EC20</v>
          </cell>
          <cell r="E278" t="str">
            <v>G I S 지점</v>
          </cell>
          <cell r="F278" t="str">
            <v>15651</v>
          </cell>
          <cell r="G278" t="e">
            <v>#N/A</v>
          </cell>
          <cell r="H278" t="str">
            <v>19931216</v>
          </cell>
          <cell r="I278">
            <v>14282315</v>
          </cell>
          <cell r="J278" t="str">
            <v>3 월(HIST)</v>
          </cell>
          <cell r="K278">
            <v>15495210</v>
          </cell>
        </row>
        <row r="279">
          <cell r="A279" t="str">
            <v>9611976</v>
          </cell>
          <cell r="B279" t="str">
            <v>정　성　수</v>
          </cell>
          <cell r="C279" t="str">
            <v>9611976정　성　수</v>
          </cell>
          <cell r="D279" t="str">
            <v>EC20</v>
          </cell>
          <cell r="E279" t="str">
            <v>G I S 지점</v>
          </cell>
          <cell r="F279" t="str">
            <v>15651</v>
          </cell>
          <cell r="G279" t="e">
            <v>#N/A</v>
          </cell>
          <cell r="H279" t="str">
            <v>19950816</v>
          </cell>
          <cell r="I279">
            <v>8955636</v>
          </cell>
          <cell r="J279" t="str">
            <v>3 월(HIST)</v>
          </cell>
          <cell r="K279">
            <v>9783700</v>
          </cell>
        </row>
        <row r="280">
          <cell r="A280" t="str">
            <v>9810145</v>
          </cell>
          <cell r="B280" t="str">
            <v>조　해　용</v>
          </cell>
          <cell r="C280" t="str">
            <v>9810145조　해　용</v>
          </cell>
          <cell r="D280" t="str">
            <v>EC20</v>
          </cell>
          <cell r="E280" t="str">
            <v>G I S 지점</v>
          </cell>
          <cell r="F280" t="str">
            <v>15651</v>
          </cell>
          <cell r="G280" t="e">
            <v>#N/A</v>
          </cell>
          <cell r="H280" t="str">
            <v>19980101</v>
          </cell>
          <cell r="I280">
            <v>4124200</v>
          </cell>
          <cell r="J280" t="str">
            <v>3 월(HIST)</v>
          </cell>
          <cell r="K280">
            <v>4753454</v>
          </cell>
        </row>
        <row r="281">
          <cell r="A281" t="str">
            <v>9610694</v>
          </cell>
          <cell r="B281" t="str">
            <v>권　석　호</v>
          </cell>
          <cell r="C281" t="str">
            <v>9610694권　석　호</v>
          </cell>
          <cell r="D281" t="str">
            <v>EE10</v>
          </cell>
          <cell r="E281" t="str">
            <v>G I S 지점</v>
          </cell>
          <cell r="F281" t="str">
            <v>15651</v>
          </cell>
          <cell r="G281" t="e">
            <v>#N/A</v>
          </cell>
          <cell r="H281" t="str">
            <v>19870101</v>
          </cell>
          <cell r="I281">
            <v>40750827</v>
          </cell>
          <cell r="J281" t="str">
            <v>3 월(HIST)</v>
          </cell>
          <cell r="K281">
            <v>42630139</v>
          </cell>
        </row>
        <row r="282">
          <cell r="A282" t="str">
            <v>9611122</v>
          </cell>
          <cell r="B282" t="str">
            <v>강　형　기</v>
          </cell>
          <cell r="C282" t="str">
            <v>9611122강　형　기</v>
          </cell>
          <cell r="D282" t="str">
            <v>EE20</v>
          </cell>
          <cell r="E282" t="str">
            <v>G I S 지점</v>
          </cell>
          <cell r="F282" t="str">
            <v>15651</v>
          </cell>
          <cell r="G282" t="e">
            <v>#N/A</v>
          </cell>
          <cell r="H282" t="str">
            <v>19910107</v>
          </cell>
          <cell r="I282">
            <v>17193862</v>
          </cell>
          <cell r="J282" t="str">
            <v>3 월(HIST)</v>
          </cell>
          <cell r="K282">
            <v>17987330</v>
          </cell>
        </row>
        <row r="283">
          <cell r="A283" t="str">
            <v>9610738</v>
          </cell>
          <cell r="B283" t="str">
            <v>강　호　수</v>
          </cell>
          <cell r="C283" t="str">
            <v>9610738강　호　수</v>
          </cell>
          <cell r="D283" t="str">
            <v>EE20</v>
          </cell>
          <cell r="E283" t="str">
            <v>G I S 지점</v>
          </cell>
          <cell r="F283" t="str">
            <v>15651</v>
          </cell>
          <cell r="G283" t="e">
            <v>#N/A</v>
          </cell>
          <cell r="H283" t="str">
            <v>19900601</v>
          </cell>
          <cell r="I283">
            <v>22893071</v>
          </cell>
          <cell r="J283" t="str">
            <v>3 월(HIST)</v>
          </cell>
          <cell r="K283">
            <v>24403875</v>
          </cell>
        </row>
        <row r="284">
          <cell r="A284" t="str">
            <v>9610806</v>
          </cell>
          <cell r="B284" t="str">
            <v>김　천　웅</v>
          </cell>
          <cell r="C284" t="str">
            <v>9610806김　천　웅</v>
          </cell>
          <cell r="D284" t="str">
            <v>EE20</v>
          </cell>
          <cell r="E284" t="str">
            <v>G I S 지점</v>
          </cell>
          <cell r="F284" t="str">
            <v>15651</v>
          </cell>
          <cell r="G284" t="e">
            <v>#N/A</v>
          </cell>
          <cell r="H284" t="str">
            <v>19940701</v>
          </cell>
          <cell r="I284">
            <v>12584271</v>
          </cell>
          <cell r="J284" t="str">
            <v>3 월(HIST)</v>
          </cell>
          <cell r="K284">
            <v>13588716</v>
          </cell>
        </row>
        <row r="285">
          <cell r="A285" t="str">
            <v>9810134</v>
          </cell>
          <cell r="B285" t="str">
            <v>심　중　헌</v>
          </cell>
          <cell r="C285" t="str">
            <v>9810134심　중　헌</v>
          </cell>
          <cell r="D285" t="str">
            <v>EE20</v>
          </cell>
          <cell r="E285" t="str">
            <v>G I S 지점</v>
          </cell>
          <cell r="F285" t="str">
            <v>15651</v>
          </cell>
          <cell r="G285" t="e">
            <v>#N/A</v>
          </cell>
          <cell r="H285" t="str">
            <v>19980101</v>
          </cell>
          <cell r="I285">
            <v>2729666</v>
          </cell>
          <cell r="J285" t="str">
            <v>3 월(HIST)</v>
          </cell>
          <cell r="K285">
            <v>3143968</v>
          </cell>
        </row>
        <row r="286">
          <cell r="A286" t="str">
            <v>8710165</v>
          </cell>
          <cell r="B286" t="str">
            <v>홍　강　식</v>
          </cell>
          <cell r="C286" t="str">
            <v>8710165홍　강　식</v>
          </cell>
          <cell r="D286" t="str">
            <v>EE20</v>
          </cell>
          <cell r="E286" t="str">
            <v>G I S 지점</v>
          </cell>
          <cell r="F286" t="str">
            <v>15651</v>
          </cell>
          <cell r="G286" t="e">
            <v>#N/A</v>
          </cell>
          <cell r="H286" t="str">
            <v>19870121</v>
          </cell>
          <cell r="I286">
            <v>30076683</v>
          </cell>
          <cell r="J286" t="str">
            <v>3 월(HIST)</v>
          </cell>
          <cell r="K286">
            <v>31027441</v>
          </cell>
        </row>
        <row r="287">
          <cell r="A287" t="str">
            <v>9610773</v>
          </cell>
          <cell r="B287" t="str">
            <v>김　재　우</v>
          </cell>
          <cell r="C287" t="str">
            <v>9610773김　재　우</v>
          </cell>
          <cell r="D287" t="str">
            <v>EE30</v>
          </cell>
          <cell r="E287" t="str">
            <v>G I S 지점</v>
          </cell>
          <cell r="F287" t="str">
            <v>15651</v>
          </cell>
          <cell r="G287" t="e">
            <v>#N/A</v>
          </cell>
          <cell r="H287" t="str">
            <v>19900601</v>
          </cell>
          <cell r="I287">
            <v>22176304</v>
          </cell>
          <cell r="J287" t="str">
            <v>3 월(HIST)</v>
          </cell>
          <cell r="K287">
            <v>23306131</v>
          </cell>
        </row>
        <row r="288">
          <cell r="A288" t="str">
            <v>9711123</v>
          </cell>
          <cell r="B288" t="str">
            <v>이　상　훈</v>
          </cell>
          <cell r="C288" t="str">
            <v>9711123이　상　훈</v>
          </cell>
          <cell r="D288" t="str">
            <v>EE30</v>
          </cell>
          <cell r="E288" t="str">
            <v>G I S 지점</v>
          </cell>
          <cell r="F288" t="str">
            <v>15651</v>
          </cell>
          <cell r="G288" t="e">
            <v>#N/A</v>
          </cell>
          <cell r="H288" t="str">
            <v>19970701</v>
          </cell>
          <cell r="I288">
            <v>3427364</v>
          </cell>
          <cell r="J288" t="str">
            <v>3 월(HIST)</v>
          </cell>
          <cell r="K288">
            <v>3841387</v>
          </cell>
        </row>
        <row r="289">
          <cell r="A289" t="str">
            <v>9711112</v>
          </cell>
          <cell r="B289" t="str">
            <v>전　재　호</v>
          </cell>
          <cell r="C289" t="str">
            <v>9711112전　재　호</v>
          </cell>
          <cell r="D289" t="str">
            <v>EE30</v>
          </cell>
          <cell r="E289" t="str">
            <v>G I S 지점</v>
          </cell>
          <cell r="F289" t="str">
            <v>15651</v>
          </cell>
          <cell r="G289" t="e">
            <v>#N/A</v>
          </cell>
          <cell r="H289" t="str">
            <v>19970701</v>
          </cell>
          <cell r="I289">
            <v>3415559</v>
          </cell>
          <cell r="J289" t="str">
            <v>3 월(HIST)</v>
          </cell>
          <cell r="K289">
            <v>3806316</v>
          </cell>
        </row>
        <row r="290">
          <cell r="A290" t="str">
            <v>9611425</v>
          </cell>
          <cell r="B290" t="str">
            <v>나　충　엽</v>
          </cell>
          <cell r="C290" t="str">
            <v>9611425나　충　엽</v>
          </cell>
          <cell r="D290" t="str">
            <v>EE40</v>
          </cell>
          <cell r="E290" t="str">
            <v>G I S 지점</v>
          </cell>
          <cell r="F290" t="str">
            <v>15651</v>
          </cell>
          <cell r="G290" t="e">
            <v>#N/A</v>
          </cell>
          <cell r="H290" t="str">
            <v>19940701</v>
          </cell>
          <cell r="I290">
            <v>9647735</v>
          </cell>
          <cell r="J290" t="str">
            <v>3 월(HIST)</v>
          </cell>
          <cell r="K290">
            <v>10228549</v>
          </cell>
        </row>
        <row r="291">
          <cell r="A291" t="str">
            <v>9810077</v>
          </cell>
          <cell r="B291" t="str">
            <v>박　지　훈</v>
          </cell>
          <cell r="C291" t="str">
            <v>9810077박　지　훈</v>
          </cell>
          <cell r="D291" t="str">
            <v>EE40</v>
          </cell>
          <cell r="E291" t="str">
            <v>G I S 지점</v>
          </cell>
          <cell r="F291" t="str">
            <v>15651</v>
          </cell>
          <cell r="G291" t="e">
            <v>#N/A</v>
          </cell>
          <cell r="H291" t="str">
            <v>19980101</v>
          </cell>
          <cell r="I291">
            <v>2698000</v>
          </cell>
          <cell r="J291" t="str">
            <v>3 월(HIST)</v>
          </cell>
          <cell r="K291">
            <v>3096095</v>
          </cell>
        </row>
        <row r="292">
          <cell r="A292" t="str">
            <v>9610727</v>
          </cell>
          <cell r="B292" t="str">
            <v>장　현　철</v>
          </cell>
          <cell r="C292" t="str">
            <v>9610727장　현　철</v>
          </cell>
          <cell r="D292" t="str">
            <v>EE40</v>
          </cell>
          <cell r="E292" t="str">
            <v>G I S 지점</v>
          </cell>
          <cell r="F292" t="str">
            <v>15651</v>
          </cell>
          <cell r="G292" t="e">
            <v>#N/A</v>
          </cell>
          <cell r="H292" t="str">
            <v>19960701</v>
          </cell>
          <cell r="I292">
            <v>8858883</v>
          </cell>
          <cell r="J292" t="str">
            <v>4 월</v>
          </cell>
          <cell r="K292">
            <v>10096436</v>
          </cell>
        </row>
        <row r="293">
          <cell r="A293" t="str">
            <v>9611098</v>
          </cell>
          <cell r="B293" t="str">
            <v>정　공　운</v>
          </cell>
          <cell r="C293" t="str">
            <v>9611098정　공　운</v>
          </cell>
          <cell r="D293" t="str">
            <v>EE40</v>
          </cell>
          <cell r="E293" t="str">
            <v>G I S 지점</v>
          </cell>
          <cell r="F293" t="str">
            <v>15651</v>
          </cell>
          <cell r="G293" t="e">
            <v>#N/A</v>
          </cell>
          <cell r="H293" t="str">
            <v>19900601</v>
          </cell>
          <cell r="I293">
            <v>19929313</v>
          </cell>
          <cell r="J293" t="str">
            <v>3 월</v>
          </cell>
          <cell r="K293">
            <v>22264633</v>
          </cell>
        </row>
        <row r="294">
          <cell r="B294" t="str">
            <v>강　성　진</v>
          </cell>
          <cell r="C294" t="str">
            <v>강　성　진</v>
          </cell>
          <cell r="E294" t="str">
            <v>G I S 지점</v>
          </cell>
          <cell r="F294" t="str">
            <v>15651</v>
          </cell>
          <cell r="G294" t="e">
            <v>#N/A</v>
          </cell>
          <cell r="H294">
            <v>19990501</v>
          </cell>
          <cell r="J294" t="str">
            <v>3 월(HIST)</v>
          </cell>
          <cell r="K294">
            <v>1151049</v>
          </cell>
        </row>
        <row r="295">
          <cell r="B295" t="str">
            <v>강　은　숙</v>
          </cell>
          <cell r="C295" t="str">
            <v>강　은　숙</v>
          </cell>
          <cell r="E295" t="str">
            <v>G I S 지점</v>
          </cell>
          <cell r="F295" t="str">
            <v>15651</v>
          </cell>
          <cell r="G295" t="e">
            <v>#N/A</v>
          </cell>
          <cell r="H295">
            <v>19990501</v>
          </cell>
          <cell r="J295" t="str">
            <v>3 월(HIST)</v>
          </cell>
          <cell r="K295">
            <v>1355060</v>
          </cell>
        </row>
        <row r="296">
          <cell r="B296" t="str">
            <v>고　경　남</v>
          </cell>
          <cell r="C296" t="str">
            <v>고　경　남</v>
          </cell>
          <cell r="E296" t="str">
            <v>G I S 지점</v>
          </cell>
          <cell r="F296" t="str">
            <v>15651</v>
          </cell>
          <cell r="G296" t="e">
            <v>#N/A</v>
          </cell>
          <cell r="H296">
            <v>19990701</v>
          </cell>
          <cell r="J296" t="str">
            <v>3 월(HIST)</v>
          </cell>
          <cell r="K296">
            <v>741001</v>
          </cell>
        </row>
        <row r="297">
          <cell r="B297" t="str">
            <v>고　대　성</v>
          </cell>
          <cell r="C297" t="str">
            <v>고　대　성</v>
          </cell>
          <cell r="E297" t="str">
            <v>G I S 지점</v>
          </cell>
          <cell r="F297" t="str">
            <v>15651</v>
          </cell>
          <cell r="G297" t="e">
            <v>#N/A</v>
          </cell>
          <cell r="H297">
            <v>19990701</v>
          </cell>
          <cell r="J297" t="str">
            <v>3 월(HIST)</v>
          </cell>
          <cell r="K297">
            <v>756056</v>
          </cell>
        </row>
        <row r="298">
          <cell r="B298" t="str">
            <v>김　미　라</v>
          </cell>
          <cell r="C298" t="str">
            <v>김　미　라</v>
          </cell>
          <cell r="E298" t="str">
            <v>G I S 지점</v>
          </cell>
          <cell r="F298" t="str">
            <v>15651</v>
          </cell>
          <cell r="G298" t="e">
            <v>#N/A</v>
          </cell>
          <cell r="H298">
            <v>19990501</v>
          </cell>
          <cell r="J298" t="str">
            <v>3 월(HIST)</v>
          </cell>
          <cell r="K298">
            <v>1348422</v>
          </cell>
        </row>
        <row r="299">
          <cell r="B299" t="str">
            <v>김　성　경</v>
          </cell>
          <cell r="C299" t="str">
            <v>김　성　경</v>
          </cell>
          <cell r="E299" t="str">
            <v>G I S 지점</v>
          </cell>
          <cell r="F299" t="str">
            <v>15651</v>
          </cell>
          <cell r="G299" t="e">
            <v>#N/A</v>
          </cell>
          <cell r="H299">
            <v>19991116</v>
          </cell>
          <cell r="J299" t="str">
            <v>3 월(HIST)</v>
          </cell>
          <cell r="K299">
            <v>276779</v>
          </cell>
        </row>
        <row r="300">
          <cell r="B300" t="str">
            <v>배　미　화</v>
          </cell>
          <cell r="C300" t="str">
            <v>배　미　화</v>
          </cell>
          <cell r="E300" t="str">
            <v>G I S 지점</v>
          </cell>
          <cell r="F300" t="str">
            <v>15651</v>
          </cell>
          <cell r="G300" t="e">
            <v>#N/A</v>
          </cell>
          <cell r="H300">
            <v>19990501</v>
          </cell>
          <cell r="J300" t="str">
            <v>3 월(HIST)</v>
          </cell>
          <cell r="K300">
            <v>1171187</v>
          </cell>
        </row>
        <row r="301">
          <cell r="B301" t="str">
            <v>서　정　철</v>
          </cell>
          <cell r="C301" t="str">
            <v>서　정　철</v>
          </cell>
          <cell r="E301" t="str">
            <v>G I S 지점</v>
          </cell>
          <cell r="F301" t="str">
            <v>15651</v>
          </cell>
          <cell r="G301" t="e">
            <v>#N/A</v>
          </cell>
          <cell r="H301">
            <v>19990701</v>
          </cell>
          <cell r="J301" t="str">
            <v>3 월(HIST)</v>
          </cell>
          <cell r="K301">
            <v>769203</v>
          </cell>
        </row>
        <row r="302">
          <cell r="B302" t="str">
            <v>서　정　훈</v>
          </cell>
          <cell r="C302" t="str">
            <v>서　정　훈</v>
          </cell>
          <cell r="E302" t="str">
            <v>G I S 지점</v>
          </cell>
          <cell r="F302" t="str">
            <v>15651</v>
          </cell>
          <cell r="G302" t="e">
            <v>#N/A</v>
          </cell>
          <cell r="H302">
            <v>19990501</v>
          </cell>
          <cell r="J302" t="str">
            <v>3 월(HIST)</v>
          </cell>
          <cell r="K302">
            <v>1458526</v>
          </cell>
        </row>
        <row r="303">
          <cell r="B303" t="str">
            <v>오　영　민</v>
          </cell>
          <cell r="C303" t="str">
            <v>오　영　민</v>
          </cell>
          <cell r="E303" t="str">
            <v>G I S 지점</v>
          </cell>
          <cell r="F303" t="str">
            <v>15651</v>
          </cell>
          <cell r="G303" t="e">
            <v>#N/A</v>
          </cell>
          <cell r="H303">
            <v>19990501</v>
          </cell>
          <cell r="J303" t="str">
            <v>3 월(HIST)</v>
          </cell>
          <cell r="K303">
            <v>1141209</v>
          </cell>
        </row>
        <row r="304">
          <cell r="B304" t="str">
            <v>오　종　태</v>
          </cell>
          <cell r="C304" t="str">
            <v>오　종　태</v>
          </cell>
          <cell r="E304" t="str">
            <v>G I S 지점</v>
          </cell>
          <cell r="F304" t="str">
            <v>15651</v>
          </cell>
          <cell r="G304" t="e">
            <v>#N/A</v>
          </cell>
          <cell r="H304">
            <v>19990501</v>
          </cell>
          <cell r="J304" t="str">
            <v>3 월(HIST)</v>
          </cell>
          <cell r="K304">
            <v>1458526</v>
          </cell>
        </row>
        <row r="305">
          <cell r="B305" t="str">
            <v>위　광　재</v>
          </cell>
          <cell r="C305" t="str">
            <v>위　광　재</v>
          </cell>
          <cell r="E305" t="str">
            <v>G I S 지점</v>
          </cell>
          <cell r="F305" t="str">
            <v>15651</v>
          </cell>
          <cell r="G305" t="e">
            <v>#N/A</v>
          </cell>
          <cell r="H305">
            <v>19990301</v>
          </cell>
          <cell r="J305" t="str">
            <v>3 월(HIST)</v>
          </cell>
          <cell r="K305">
            <v>1604502</v>
          </cell>
        </row>
        <row r="306">
          <cell r="B306" t="str">
            <v>이　석　재</v>
          </cell>
          <cell r="C306" t="str">
            <v>이　석　재</v>
          </cell>
          <cell r="E306" t="str">
            <v>G I S 지점</v>
          </cell>
          <cell r="F306" t="str">
            <v>15651</v>
          </cell>
          <cell r="G306" t="e">
            <v>#N/A</v>
          </cell>
          <cell r="H306">
            <v>19990501</v>
          </cell>
          <cell r="J306" t="str">
            <v>3 월(HIST)</v>
          </cell>
          <cell r="K306">
            <v>1445657</v>
          </cell>
        </row>
        <row r="307">
          <cell r="B307" t="str">
            <v>이　용　순</v>
          </cell>
          <cell r="C307" t="str">
            <v>이　용　순</v>
          </cell>
          <cell r="E307" t="str">
            <v>G I S 지점</v>
          </cell>
          <cell r="F307" t="str">
            <v>15651</v>
          </cell>
          <cell r="G307" t="e">
            <v>#N/A</v>
          </cell>
          <cell r="H307">
            <v>19990501</v>
          </cell>
          <cell r="J307" t="str">
            <v>3 월(HIST)</v>
          </cell>
          <cell r="K307">
            <v>1237544</v>
          </cell>
        </row>
        <row r="308">
          <cell r="B308" t="str">
            <v>이　창　훈</v>
          </cell>
          <cell r="C308" t="str">
            <v>이　창　훈</v>
          </cell>
          <cell r="E308" t="str">
            <v>G I S 지점</v>
          </cell>
          <cell r="F308" t="str">
            <v>15651</v>
          </cell>
          <cell r="G308" t="e">
            <v>#N/A</v>
          </cell>
          <cell r="H308">
            <v>19990501</v>
          </cell>
          <cell r="J308" t="str">
            <v>3 월(HIST)</v>
          </cell>
          <cell r="K308">
            <v>1373316</v>
          </cell>
        </row>
        <row r="309">
          <cell r="B309" t="str">
            <v>이　호　영</v>
          </cell>
          <cell r="C309" t="str">
            <v>이　호　영</v>
          </cell>
          <cell r="E309" t="str">
            <v>G I S 지점</v>
          </cell>
          <cell r="F309" t="str">
            <v>15651</v>
          </cell>
          <cell r="G309" t="e">
            <v>#N/A</v>
          </cell>
          <cell r="H309">
            <v>19990619</v>
          </cell>
          <cell r="J309" t="str">
            <v>3 월(HIST)</v>
          </cell>
          <cell r="K309">
            <v>2600449</v>
          </cell>
        </row>
        <row r="310">
          <cell r="B310" t="str">
            <v>장　영　민</v>
          </cell>
          <cell r="C310" t="str">
            <v>장　영　민</v>
          </cell>
          <cell r="E310" t="str">
            <v>G I S 지점</v>
          </cell>
          <cell r="F310" t="str">
            <v>15651</v>
          </cell>
          <cell r="G310" t="e">
            <v>#N/A</v>
          </cell>
          <cell r="H310">
            <v>19990501</v>
          </cell>
          <cell r="J310" t="str">
            <v>3 월(HIST)</v>
          </cell>
          <cell r="K310">
            <v>1449947</v>
          </cell>
        </row>
        <row r="311">
          <cell r="B311" t="str">
            <v>정　은　영</v>
          </cell>
          <cell r="C311" t="str">
            <v>정　은　영</v>
          </cell>
          <cell r="E311" t="str">
            <v>G I S 지점</v>
          </cell>
          <cell r="F311" t="str">
            <v>15651</v>
          </cell>
          <cell r="G311" t="e">
            <v>#N/A</v>
          </cell>
          <cell r="H311">
            <v>19990501</v>
          </cell>
          <cell r="J311" t="str">
            <v>3 월(HIST)</v>
          </cell>
          <cell r="K311">
            <v>1198583</v>
          </cell>
        </row>
        <row r="312">
          <cell r="B312" t="str">
            <v>조　용　준</v>
          </cell>
          <cell r="C312" t="str">
            <v>조　용　준</v>
          </cell>
          <cell r="E312" t="str">
            <v>G I S 지점</v>
          </cell>
          <cell r="F312" t="str">
            <v>15651</v>
          </cell>
          <cell r="G312" t="e">
            <v>#N/A</v>
          </cell>
          <cell r="H312">
            <v>19990701</v>
          </cell>
          <cell r="J312" t="str">
            <v>3 월(HIST)</v>
          </cell>
          <cell r="K312">
            <v>881513</v>
          </cell>
        </row>
        <row r="313">
          <cell r="B313" t="str">
            <v>진　승　아</v>
          </cell>
          <cell r="C313" t="str">
            <v>진　승　아</v>
          </cell>
          <cell r="E313" t="str">
            <v>G I S 지점</v>
          </cell>
          <cell r="F313" t="str">
            <v>15651</v>
          </cell>
          <cell r="G313" t="e">
            <v>#N/A</v>
          </cell>
          <cell r="H313">
            <v>19990501</v>
          </cell>
          <cell r="J313" t="str">
            <v>3 월(HIST)</v>
          </cell>
          <cell r="K313">
            <v>1276912</v>
          </cell>
        </row>
        <row r="314">
          <cell r="B314" t="str">
            <v>황　동　원</v>
          </cell>
          <cell r="C314" t="str">
            <v>황　동　원</v>
          </cell>
          <cell r="E314" t="str">
            <v>G I S 지점</v>
          </cell>
          <cell r="F314" t="str">
            <v>15651</v>
          </cell>
          <cell r="G314" t="e">
            <v>#N/A</v>
          </cell>
          <cell r="H314">
            <v>19990501</v>
          </cell>
          <cell r="J314" t="str">
            <v>3 월(HIST)</v>
          </cell>
          <cell r="K314">
            <v>1283740</v>
          </cell>
        </row>
        <row r="315">
          <cell r="B315" t="str">
            <v>황　인　철</v>
          </cell>
          <cell r="C315" t="str">
            <v>황　인　철</v>
          </cell>
          <cell r="E315" t="str">
            <v>G I S 지점</v>
          </cell>
          <cell r="F315" t="str">
            <v>15651</v>
          </cell>
          <cell r="G315" t="e">
            <v>#N/A</v>
          </cell>
          <cell r="H315">
            <v>19990701</v>
          </cell>
          <cell r="J315" t="str">
            <v>3 월(HIST)</v>
          </cell>
          <cell r="K315">
            <v>758424</v>
          </cell>
        </row>
        <row r="316">
          <cell r="A316" t="str">
            <v>0000080</v>
          </cell>
          <cell r="B316" t="str">
            <v>정　훈　공</v>
          </cell>
          <cell r="C316" t="str">
            <v>0000080정　훈　공</v>
          </cell>
          <cell r="D316" t="str">
            <v>업무팀</v>
          </cell>
          <cell r="E316" t="str">
            <v>광산  지점</v>
          </cell>
          <cell r="F316" t="str">
            <v>7110</v>
          </cell>
          <cell r="G316" t="str">
            <v>7110</v>
          </cell>
          <cell r="H316" t="str">
            <v>19970301</v>
          </cell>
          <cell r="I316">
            <v>32780000</v>
          </cell>
        </row>
        <row r="317">
          <cell r="A317" t="str">
            <v>0000081</v>
          </cell>
          <cell r="B317" t="str">
            <v>강　덕　출</v>
          </cell>
          <cell r="C317" t="str">
            <v>0000081강　덕　출</v>
          </cell>
          <cell r="D317" t="str">
            <v>평해광업소</v>
          </cell>
          <cell r="E317" t="str">
            <v>광산  지점</v>
          </cell>
          <cell r="F317" t="str">
            <v>7130</v>
          </cell>
          <cell r="G317" t="str">
            <v>7130</v>
          </cell>
          <cell r="H317" t="str">
            <v>19980101</v>
          </cell>
          <cell r="I317">
            <v>21853333</v>
          </cell>
        </row>
        <row r="318">
          <cell r="A318" t="str">
            <v>7800535</v>
          </cell>
          <cell r="B318" t="str">
            <v>송　성　훈</v>
          </cell>
          <cell r="C318" t="str">
            <v>7800535송　성　훈</v>
          </cell>
          <cell r="D318" t="str">
            <v>FA10</v>
          </cell>
          <cell r="E318" t="str">
            <v>광산  지점</v>
          </cell>
          <cell r="F318" t="str">
            <v>7110</v>
          </cell>
          <cell r="G318" t="str">
            <v>2520</v>
          </cell>
          <cell r="H318" t="str">
            <v>19981001</v>
          </cell>
          <cell r="I318">
            <v>3885233</v>
          </cell>
        </row>
        <row r="319">
          <cell r="A319" t="str">
            <v>9810360</v>
          </cell>
          <cell r="B319" t="str">
            <v>권　찬　집</v>
          </cell>
          <cell r="C319" t="str">
            <v>9810360권　찬　집</v>
          </cell>
          <cell r="D319" t="str">
            <v>FA20</v>
          </cell>
          <cell r="E319" t="str">
            <v>광산  지점</v>
          </cell>
          <cell r="F319" t="str">
            <v>7110</v>
          </cell>
          <cell r="G319" t="str">
            <v>2340</v>
          </cell>
          <cell r="H319" t="str">
            <v>19830311</v>
          </cell>
          <cell r="I319">
            <v>32712599</v>
          </cell>
        </row>
        <row r="320">
          <cell r="A320" t="str">
            <v>9810358</v>
          </cell>
          <cell r="B320" t="str">
            <v>김　경　근</v>
          </cell>
          <cell r="C320" t="str">
            <v>9810358김　경　근</v>
          </cell>
          <cell r="D320" t="str">
            <v>FA20</v>
          </cell>
          <cell r="E320" t="str">
            <v>광산  지점</v>
          </cell>
          <cell r="F320" t="str">
            <v>7110</v>
          </cell>
          <cell r="G320" t="str">
            <v>7110</v>
          </cell>
          <cell r="H320" t="str">
            <v>19951002</v>
          </cell>
          <cell r="I320">
            <v>5597743</v>
          </cell>
        </row>
        <row r="321">
          <cell r="A321" t="str">
            <v>9860038</v>
          </cell>
          <cell r="B321" t="str">
            <v>김　미　정</v>
          </cell>
          <cell r="C321" t="str">
            <v>9860038김　미　정</v>
          </cell>
          <cell r="D321" t="str">
            <v>FA20</v>
          </cell>
          <cell r="E321" t="str">
            <v>광산  지점</v>
          </cell>
          <cell r="F321" t="str">
            <v>7110</v>
          </cell>
          <cell r="G321" t="str">
            <v>7110</v>
          </cell>
          <cell r="H321" t="str">
            <v>19981101</v>
          </cell>
          <cell r="I321">
            <v>795845</v>
          </cell>
          <cell r="J321" t="str">
            <v>9 월</v>
          </cell>
          <cell r="K321">
            <v>1977024</v>
          </cell>
        </row>
        <row r="322">
          <cell r="A322" t="str">
            <v>9810213</v>
          </cell>
          <cell r="B322" t="str">
            <v>선　호　필</v>
          </cell>
          <cell r="C322" t="str">
            <v>9810213선　호　필</v>
          </cell>
          <cell r="D322" t="str">
            <v>FA20</v>
          </cell>
          <cell r="E322" t="str">
            <v>광산  지점</v>
          </cell>
          <cell r="F322" t="str">
            <v>7110</v>
          </cell>
          <cell r="G322" t="str">
            <v>7110</v>
          </cell>
          <cell r="H322" t="str">
            <v>19820225</v>
          </cell>
          <cell r="I322">
            <v>44398634</v>
          </cell>
        </row>
        <row r="323">
          <cell r="A323" t="str">
            <v>9814926</v>
          </cell>
          <cell r="B323" t="str">
            <v>신　중　철</v>
          </cell>
          <cell r="C323" t="str">
            <v>9814926신　중　철</v>
          </cell>
          <cell r="D323" t="str">
            <v>FA20</v>
          </cell>
          <cell r="E323" t="str">
            <v>광산  지점</v>
          </cell>
          <cell r="F323" t="str">
            <v>7110</v>
          </cell>
          <cell r="G323" t="str">
            <v>7110</v>
          </cell>
          <cell r="H323" t="str">
            <v>19981201</v>
          </cell>
          <cell r="I323">
            <v>2712250</v>
          </cell>
        </row>
        <row r="324">
          <cell r="A324" t="str">
            <v>9860027</v>
          </cell>
          <cell r="B324" t="str">
            <v>이　은　정</v>
          </cell>
          <cell r="C324" t="str">
            <v>9860027이　은　정</v>
          </cell>
          <cell r="D324" t="str">
            <v>FA20</v>
          </cell>
          <cell r="E324" t="str">
            <v>광산  지점</v>
          </cell>
          <cell r="F324" t="str">
            <v>7110</v>
          </cell>
          <cell r="G324" t="str">
            <v>7110</v>
          </cell>
          <cell r="H324" t="str">
            <v>19841215</v>
          </cell>
          <cell r="I324">
            <v>24776559</v>
          </cell>
        </row>
        <row r="325">
          <cell r="A325" t="str">
            <v>9810347</v>
          </cell>
          <cell r="B325" t="str">
            <v>정　보　영</v>
          </cell>
          <cell r="C325" t="str">
            <v>9810347정　보　영</v>
          </cell>
          <cell r="D325" t="str">
            <v>FA20</v>
          </cell>
          <cell r="E325" t="str">
            <v>광산  지점</v>
          </cell>
          <cell r="F325" t="str">
            <v>7110</v>
          </cell>
          <cell r="G325" t="e">
            <v>#N/A</v>
          </cell>
          <cell r="H325" t="str">
            <v>19920401</v>
          </cell>
          <cell r="I325">
            <v>14412275</v>
          </cell>
          <cell r="J325" t="str">
            <v>7 월</v>
          </cell>
          <cell r="K325">
            <v>18491105</v>
          </cell>
        </row>
        <row r="326">
          <cell r="A326" t="str">
            <v>9810336</v>
          </cell>
          <cell r="B326" t="str">
            <v>정　재　일</v>
          </cell>
          <cell r="C326" t="str">
            <v>9810336정　재　일</v>
          </cell>
          <cell r="D326" t="str">
            <v>FA20</v>
          </cell>
          <cell r="E326" t="str">
            <v>광산  지점</v>
          </cell>
          <cell r="F326" t="str">
            <v>7110</v>
          </cell>
          <cell r="G326" t="str">
            <v>7110</v>
          </cell>
          <cell r="H326" t="str">
            <v>19870201</v>
          </cell>
          <cell r="I326">
            <v>29671127</v>
          </cell>
        </row>
        <row r="327">
          <cell r="A327" t="str">
            <v>9810371</v>
          </cell>
          <cell r="B327" t="str">
            <v>강　정　구</v>
          </cell>
          <cell r="C327" t="str">
            <v>9810371강　정　구</v>
          </cell>
          <cell r="D327" t="str">
            <v>FA30</v>
          </cell>
          <cell r="E327" t="str">
            <v>광산  지점</v>
          </cell>
          <cell r="F327" t="str">
            <v>7110</v>
          </cell>
          <cell r="G327" t="str">
            <v>7110</v>
          </cell>
          <cell r="H327" t="str">
            <v>19860201</v>
          </cell>
          <cell r="I327">
            <v>32453258</v>
          </cell>
        </row>
        <row r="328">
          <cell r="A328" t="str">
            <v>9810224</v>
          </cell>
          <cell r="B328" t="str">
            <v>김　광　식</v>
          </cell>
          <cell r="C328" t="str">
            <v>9810224김　광　식</v>
          </cell>
          <cell r="D328" t="str">
            <v>FA30</v>
          </cell>
          <cell r="E328" t="str">
            <v>광산  지점</v>
          </cell>
          <cell r="F328" t="str">
            <v>7110</v>
          </cell>
          <cell r="G328" t="str">
            <v>7110</v>
          </cell>
          <cell r="H328" t="str">
            <v>19820501</v>
          </cell>
          <cell r="I328">
            <v>44347343</v>
          </cell>
        </row>
        <row r="329">
          <cell r="A329" t="str">
            <v>9810382</v>
          </cell>
          <cell r="B329" t="str">
            <v>이　종　석</v>
          </cell>
          <cell r="C329" t="str">
            <v>9810382이　종　석</v>
          </cell>
          <cell r="D329" t="str">
            <v>FA30</v>
          </cell>
          <cell r="E329" t="str">
            <v>광산  지점</v>
          </cell>
          <cell r="F329" t="str">
            <v>7110</v>
          </cell>
          <cell r="G329" t="str">
            <v>7110</v>
          </cell>
          <cell r="H329" t="str">
            <v>19890301</v>
          </cell>
          <cell r="I329">
            <v>23990577</v>
          </cell>
        </row>
        <row r="330">
          <cell r="A330" t="str">
            <v>9810483</v>
          </cell>
          <cell r="B330" t="str">
            <v>권　준　　</v>
          </cell>
          <cell r="C330" t="str">
            <v>9810483권　준　　</v>
          </cell>
          <cell r="D330" t="str">
            <v>FA40</v>
          </cell>
          <cell r="E330" t="str">
            <v>광산  지점</v>
          </cell>
          <cell r="F330" t="str">
            <v>7120</v>
          </cell>
          <cell r="G330" t="str">
            <v>7120</v>
          </cell>
          <cell r="H330" t="str">
            <v>19930724</v>
          </cell>
          <cell r="I330">
            <v>12490187</v>
          </cell>
        </row>
        <row r="331">
          <cell r="A331" t="str">
            <v>9810641</v>
          </cell>
          <cell r="B331" t="str">
            <v>권　천　수</v>
          </cell>
          <cell r="C331" t="str">
            <v>9810641권　천　수</v>
          </cell>
          <cell r="D331" t="str">
            <v>FA40</v>
          </cell>
          <cell r="E331" t="str">
            <v>광산  지점</v>
          </cell>
          <cell r="F331" t="str">
            <v>7120</v>
          </cell>
          <cell r="G331" t="str">
            <v>7120</v>
          </cell>
          <cell r="H331" t="str">
            <v>19790801</v>
          </cell>
          <cell r="I331">
            <v>46975834</v>
          </cell>
        </row>
        <row r="332">
          <cell r="A332" t="str">
            <v>9810584</v>
          </cell>
          <cell r="B332" t="str">
            <v>김　무　태</v>
          </cell>
          <cell r="C332" t="str">
            <v>9810584김　무　태</v>
          </cell>
          <cell r="D332" t="str">
            <v>FA40</v>
          </cell>
          <cell r="E332" t="str">
            <v>광산  지점</v>
          </cell>
          <cell r="F332" t="str">
            <v>7120</v>
          </cell>
          <cell r="G332" t="str">
            <v>7120</v>
          </cell>
          <cell r="H332" t="str">
            <v>19980106</v>
          </cell>
          <cell r="I332">
            <v>3262684</v>
          </cell>
        </row>
        <row r="333">
          <cell r="A333" t="str">
            <v>9810606</v>
          </cell>
          <cell r="B333" t="str">
            <v>김　석　출</v>
          </cell>
          <cell r="C333" t="str">
            <v>9810606김　석　출</v>
          </cell>
          <cell r="D333" t="str">
            <v>FA40</v>
          </cell>
          <cell r="E333" t="str">
            <v>광산  지점</v>
          </cell>
          <cell r="F333" t="str">
            <v>7120</v>
          </cell>
          <cell r="G333" t="str">
            <v>7120</v>
          </cell>
          <cell r="H333" t="str">
            <v>19911127</v>
          </cell>
          <cell r="I333">
            <v>13688006</v>
          </cell>
        </row>
        <row r="334">
          <cell r="A334" t="str">
            <v>9810540</v>
          </cell>
          <cell r="B334" t="str">
            <v>김　용　대</v>
          </cell>
          <cell r="C334" t="str">
            <v>9810540김　용　대</v>
          </cell>
          <cell r="D334" t="str">
            <v>FA40</v>
          </cell>
          <cell r="E334" t="str">
            <v>광산  지점</v>
          </cell>
          <cell r="F334" t="str">
            <v>7120</v>
          </cell>
          <cell r="G334" t="str">
            <v>7120</v>
          </cell>
          <cell r="H334" t="str">
            <v>19951023</v>
          </cell>
          <cell r="I334">
            <v>7090591</v>
          </cell>
        </row>
        <row r="335">
          <cell r="A335" t="str">
            <v>9810573</v>
          </cell>
          <cell r="B335" t="str">
            <v>김　진　권</v>
          </cell>
          <cell r="C335" t="str">
            <v>9810573김　진　권</v>
          </cell>
          <cell r="D335" t="str">
            <v>FA40</v>
          </cell>
          <cell r="E335" t="str">
            <v>광산  지점</v>
          </cell>
          <cell r="F335" t="str">
            <v>7120</v>
          </cell>
          <cell r="G335" t="str">
            <v>7120</v>
          </cell>
          <cell r="H335" t="str">
            <v>19911201</v>
          </cell>
          <cell r="I335">
            <v>13640673</v>
          </cell>
        </row>
        <row r="336">
          <cell r="A336" t="str">
            <v>9810628</v>
          </cell>
          <cell r="B336" t="str">
            <v>박　용　길</v>
          </cell>
          <cell r="C336" t="str">
            <v>9810628박　용　길</v>
          </cell>
          <cell r="D336" t="str">
            <v>FA40</v>
          </cell>
          <cell r="E336" t="str">
            <v>광산  지점</v>
          </cell>
          <cell r="F336" t="str">
            <v>7120</v>
          </cell>
          <cell r="G336" t="str">
            <v>7120</v>
          </cell>
          <cell r="H336" t="str">
            <v>19961018</v>
          </cell>
          <cell r="I336">
            <v>5113080</v>
          </cell>
        </row>
        <row r="337">
          <cell r="A337" t="str">
            <v>9810551</v>
          </cell>
          <cell r="B337" t="str">
            <v>박　우　섭</v>
          </cell>
          <cell r="C337" t="str">
            <v>9810551박　우　섭</v>
          </cell>
          <cell r="D337" t="str">
            <v>FA40</v>
          </cell>
          <cell r="E337" t="str">
            <v>광산  지점</v>
          </cell>
          <cell r="F337" t="str">
            <v>7120</v>
          </cell>
          <cell r="G337" t="str">
            <v>7120</v>
          </cell>
          <cell r="H337" t="str">
            <v>19890208</v>
          </cell>
          <cell r="I337">
            <v>18592200</v>
          </cell>
        </row>
        <row r="338">
          <cell r="A338" t="str">
            <v>9810450</v>
          </cell>
          <cell r="B338" t="str">
            <v>박　원　출</v>
          </cell>
          <cell r="C338" t="str">
            <v>9810450박　원　출</v>
          </cell>
          <cell r="D338" t="str">
            <v>FA40</v>
          </cell>
          <cell r="E338" t="str">
            <v>광산  지점</v>
          </cell>
          <cell r="F338" t="str">
            <v>7120</v>
          </cell>
          <cell r="G338" t="str">
            <v>7120</v>
          </cell>
          <cell r="H338" t="str">
            <v>19820518</v>
          </cell>
          <cell r="I338">
            <v>34854426</v>
          </cell>
        </row>
        <row r="339">
          <cell r="A339" t="str">
            <v>9810562</v>
          </cell>
          <cell r="B339" t="str">
            <v>방　문　복</v>
          </cell>
          <cell r="C339" t="str">
            <v>9810562방　문　복</v>
          </cell>
          <cell r="D339" t="str">
            <v>FA40</v>
          </cell>
          <cell r="E339" t="str">
            <v>광산  지점</v>
          </cell>
          <cell r="F339" t="str">
            <v>7120</v>
          </cell>
          <cell r="G339" t="str">
            <v>7120</v>
          </cell>
          <cell r="H339" t="str">
            <v>19950316</v>
          </cell>
          <cell r="I339">
            <v>8089532</v>
          </cell>
        </row>
        <row r="340">
          <cell r="A340" t="str">
            <v>9810538</v>
          </cell>
          <cell r="B340" t="str">
            <v>방　창　용</v>
          </cell>
          <cell r="C340" t="str">
            <v>9810538방　창　용</v>
          </cell>
          <cell r="D340" t="str">
            <v>FA40</v>
          </cell>
          <cell r="E340" t="str">
            <v>광산  지점</v>
          </cell>
          <cell r="F340" t="str">
            <v>7120</v>
          </cell>
          <cell r="G340" t="str">
            <v>7120</v>
          </cell>
          <cell r="H340" t="str">
            <v>19940726</v>
          </cell>
          <cell r="I340">
            <v>9958807</v>
          </cell>
        </row>
        <row r="341">
          <cell r="A341" t="str">
            <v>9810393</v>
          </cell>
          <cell r="B341" t="str">
            <v>서　명　수</v>
          </cell>
          <cell r="C341" t="str">
            <v>9810393서　명　수</v>
          </cell>
          <cell r="D341" t="str">
            <v>FA40</v>
          </cell>
          <cell r="E341" t="str">
            <v>광산  지점</v>
          </cell>
          <cell r="F341" t="str">
            <v>7120</v>
          </cell>
          <cell r="G341" t="str">
            <v>7120</v>
          </cell>
          <cell r="H341" t="str">
            <v>19870518</v>
          </cell>
          <cell r="I341">
            <v>24766309</v>
          </cell>
        </row>
        <row r="342">
          <cell r="A342" t="str">
            <v>9810461</v>
          </cell>
          <cell r="B342" t="str">
            <v>서　학　수</v>
          </cell>
          <cell r="C342" t="str">
            <v>9810461서　학　수</v>
          </cell>
          <cell r="D342" t="str">
            <v>FA40</v>
          </cell>
          <cell r="E342" t="str">
            <v>광산  지점</v>
          </cell>
          <cell r="F342" t="str">
            <v>7120</v>
          </cell>
          <cell r="G342" t="str">
            <v>7120</v>
          </cell>
          <cell r="H342" t="str">
            <v>19891010</v>
          </cell>
          <cell r="I342">
            <v>20170925</v>
          </cell>
        </row>
        <row r="343">
          <cell r="A343" t="str">
            <v>9810516</v>
          </cell>
          <cell r="B343" t="str">
            <v>안　만　구</v>
          </cell>
          <cell r="C343" t="str">
            <v>9810516안　만　구</v>
          </cell>
          <cell r="D343" t="str">
            <v>FA40</v>
          </cell>
          <cell r="E343" t="str">
            <v>광산  지점</v>
          </cell>
          <cell r="F343" t="str">
            <v>7120</v>
          </cell>
          <cell r="G343" t="str">
            <v>7120</v>
          </cell>
          <cell r="H343" t="str">
            <v>19870423</v>
          </cell>
          <cell r="I343">
            <v>22130000</v>
          </cell>
        </row>
        <row r="344">
          <cell r="A344" t="str">
            <v>9810505</v>
          </cell>
          <cell r="B344" t="str">
            <v>이　광　병</v>
          </cell>
          <cell r="C344" t="str">
            <v>9810505이　광　병</v>
          </cell>
          <cell r="D344" t="str">
            <v>FA40</v>
          </cell>
          <cell r="E344" t="str">
            <v>광산  지점</v>
          </cell>
          <cell r="F344" t="str">
            <v>7120</v>
          </cell>
          <cell r="G344" t="e">
            <v>#N/A</v>
          </cell>
          <cell r="H344" t="str">
            <v>19980106</v>
          </cell>
          <cell r="I344">
            <v>3412473</v>
          </cell>
          <cell r="J344" t="str">
            <v>3 월</v>
          </cell>
          <cell r="K344">
            <v>3723007</v>
          </cell>
        </row>
        <row r="345">
          <cell r="A345" t="str">
            <v>9810595</v>
          </cell>
          <cell r="B345" t="str">
            <v>이　명　목</v>
          </cell>
          <cell r="C345" t="str">
            <v>9810595이　명　목</v>
          </cell>
          <cell r="D345" t="str">
            <v>FA40</v>
          </cell>
          <cell r="E345" t="str">
            <v>광산  지점</v>
          </cell>
          <cell r="F345" t="str">
            <v>7120</v>
          </cell>
          <cell r="G345" t="str">
            <v>7120</v>
          </cell>
          <cell r="H345" t="str">
            <v>19920509</v>
          </cell>
          <cell r="I345">
            <v>12911666</v>
          </cell>
        </row>
        <row r="346">
          <cell r="A346" t="str">
            <v>9810235</v>
          </cell>
          <cell r="B346" t="str">
            <v>이　상　준</v>
          </cell>
          <cell r="C346" t="str">
            <v>9810235이　상　준</v>
          </cell>
          <cell r="D346" t="str">
            <v>FA40</v>
          </cell>
          <cell r="E346" t="str">
            <v>광산  지점</v>
          </cell>
          <cell r="F346" t="str">
            <v>7120</v>
          </cell>
          <cell r="G346" t="str">
            <v>7130</v>
          </cell>
          <cell r="H346" t="str">
            <v>19781101</v>
          </cell>
          <cell r="I346">
            <v>58749286</v>
          </cell>
        </row>
        <row r="347">
          <cell r="A347" t="str">
            <v>9810494</v>
          </cell>
          <cell r="B347" t="str">
            <v>이　시　우</v>
          </cell>
          <cell r="C347" t="str">
            <v>9810494이　시　우</v>
          </cell>
          <cell r="D347" t="str">
            <v>FA40</v>
          </cell>
          <cell r="E347" t="str">
            <v>광산  지점</v>
          </cell>
          <cell r="F347" t="str">
            <v>7120</v>
          </cell>
          <cell r="G347" t="str">
            <v>7120</v>
          </cell>
          <cell r="H347" t="str">
            <v>19940801</v>
          </cell>
          <cell r="I347">
            <v>9918670</v>
          </cell>
        </row>
        <row r="348">
          <cell r="A348" t="str">
            <v>9810415</v>
          </cell>
          <cell r="B348" t="str">
            <v>이　정　출</v>
          </cell>
          <cell r="C348" t="str">
            <v>9810415이　정　출</v>
          </cell>
          <cell r="D348" t="str">
            <v>FA40</v>
          </cell>
          <cell r="E348" t="str">
            <v>광산  지점</v>
          </cell>
          <cell r="F348" t="str">
            <v>7120</v>
          </cell>
          <cell r="G348" t="e">
            <v>#N/A</v>
          </cell>
          <cell r="H348" t="str">
            <v>19901101</v>
          </cell>
          <cell r="I348">
            <v>22821541</v>
          </cell>
          <cell r="J348" t="str">
            <v>10 월</v>
          </cell>
          <cell r="K348">
            <v>28064450</v>
          </cell>
        </row>
        <row r="349">
          <cell r="A349" t="str">
            <v>9810448</v>
          </cell>
          <cell r="B349" t="str">
            <v>이　한　식</v>
          </cell>
          <cell r="C349" t="str">
            <v>9810448이　한　식</v>
          </cell>
          <cell r="D349" t="str">
            <v>FA40</v>
          </cell>
          <cell r="E349" t="str">
            <v>광산  지점</v>
          </cell>
          <cell r="F349" t="str">
            <v>7120</v>
          </cell>
          <cell r="G349" t="str">
            <v>7120</v>
          </cell>
          <cell r="H349" t="str">
            <v>19820101</v>
          </cell>
          <cell r="I349">
            <v>44601354</v>
          </cell>
        </row>
        <row r="350">
          <cell r="A350" t="str">
            <v>9810617</v>
          </cell>
          <cell r="B350" t="str">
            <v>최　두　원</v>
          </cell>
          <cell r="C350" t="str">
            <v>9810617최　두　원</v>
          </cell>
          <cell r="D350" t="str">
            <v>FA40</v>
          </cell>
          <cell r="E350" t="str">
            <v>광산  지점</v>
          </cell>
          <cell r="F350" t="str">
            <v>7120</v>
          </cell>
          <cell r="G350" t="str">
            <v>7120</v>
          </cell>
          <cell r="H350" t="str">
            <v>19930201</v>
          </cell>
          <cell r="I350">
            <v>11599221</v>
          </cell>
        </row>
        <row r="351">
          <cell r="A351" t="str">
            <v>9810426</v>
          </cell>
          <cell r="B351" t="str">
            <v>하　재　곤</v>
          </cell>
          <cell r="C351" t="str">
            <v>9810426하　재　곤</v>
          </cell>
          <cell r="D351" t="str">
            <v>FA40</v>
          </cell>
          <cell r="E351" t="str">
            <v>광산  지점</v>
          </cell>
          <cell r="F351" t="str">
            <v>7120</v>
          </cell>
          <cell r="G351" t="str">
            <v>7120</v>
          </cell>
          <cell r="H351" t="str">
            <v>19890127</v>
          </cell>
          <cell r="I351">
            <v>26425225</v>
          </cell>
        </row>
        <row r="352">
          <cell r="A352" t="str">
            <v>9860040</v>
          </cell>
          <cell r="B352" t="str">
            <v>권　소　정</v>
          </cell>
          <cell r="C352" t="str">
            <v>9860040권　소　정</v>
          </cell>
          <cell r="D352" t="str">
            <v>FA50</v>
          </cell>
          <cell r="E352" t="str">
            <v>광산  지점</v>
          </cell>
          <cell r="F352" t="str">
            <v>7120</v>
          </cell>
          <cell r="G352" t="str">
            <v>7120</v>
          </cell>
          <cell r="H352" t="str">
            <v>19961111</v>
          </cell>
          <cell r="I352">
            <v>3087110</v>
          </cell>
        </row>
        <row r="353">
          <cell r="A353" t="str">
            <v>9810246</v>
          </cell>
          <cell r="B353" t="str">
            <v>이　용　우</v>
          </cell>
          <cell r="C353" t="str">
            <v>9810246이　용　우</v>
          </cell>
          <cell r="D353" t="str">
            <v>FA50</v>
          </cell>
          <cell r="E353" t="str">
            <v>광산  지점</v>
          </cell>
          <cell r="F353" t="str">
            <v>7120</v>
          </cell>
          <cell r="G353" t="str">
            <v>7120</v>
          </cell>
          <cell r="H353" t="str">
            <v>19930615</v>
          </cell>
          <cell r="I353">
            <v>15737877</v>
          </cell>
          <cell r="J353" t="str">
            <v>7 월</v>
          </cell>
          <cell r="K353">
            <v>19416823</v>
          </cell>
        </row>
        <row r="354">
          <cell r="A354" t="str">
            <v>9810630</v>
          </cell>
          <cell r="B354" t="str">
            <v>조　용　연</v>
          </cell>
          <cell r="C354" t="str">
            <v>9810630조　용　연</v>
          </cell>
          <cell r="D354" t="str">
            <v>FA50</v>
          </cell>
          <cell r="E354" t="str">
            <v>광산  지점</v>
          </cell>
          <cell r="F354" t="str">
            <v>7120</v>
          </cell>
          <cell r="G354" t="str">
            <v>7120</v>
          </cell>
          <cell r="H354" t="str">
            <v>19841101</v>
          </cell>
          <cell r="I354">
            <v>30258364</v>
          </cell>
        </row>
        <row r="355">
          <cell r="A355" t="str">
            <v>9811034</v>
          </cell>
          <cell r="B355" t="str">
            <v>강　영　신</v>
          </cell>
          <cell r="C355" t="str">
            <v>9811034강　영　신</v>
          </cell>
          <cell r="D355" t="str">
            <v>FB20</v>
          </cell>
          <cell r="E355" t="str">
            <v>광산  지점</v>
          </cell>
          <cell r="F355" t="str">
            <v>7130</v>
          </cell>
          <cell r="G355" t="str">
            <v>7130</v>
          </cell>
          <cell r="H355" t="str">
            <v>19910723</v>
          </cell>
          <cell r="I355">
            <v>13663470</v>
          </cell>
        </row>
        <row r="356">
          <cell r="A356" t="str">
            <v>9810887</v>
          </cell>
          <cell r="B356" t="str">
            <v>곽　동　일</v>
          </cell>
          <cell r="C356" t="str">
            <v>9810887곽　동　일</v>
          </cell>
          <cell r="D356" t="str">
            <v>FB20</v>
          </cell>
          <cell r="E356" t="str">
            <v>광산  지점</v>
          </cell>
          <cell r="F356" t="str">
            <v>7130</v>
          </cell>
          <cell r="G356" t="str">
            <v>7130</v>
          </cell>
          <cell r="H356" t="str">
            <v>19990101</v>
          </cell>
          <cell r="I356">
            <v>1105413</v>
          </cell>
        </row>
        <row r="357">
          <cell r="A357" t="str">
            <v>9810764</v>
          </cell>
          <cell r="B357" t="str">
            <v>김　광　욱</v>
          </cell>
          <cell r="C357" t="str">
            <v>9810764김　광　욱</v>
          </cell>
          <cell r="D357" t="str">
            <v>FB20</v>
          </cell>
          <cell r="E357" t="str">
            <v>광산  지점</v>
          </cell>
          <cell r="F357" t="str">
            <v>7130</v>
          </cell>
          <cell r="G357" t="str">
            <v>7130</v>
          </cell>
          <cell r="H357" t="str">
            <v>19890602</v>
          </cell>
          <cell r="I357">
            <v>17807490</v>
          </cell>
        </row>
        <row r="358">
          <cell r="A358" t="str">
            <v>9810797</v>
          </cell>
          <cell r="B358" t="str">
            <v>김　광　준</v>
          </cell>
          <cell r="C358" t="str">
            <v>9810797김　광　준</v>
          </cell>
          <cell r="D358" t="str">
            <v>FB20</v>
          </cell>
          <cell r="E358" t="str">
            <v>광산  지점</v>
          </cell>
          <cell r="F358" t="str">
            <v>7130</v>
          </cell>
          <cell r="G358" t="str">
            <v>7130</v>
          </cell>
          <cell r="H358" t="str">
            <v>19791210</v>
          </cell>
          <cell r="I358">
            <v>43784836</v>
          </cell>
        </row>
        <row r="359">
          <cell r="A359" t="str">
            <v>9810731</v>
          </cell>
          <cell r="B359" t="str">
            <v>김　만　석</v>
          </cell>
          <cell r="C359" t="str">
            <v>9810731김　만　석</v>
          </cell>
          <cell r="D359" t="str">
            <v>FB20</v>
          </cell>
          <cell r="E359" t="str">
            <v>광산  지점</v>
          </cell>
          <cell r="F359" t="str">
            <v>7130</v>
          </cell>
          <cell r="G359" t="str">
            <v>7130</v>
          </cell>
          <cell r="H359" t="str">
            <v>19931220</v>
          </cell>
          <cell r="I359">
            <v>9816909</v>
          </cell>
        </row>
        <row r="360">
          <cell r="A360" t="str">
            <v>9810674</v>
          </cell>
          <cell r="B360" t="str">
            <v>김　선　군</v>
          </cell>
          <cell r="C360" t="str">
            <v>9810674김　선　군</v>
          </cell>
          <cell r="D360" t="str">
            <v>FB20</v>
          </cell>
          <cell r="E360" t="str">
            <v>광산  지점</v>
          </cell>
          <cell r="F360" t="str">
            <v>7130</v>
          </cell>
          <cell r="G360" t="str">
            <v>7130</v>
          </cell>
          <cell r="H360" t="str">
            <v>19991201</v>
          </cell>
          <cell r="I360">
            <v>166552</v>
          </cell>
        </row>
        <row r="361">
          <cell r="A361" t="str">
            <v>9860073</v>
          </cell>
          <cell r="B361" t="str">
            <v>김　옥　자</v>
          </cell>
          <cell r="C361" t="str">
            <v>9860073김　옥　자</v>
          </cell>
          <cell r="D361" t="str">
            <v>FB20</v>
          </cell>
          <cell r="E361" t="str">
            <v>광산  지점</v>
          </cell>
          <cell r="F361" t="str">
            <v>7130</v>
          </cell>
          <cell r="G361" t="str">
            <v>7130</v>
          </cell>
          <cell r="H361" t="str">
            <v>19990101</v>
          </cell>
          <cell r="I361">
            <v>817199</v>
          </cell>
        </row>
        <row r="362">
          <cell r="A362" t="str">
            <v>9810268</v>
          </cell>
          <cell r="B362" t="str">
            <v>김　종　호</v>
          </cell>
          <cell r="C362" t="str">
            <v>9810268김　종　호</v>
          </cell>
          <cell r="D362" t="str">
            <v>FB20</v>
          </cell>
          <cell r="E362" t="str">
            <v>광산  지점</v>
          </cell>
          <cell r="F362" t="str">
            <v>7130</v>
          </cell>
          <cell r="G362" t="str">
            <v>7130</v>
          </cell>
          <cell r="H362" t="str">
            <v>19950920</v>
          </cell>
          <cell r="I362">
            <v>10258125</v>
          </cell>
        </row>
        <row r="363">
          <cell r="A363" t="str">
            <v>9810900</v>
          </cell>
          <cell r="B363" t="str">
            <v>남　영　길</v>
          </cell>
          <cell r="C363" t="str">
            <v>9810900남　영　길</v>
          </cell>
          <cell r="D363" t="str">
            <v>FB20</v>
          </cell>
          <cell r="E363" t="str">
            <v>광산  지점</v>
          </cell>
          <cell r="F363" t="str">
            <v>7130</v>
          </cell>
          <cell r="G363" t="str">
            <v>7130</v>
          </cell>
          <cell r="H363" t="str">
            <v>19760516</v>
          </cell>
          <cell r="I363">
            <v>54811978</v>
          </cell>
        </row>
        <row r="364">
          <cell r="A364" t="str">
            <v>9810810</v>
          </cell>
          <cell r="B364" t="str">
            <v>박　복　득</v>
          </cell>
          <cell r="C364" t="str">
            <v>9810810박　복　득</v>
          </cell>
          <cell r="D364" t="str">
            <v>FB20</v>
          </cell>
          <cell r="E364" t="str">
            <v>광산  지점</v>
          </cell>
          <cell r="F364" t="str">
            <v>7130</v>
          </cell>
          <cell r="G364" t="str">
            <v>7130</v>
          </cell>
          <cell r="H364" t="str">
            <v>19751115</v>
          </cell>
          <cell r="I364">
            <v>48634242</v>
          </cell>
        </row>
        <row r="365">
          <cell r="A365" t="str">
            <v>9810808</v>
          </cell>
          <cell r="B365" t="str">
            <v>박　원　출</v>
          </cell>
          <cell r="C365" t="str">
            <v>9810808박　원　출</v>
          </cell>
          <cell r="D365" t="str">
            <v>FB20</v>
          </cell>
          <cell r="E365" t="str">
            <v>광산  지점</v>
          </cell>
          <cell r="F365" t="str">
            <v>7130</v>
          </cell>
          <cell r="G365" t="str">
            <v>7130</v>
          </cell>
          <cell r="H365" t="str">
            <v>19751115</v>
          </cell>
          <cell r="I365">
            <v>46610809</v>
          </cell>
        </row>
        <row r="366">
          <cell r="A366" t="str">
            <v>9810911</v>
          </cell>
          <cell r="B366" t="str">
            <v>박　종　호</v>
          </cell>
          <cell r="C366" t="str">
            <v>9810911박　종　호</v>
          </cell>
          <cell r="D366" t="str">
            <v>FB20</v>
          </cell>
          <cell r="E366" t="str">
            <v>광산  지점</v>
          </cell>
          <cell r="F366" t="str">
            <v>7130</v>
          </cell>
          <cell r="G366" t="str">
            <v>7130</v>
          </cell>
          <cell r="H366" t="str">
            <v>19890213</v>
          </cell>
          <cell r="I366">
            <v>20641526</v>
          </cell>
        </row>
        <row r="367">
          <cell r="A367" t="str">
            <v>9810775</v>
          </cell>
          <cell r="B367" t="str">
            <v>배　건　오</v>
          </cell>
          <cell r="C367" t="str">
            <v>9810775배　건　오</v>
          </cell>
          <cell r="D367" t="str">
            <v>FB20</v>
          </cell>
          <cell r="E367" t="str">
            <v>광산  지점</v>
          </cell>
          <cell r="F367" t="str">
            <v>7130</v>
          </cell>
          <cell r="G367" t="str">
            <v>7130</v>
          </cell>
          <cell r="H367" t="str">
            <v>19951201</v>
          </cell>
          <cell r="I367">
            <v>6152439</v>
          </cell>
        </row>
        <row r="368">
          <cell r="A368" t="str">
            <v>9860051</v>
          </cell>
          <cell r="B368" t="str">
            <v>서　은　숙</v>
          </cell>
          <cell r="C368" t="str">
            <v>9860051서　은　숙</v>
          </cell>
          <cell r="D368" t="str">
            <v>FB20</v>
          </cell>
          <cell r="E368" t="str">
            <v>광산  지점</v>
          </cell>
          <cell r="F368" t="str">
            <v>7130</v>
          </cell>
          <cell r="G368" t="str">
            <v>7130</v>
          </cell>
          <cell r="H368" t="str">
            <v>19981026</v>
          </cell>
          <cell r="I368">
            <v>1126198</v>
          </cell>
        </row>
        <row r="369">
          <cell r="A369" t="str">
            <v>9810718</v>
          </cell>
          <cell r="B369" t="str">
            <v>신　영　섭</v>
          </cell>
          <cell r="C369" t="str">
            <v>9810718신　영　섭</v>
          </cell>
          <cell r="D369" t="str">
            <v>FB20</v>
          </cell>
          <cell r="E369" t="str">
            <v>광산  지점</v>
          </cell>
          <cell r="F369" t="str">
            <v>7130</v>
          </cell>
          <cell r="G369" t="str">
            <v>7130</v>
          </cell>
          <cell r="H369" t="str">
            <v>19770707</v>
          </cell>
          <cell r="I369">
            <v>42436507</v>
          </cell>
        </row>
        <row r="370">
          <cell r="A370" t="str">
            <v>9810821</v>
          </cell>
          <cell r="B370" t="str">
            <v>안　양　호</v>
          </cell>
          <cell r="C370" t="str">
            <v>9810821안　양　호</v>
          </cell>
          <cell r="D370" t="str">
            <v>FB20</v>
          </cell>
          <cell r="E370" t="str">
            <v>광산  지점</v>
          </cell>
          <cell r="F370" t="str">
            <v>7130</v>
          </cell>
          <cell r="G370" t="str">
            <v>7130</v>
          </cell>
          <cell r="H370" t="str">
            <v>19990101</v>
          </cell>
          <cell r="I370">
            <v>1237846</v>
          </cell>
        </row>
        <row r="371">
          <cell r="A371" t="str">
            <v>9810832</v>
          </cell>
          <cell r="B371" t="str">
            <v>안　창　기</v>
          </cell>
          <cell r="C371" t="str">
            <v>9810832안　창　기</v>
          </cell>
          <cell r="D371" t="str">
            <v>FB20</v>
          </cell>
          <cell r="E371" t="str">
            <v>광산  지점</v>
          </cell>
          <cell r="F371" t="str">
            <v>7130</v>
          </cell>
          <cell r="G371" t="str">
            <v>7130</v>
          </cell>
          <cell r="H371" t="str">
            <v>19811116</v>
          </cell>
          <cell r="I371">
            <v>33888442</v>
          </cell>
        </row>
        <row r="372">
          <cell r="A372" t="str">
            <v>9810652</v>
          </cell>
          <cell r="B372" t="str">
            <v>우　봉　조</v>
          </cell>
          <cell r="C372" t="str">
            <v>9810652우　봉　조</v>
          </cell>
          <cell r="D372" t="str">
            <v>FB20</v>
          </cell>
          <cell r="E372" t="str">
            <v>광산  지점</v>
          </cell>
          <cell r="F372" t="str">
            <v>7130</v>
          </cell>
          <cell r="G372" t="str">
            <v>7130</v>
          </cell>
          <cell r="H372" t="str">
            <v>19880416</v>
          </cell>
          <cell r="I372">
            <v>26258976</v>
          </cell>
        </row>
        <row r="373">
          <cell r="A373" t="str">
            <v>9810707</v>
          </cell>
          <cell r="B373" t="str">
            <v>윤　용　순</v>
          </cell>
          <cell r="C373" t="str">
            <v>9810707윤　용　순</v>
          </cell>
          <cell r="D373" t="str">
            <v>FB20</v>
          </cell>
          <cell r="E373" t="str">
            <v>광산  지점</v>
          </cell>
          <cell r="F373" t="str">
            <v>7130</v>
          </cell>
          <cell r="G373" t="str">
            <v>7130</v>
          </cell>
          <cell r="H373" t="str">
            <v>19891023</v>
          </cell>
          <cell r="I373">
            <v>17895769</v>
          </cell>
        </row>
        <row r="374">
          <cell r="A374" t="str">
            <v>9810742</v>
          </cell>
          <cell r="B374" t="str">
            <v>이　병　석</v>
          </cell>
          <cell r="C374" t="str">
            <v>9810742이　병　석</v>
          </cell>
          <cell r="D374" t="str">
            <v>FB20</v>
          </cell>
          <cell r="E374" t="str">
            <v>광산  지점</v>
          </cell>
          <cell r="F374" t="str">
            <v>7130</v>
          </cell>
          <cell r="G374" t="str">
            <v>7130</v>
          </cell>
          <cell r="H374" t="str">
            <v>19870216</v>
          </cell>
          <cell r="I374">
            <v>18345307</v>
          </cell>
        </row>
        <row r="375">
          <cell r="A375" t="str">
            <v>9810898</v>
          </cell>
          <cell r="B375" t="str">
            <v>이　형　극</v>
          </cell>
          <cell r="C375" t="str">
            <v>9810898이　형　극</v>
          </cell>
          <cell r="D375" t="str">
            <v>FB20</v>
          </cell>
          <cell r="E375" t="str">
            <v>광산  지점</v>
          </cell>
          <cell r="F375" t="str">
            <v>7130</v>
          </cell>
          <cell r="G375" t="str">
            <v>2811</v>
          </cell>
          <cell r="H375" t="str">
            <v>19870201</v>
          </cell>
          <cell r="I375">
            <v>30121008</v>
          </cell>
        </row>
        <row r="376">
          <cell r="A376" t="str">
            <v>9860062</v>
          </cell>
          <cell r="B376" t="str">
            <v>임　화　자</v>
          </cell>
          <cell r="C376" t="str">
            <v>9860062임　화　자</v>
          </cell>
          <cell r="D376" t="str">
            <v>FB20</v>
          </cell>
          <cell r="E376" t="str">
            <v>광산  지점</v>
          </cell>
          <cell r="F376" t="str">
            <v>7130</v>
          </cell>
          <cell r="G376" t="str">
            <v>7130</v>
          </cell>
          <cell r="H376" t="str">
            <v>19990101</v>
          </cell>
          <cell r="I376">
            <v>724957</v>
          </cell>
        </row>
        <row r="377">
          <cell r="A377" t="str">
            <v>9810685</v>
          </cell>
          <cell r="B377" t="str">
            <v>전　영　재</v>
          </cell>
          <cell r="C377" t="str">
            <v>9810685전　영　재</v>
          </cell>
          <cell r="D377" t="str">
            <v>FB20</v>
          </cell>
          <cell r="E377" t="str">
            <v>광산  지점</v>
          </cell>
          <cell r="F377" t="str">
            <v>7130</v>
          </cell>
          <cell r="G377" t="str">
            <v>7130</v>
          </cell>
          <cell r="H377" t="str">
            <v>19850620</v>
          </cell>
          <cell r="I377">
            <v>26970620</v>
          </cell>
        </row>
        <row r="378">
          <cell r="A378" t="str">
            <v>9810720</v>
          </cell>
          <cell r="B378" t="str">
            <v>전　종　환</v>
          </cell>
          <cell r="C378" t="str">
            <v>9810720전　종　환</v>
          </cell>
          <cell r="D378" t="str">
            <v>FB20</v>
          </cell>
          <cell r="E378" t="str">
            <v>광산  지점</v>
          </cell>
          <cell r="F378" t="str">
            <v>7130</v>
          </cell>
          <cell r="G378" t="str">
            <v>7130</v>
          </cell>
          <cell r="H378" t="str">
            <v>19790620</v>
          </cell>
          <cell r="I378">
            <v>38240779</v>
          </cell>
          <cell r="J378" t="str">
            <v>5 월</v>
          </cell>
          <cell r="K378">
            <v>38470258</v>
          </cell>
        </row>
        <row r="379">
          <cell r="A379" t="str">
            <v>9810696</v>
          </cell>
          <cell r="B379" t="str">
            <v>정　현　태</v>
          </cell>
          <cell r="C379" t="str">
            <v>9810696정　현　태</v>
          </cell>
          <cell r="D379" t="str">
            <v>FB20</v>
          </cell>
          <cell r="E379" t="str">
            <v>광산  지점</v>
          </cell>
          <cell r="F379" t="str">
            <v>7130</v>
          </cell>
          <cell r="G379" t="str">
            <v>7130</v>
          </cell>
          <cell r="H379" t="str">
            <v>19850317</v>
          </cell>
          <cell r="I379">
            <v>27453650</v>
          </cell>
          <cell r="J379" t="str">
            <v>5 월</v>
          </cell>
          <cell r="K379">
            <v>28872719</v>
          </cell>
        </row>
        <row r="380">
          <cell r="A380" t="str">
            <v>9810257</v>
          </cell>
          <cell r="B380" t="str">
            <v>허　조　　</v>
          </cell>
          <cell r="C380" t="str">
            <v>9810257허　조　　</v>
          </cell>
          <cell r="D380" t="str">
            <v>FB20</v>
          </cell>
          <cell r="E380" t="str">
            <v>광산  지점</v>
          </cell>
          <cell r="F380" t="str">
            <v>7130</v>
          </cell>
          <cell r="G380" t="str">
            <v>7120</v>
          </cell>
          <cell r="H380" t="str">
            <v>19751001</v>
          </cell>
          <cell r="I380">
            <v>67503404</v>
          </cell>
        </row>
        <row r="381">
          <cell r="A381" t="str">
            <v>9810753</v>
          </cell>
          <cell r="B381" t="str">
            <v>황　구　환</v>
          </cell>
          <cell r="C381" t="str">
            <v>9810753황　구　환</v>
          </cell>
          <cell r="D381" t="str">
            <v>FB20</v>
          </cell>
          <cell r="E381" t="str">
            <v>광산  지점</v>
          </cell>
          <cell r="F381" t="str">
            <v>7130</v>
          </cell>
          <cell r="G381" t="str">
            <v>7130</v>
          </cell>
          <cell r="H381" t="str">
            <v>19870701</v>
          </cell>
          <cell r="I381">
            <v>21250255</v>
          </cell>
        </row>
        <row r="382">
          <cell r="A382" t="str">
            <v>9811304</v>
          </cell>
          <cell r="B382" t="str">
            <v>권　영　팔</v>
          </cell>
          <cell r="C382" t="str">
            <v>9811304권　영　팔</v>
          </cell>
          <cell r="D382" t="str">
            <v>FB30</v>
          </cell>
          <cell r="E382" t="str">
            <v>광산  지점</v>
          </cell>
          <cell r="F382" t="str">
            <v>7130</v>
          </cell>
          <cell r="G382" t="str">
            <v>7130</v>
          </cell>
          <cell r="H382" t="str">
            <v>19880222</v>
          </cell>
          <cell r="I382">
            <v>21545219</v>
          </cell>
        </row>
        <row r="383">
          <cell r="A383" t="str">
            <v>9811552</v>
          </cell>
          <cell r="B383" t="str">
            <v>권　태　복</v>
          </cell>
          <cell r="C383" t="str">
            <v>9811552권　태　복</v>
          </cell>
          <cell r="D383" t="str">
            <v>FB30</v>
          </cell>
          <cell r="E383" t="str">
            <v>광산  지점</v>
          </cell>
          <cell r="F383" t="str">
            <v>7130</v>
          </cell>
          <cell r="G383" t="str">
            <v>7130</v>
          </cell>
          <cell r="H383" t="str">
            <v>19990101</v>
          </cell>
          <cell r="I383">
            <v>893045</v>
          </cell>
        </row>
        <row r="384">
          <cell r="A384" t="str">
            <v>9811157</v>
          </cell>
          <cell r="B384" t="str">
            <v>김　건　수</v>
          </cell>
          <cell r="C384" t="str">
            <v>9811157김　건　수</v>
          </cell>
          <cell r="D384" t="str">
            <v>FB30</v>
          </cell>
          <cell r="E384" t="str">
            <v>광산  지점</v>
          </cell>
          <cell r="F384" t="str">
            <v>7130</v>
          </cell>
          <cell r="G384" t="str">
            <v>7130</v>
          </cell>
          <cell r="H384" t="str">
            <v>19890427</v>
          </cell>
          <cell r="I384">
            <v>20977636</v>
          </cell>
        </row>
        <row r="385">
          <cell r="A385" t="str">
            <v>9811113</v>
          </cell>
          <cell r="B385" t="str">
            <v>김　광　수</v>
          </cell>
          <cell r="C385" t="str">
            <v>9811113김　광　수</v>
          </cell>
          <cell r="D385" t="str">
            <v>FB30</v>
          </cell>
          <cell r="E385" t="str">
            <v>광산  지점</v>
          </cell>
          <cell r="F385" t="str">
            <v>7130</v>
          </cell>
          <cell r="G385" t="str">
            <v>7130</v>
          </cell>
          <cell r="H385" t="str">
            <v>19910911</v>
          </cell>
          <cell r="I385">
            <v>16934865</v>
          </cell>
        </row>
        <row r="386">
          <cell r="A386" t="str">
            <v>9811135</v>
          </cell>
          <cell r="B386" t="str">
            <v>김　광　원</v>
          </cell>
          <cell r="C386" t="str">
            <v>9811135김　광　원</v>
          </cell>
          <cell r="D386" t="str">
            <v>FB30</v>
          </cell>
          <cell r="E386" t="str">
            <v>광산  지점</v>
          </cell>
          <cell r="F386" t="str">
            <v>7130</v>
          </cell>
          <cell r="G386" t="str">
            <v>7130</v>
          </cell>
          <cell r="H386" t="str">
            <v>19890701</v>
          </cell>
          <cell r="I386">
            <v>19142125</v>
          </cell>
        </row>
        <row r="387">
          <cell r="A387" t="str">
            <v>9811361</v>
          </cell>
          <cell r="B387" t="str">
            <v>김　광　일</v>
          </cell>
          <cell r="C387" t="str">
            <v>9811361김　광　일</v>
          </cell>
          <cell r="D387" t="str">
            <v>FB30</v>
          </cell>
          <cell r="E387" t="str">
            <v>광산  지점</v>
          </cell>
          <cell r="F387" t="str">
            <v>7130</v>
          </cell>
          <cell r="G387" t="str">
            <v>7130</v>
          </cell>
          <cell r="H387" t="str">
            <v>19870507</v>
          </cell>
          <cell r="I387">
            <v>23925747</v>
          </cell>
        </row>
        <row r="388">
          <cell r="A388" t="str">
            <v>9811484</v>
          </cell>
          <cell r="B388" t="str">
            <v>김　대　용</v>
          </cell>
          <cell r="C388" t="str">
            <v>9811484김　대　용</v>
          </cell>
          <cell r="D388" t="str">
            <v>FB30</v>
          </cell>
          <cell r="E388" t="str">
            <v>광산  지점</v>
          </cell>
          <cell r="F388" t="str">
            <v>7130</v>
          </cell>
          <cell r="G388" t="str">
            <v>7130</v>
          </cell>
          <cell r="H388" t="str">
            <v>19931220</v>
          </cell>
          <cell r="I388">
            <v>8858623</v>
          </cell>
        </row>
        <row r="389">
          <cell r="A389" t="str">
            <v>9810876</v>
          </cell>
          <cell r="B389" t="str">
            <v>김　덕　화</v>
          </cell>
          <cell r="C389" t="str">
            <v>9810876김　덕　화</v>
          </cell>
          <cell r="D389" t="str">
            <v>FB30</v>
          </cell>
          <cell r="E389" t="str">
            <v>광산  지점</v>
          </cell>
          <cell r="F389" t="str">
            <v>7130</v>
          </cell>
          <cell r="G389" t="str">
            <v>7130</v>
          </cell>
          <cell r="H389" t="str">
            <v>19910101</v>
          </cell>
          <cell r="I389">
            <v>15891471</v>
          </cell>
        </row>
        <row r="390">
          <cell r="A390" t="str">
            <v>9811495</v>
          </cell>
          <cell r="B390" t="str">
            <v>김　두　찬</v>
          </cell>
          <cell r="C390" t="str">
            <v>9811495김　두　찬</v>
          </cell>
          <cell r="D390" t="str">
            <v>FB30</v>
          </cell>
          <cell r="E390" t="str">
            <v>광산  지점</v>
          </cell>
          <cell r="F390" t="str">
            <v>7130</v>
          </cell>
          <cell r="G390" t="str">
            <v>7130</v>
          </cell>
          <cell r="H390" t="str">
            <v>19950421</v>
          </cell>
          <cell r="I390">
            <v>7120042</v>
          </cell>
        </row>
        <row r="391">
          <cell r="A391" t="str">
            <v>9811078</v>
          </cell>
          <cell r="B391" t="str">
            <v>김　명　곤</v>
          </cell>
          <cell r="C391" t="str">
            <v>9811078김　명　곤</v>
          </cell>
          <cell r="D391" t="str">
            <v>FB30</v>
          </cell>
          <cell r="E391" t="str">
            <v>광산  지점</v>
          </cell>
          <cell r="F391" t="str">
            <v>7130</v>
          </cell>
          <cell r="G391" t="str">
            <v>7130</v>
          </cell>
          <cell r="H391" t="str">
            <v>19881026</v>
          </cell>
          <cell r="I391">
            <v>23731409</v>
          </cell>
        </row>
        <row r="392">
          <cell r="A392" t="str">
            <v>9811056</v>
          </cell>
          <cell r="B392" t="str">
            <v>김　성　광</v>
          </cell>
          <cell r="C392" t="str">
            <v>9811056김　성　광</v>
          </cell>
          <cell r="D392" t="str">
            <v>FB30</v>
          </cell>
          <cell r="E392" t="str">
            <v>광산  지점</v>
          </cell>
          <cell r="F392" t="str">
            <v>7130</v>
          </cell>
          <cell r="G392" t="str">
            <v>7130</v>
          </cell>
          <cell r="H392" t="str">
            <v>19870815</v>
          </cell>
          <cell r="I392">
            <v>22817814</v>
          </cell>
        </row>
        <row r="393">
          <cell r="A393" t="str">
            <v>9811427</v>
          </cell>
          <cell r="B393" t="str">
            <v>김　영　식</v>
          </cell>
          <cell r="C393" t="str">
            <v>9811427김　영　식</v>
          </cell>
          <cell r="D393" t="str">
            <v>FB30</v>
          </cell>
          <cell r="E393" t="str">
            <v>광산  지점</v>
          </cell>
          <cell r="F393" t="str">
            <v>7130</v>
          </cell>
          <cell r="G393" t="str">
            <v>7130</v>
          </cell>
          <cell r="H393" t="str">
            <v>19961219</v>
          </cell>
          <cell r="I393">
            <v>5083531</v>
          </cell>
        </row>
        <row r="394">
          <cell r="A394" t="str">
            <v>9811394</v>
          </cell>
          <cell r="B394" t="str">
            <v>김　원　일</v>
          </cell>
          <cell r="C394" t="str">
            <v>9811394김　원　일</v>
          </cell>
          <cell r="D394" t="str">
            <v>FB30</v>
          </cell>
          <cell r="E394" t="str">
            <v>광산  지점</v>
          </cell>
          <cell r="F394" t="str">
            <v>7130</v>
          </cell>
          <cell r="G394" t="str">
            <v>7130</v>
          </cell>
          <cell r="H394" t="str">
            <v>19890602</v>
          </cell>
          <cell r="I394">
            <v>20441755</v>
          </cell>
        </row>
        <row r="395">
          <cell r="A395" t="str">
            <v>9811541</v>
          </cell>
          <cell r="B395" t="str">
            <v>김　일　수</v>
          </cell>
          <cell r="C395" t="str">
            <v>9811541김　일　수</v>
          </cell>
          <cell r="D395" t="str">
            <v>FB30</v>
          </cell>
          <cell r="E395" t="str">
            <v>광산  지점</v>
          </cell>
          <cell r="F395" t="str">
            <v>7130</v>
          </cell>
          <cell r="G395" t="str">
            <v>7130</v>
          </cell>
          <cell r="H395" t="str">
            <v>19990101</v>
          </cell>
          <cell r="I395">
            <v>1243935</v>
          </cell>
        </row>
        <row r="396">
          <cell r="A396" t="str">
            <v>9811440</v>
          </cell>
          <cell r="B396" t="str">
            <v>김　정　호</v>
          </cell>
          <cell r="C396" t="str">
            <v>9811440김　정　호</v>
          </cell>
          <cell r="D396" t="str">
            <v>FB30</v>
          </cell>
          <cell r="E396" t="str">
            <v>광산  지점</v>
          </cell>
          <cell r="F396" t="str">
            <v>7130</v>
          </cell>
          <cell r="G396" t="str">
            <v>7130</v>
          </cell>
          <cell r="H396" t="str">
            <v>19900401</v>
          </cell>
          <cell r="I396">
            <v>15020567</v>
          </cell>
        </row>
        <row r="397">
          <cell r="A397" t="str">
            <v>9811372</v>
          </cell>
          <cell r="B397" t="str">
            <v>김　종　진</v>
          </cell>
          <cell r="C397" t="str">
            <v>9811372김　종　진</v>
          </cell>
          <cell r="D397" t="str">
            <v>FB30</v>
          </cell>
          <cell r="E397" t="str">
            <v>광산  지점</v>
          </cell>
          <cell r="F397" t="str">
            <v>7130</v>
          </cell>
          <cell r="G397" t="str">
            <v>7130</v>
          </cell>
          <cell r="H397" t="str">
            <v>19951001</v>
          </cell>
          <cell r="I397">
            <v>7247406</v>
          </cell>
        </row>
        <row r="398">
          <cell r="A398" t="str">
            <v>9811563</v>
          </cell>
          <cell r="B398" t="str">
            <v>김　창　홍</v>
          </cell>
          <cell r="C398" t="str">
            <v>9811563김　창　홍</v>
          </cell>
          <cell r="D398" t="str">
            <v>FB30</v>
          </cell>
          <cell r="E398" t="str">
            <v>광산  지점</v>
          </cell>
          <cell r="F398" t="str">
            <v>7130</v>
          </cell>
          <cell r="G398" t="str">
            <v>7130</v>
          </cell>
          <cell r="H398" t="str">
            <v>19990101</v>
          </cell>
          <cell r="I398">
            <v>901141</v>
          </cell>
        </row>
        <row r="399">
          <cell r="A399" t="str">
            <v>9811293</v>
          </cell>
          <cell r="B399" t="str">
            <v>김　천　욱</v>
          </cell>
          <cell r="C399" t="str">
            <v>9811293김　천　욱</v>
          </cell>
          <cell r="D399" t="str">
            <v>FB30</v>
          </cell>
          <cell r="E399" t="str">
            <v>광산  지점</v>
          </cell>
          <cell r="F399" t="str">
            <v>7130</v>
          </cell>
          <cell r="G399" t="str">
            <v>7130</v>
          </cell>
          <cell r="H399" t="str">
            <v>19980817</v>
          </cell>
          <cell r="I399">
            <v>2436037</v>
          </cell>
        </row>
        <row r="400">
          <cell r="A400" t="str">
            <v>9811203</v>
          </cell>
          <cell r="B400" t="str">
            <v>박　경　수</v>
          </cell>
          <cell r="C400" t="str">
            <v>9811203박　경　수</v>
          </cell>
          <cell r="D400" t="str">
            <v>FB30</v>
          </cell>
          <cell r="E400" t="str">
            <v>광산  지점</v>
          </cell>
          <cell r="F400" t="str">
            <v>7130</v>
          </cell>
          <cell r="G400" t="str">
            <v>7130</v>
          </cell>
          <cell r="H400" t="str">
            <v>19870701</v>
          </cell>
          <cell r="I400">
            <v>22411998</v>
          </cell>
        </row>
        <row r="401">
          <cell r="A401" t="str">
            <v>9811506</v>
          </cell>
          <cell r="B401" t="str">
            <v>박　덕　규</v>
          </cell>
          <cell r="C401" t="str">
            <v>9811506박　덕　규</v>
          </cell>
          <cell r="D401" t="str">
            <v>FB30</v>
          </cell>
          <cell r="E401" t="str">
            <v>광산  지점</v>
          </cell>
          <cell r="F401" t="str">
            <v>7130</v>
          </cell>
          <cell r="G401" t="e">
            <v>#N/A</v>
          </cell>
          <cell r="H401" t="str">
            <v>19960101</v>
          </cell>
          <cell r="I401">
            <v>7716508</v>
          </cell>
          <cell r="J401" t="str">
            <v>1 월</v>
          </cell>
          <cell r="K401">
            <v>7935576</v>
          </cell>
        </row>
        <row r="402">
          <cell r="A402" t="str">
            <v>9811146</v>
          </cell>
          <cell r="B402" t="str">
            <v>박　덕　순</v>
          </cell>
          <cell r="C402" t="str">
            <v>9811146박　덕　순</v>
          </cell>
          <cell r="D402" t="str">
            <v>FB30</v>
          </cell>
          <cell r="E402" t="str">
            <v>광산  지점</v>
          </cell>
          <cell r="F402" t="str">
            <v>7130</v>
          </cell>
          <cell r="G402" t="e">
            <v>#N/A</v>
          </cell>
          <cell r="H402" t="str">
            <v>19770102</v>
          </cell>
          <cell r="I402">
            <v>41085302</v>
          </cell>
          <cell r="J402" t="str">
            <v>11 월</v>
          </cell>
          <cell r="K402">
            <v>47951876</v>
          </cell>
        </row>
        <row r="403">
          <cell r="A403" t="str">
            <v>9810944</v>
          </cell>
          <cell r="B403" t="str">
            <v>박　동　덕</v>
          </cell>
          <cell r="C403" t="str">
            <v>9810944박　동　덕</v>
          </cell>
          <cell r="D403" t="str">
            <v>FB30</v>
          </cell>
          <cell r="E403" t="str">
            <v>광산  지점</v>
          </cell>
          <cell r="F403" t="str">
            <v>7130</v>
          </cell>
          <cell r="G403" t="str">
            <v>7130</v>
          </cell>
          <cell r="H403" t="str">
            <v>19741228</v>
          </cell>
          <cell r="I403">
            <v>62806521</v>
          </cell>
        </row>
        <row r="404">
          <cell r="A404" t="str">
            <v>9811247</v>
          </cell>
          <cell r="B404" t="str">
            <v>박　영　성</v>
          </cell>
          <cell r="C404" t="str">
            <v>9811247박　영　성</v>
          </cell>
          <cell r="D404" t="str">
            <v>FB30</v>
          </cell>
          <cell r="E404" t="str">
            <v>광산  지점</v>
          </cell>
          <cell r="F404" t="str">
            <v>7130</v>
          </cell>
          <cell r="G404" t="str">
            <v>7130</v>
          </cell>
          <cell r="H404" t="str">
            <v>19901015</v>
          </cell>
          <cell r="I404">
            <v>16829091</v>
          </cell>
        </row>
        <row r="405">
          <cell r="A405" t="str">
            <v>9811326</v>
          </cell>
          <cell r="B405" t="str">
            <v>박　용　대</v>
          </cell>
          <cell r="C405" t="str">
            <v>9811326박　용　대</v>
          </cell>
          <cell r="D405" t="str">
            <v>FB30</v>
          </cell>
          <cell r="E405" t="str">
            <v>광산  지점</v>
          </cell>
          <cell r="F405" t="str">
            <v>7130</v>
          </cell>
          <cell r="G405" t="str">
            <v>7130</v>
          </cell>
          <cell r="H405" t="str">
            <v>19940816</v>
          </cell>
          <cell r="I405">
            <v>9243222</v>
          </cell>
        </row>
        <row r="406">
          <cell r="A406" t="str">
            <v>9811315</v>
          </cell>
          <cell r="B406" t="str">
            <v>박　현　달</v>
          </cell>
          <cell r="C406" t="str">
            <v>9811315박　현　달</v>
          </cell>
          <cell r="D406" t="str">
            <v>FB30</v>
          </cell>
          <cell r="E406" t="str">
            <v>광산  지점</v>
          </cell>
          <cell r="F406" t="str">
            <v>7130</v>
          </cell>
          <cell r="G406" t="str">
            <v>7130</v>
          </cell>
          <cell r="H406" t="str">
            <v>19930801</v>
          </cell>
          <cell r="I406">
            <v>11736907</v>
          </cell>
        </row>
        <row r="407">
          <cell r="A407" t="str">
            <v>9811045</v>
          </cell>
          <cell r="B407" t="str">
            <v>배　병　조</v>
          </cell>
          <cell r="C407" t="str">
            <v>9811045배　병　조</v>
          </cell>
          <cell r="D407" t="str">
            <v>FB30</v>
          </cell>
          <cell r="E407" t="str">
            <v>광산  지점</v>
          </cell>
          <cell r="F407" t="str">
            <v>7130</v>
          </cell>
          <cell r="G407" t="str">
            <v>7130</v>
          </cell>
          <cell r="H407" t="str">
            <v>19810319</v>
          </cell>
          <cell r="I407">
            <v>38681553</v>
          </cell>
        </row>
        <row r="408">
          <cell r="A408" t="str">
            <v>9811530</v>
          </cell>
          <cell r="B408" t="str">
            <v>배　태　동</v>
          </cell>
          <cell r="C408" t="str">
            <v>9811530배　태　동</v>
          </cell>
          <cell r="D408" t="str">
            <v>FB30</v>
          </cell>
          <cell r="E408" t="str">
            <v>광산  지점</v>
          </cell>
          <cell r="F408" t="str">
            <v>7130</v>
          </cell>
          <cell r="G408" t="str">
            <v>7130</v>
          </cell>
          <cell r="H408" t="str">
            <v>19750602</v>
          </cell>
          <cell r="I408">
            <v>54172200</v>
          </cell>
        </row>
        <row r="409">
          <cell r="A409" t="str">
            <v>9811271</v>
          </cell>
          <cell r="B409" t="str">
            <v>서　정　광</v>
          </cell>
          <cell r="C409" t="str">
            <v>9811271서　정　광</v>
          </cell>
          <cell r="D409" t="str">
            <v>FB30</v>
          </cell>
          <cell r="E409" t="str">
            <v>광산  지점</v>
          </cell>
          <cell r="F409" t="str">
            <v>7130</v>
          </cell>
          <cell r="G409" t="str">
            <v>7130</v>
          </cell>
          <cell r="H409" t="str">
            <v>19820127</v>
          </cell>
          <cell r="I409">
            <v>35365974</v>
          </cell>
        </row>
        <row r="410">
          <cell r="A410" t="str">
            <v>9811023</v>
          </cell>
          <cell r="B410" t="str">
            <v>신　명　인</v>
          </cell>
          <cell r="C410" t="str">
            <v>9811023신　명　인</v>
          </cell>
          <cell r="D410" t="str">
            <v>FB30</v>
          </cell>
          <cell r="E410" t="str">
            <v>광산  지점</v>
          </cell>
          <cell r="F410" t="str">
            <v>7130</v>
          </cell>
          <cell r="G410" t="str">
            <v>7130</v>
          </cell>
          <cell r="H410" t="str">
            <v>19800123</v>
          </cell>
          <cell r="I410">
            <v>37411862</v>
          </cell>
        </row>
        <row r="411">
          <cell r="A411" t="str">
            <v>9811168</v>
          </cell>
          <cell r="B411" t="str">
            <v>안　경　태</v>
          </cell>
          <cell r="C411" t="str">
            <v>9811168안　경　태</v>
          </cell>
          <cell r="D411" t="str">
            <v>FB30</v>
          </cell>
          <cell r="E411" t="str">
            <v>광산  지점</v>
          </cell>
          <cell r="F411" t="str">
            <v>7130</v>
          </cell>
          <cell r="G411" t="str">
            <v>7130</v>
          </cell>
          <cell r="H411" t="str">
            <v>19810616</v>
          </cell>
          <cell r="I411">
            <v>33965867</v>
          </cell>
        </row>
        <row r="412">
          <cell r="A412" t="str">
            <v>9811438</v>
          </cell>
          <cell r="B412" t="str">
            <v>안　광　록</v>
          </cell>
          <cell r="C412" t="str">
            <v>9811438안　광　록</v>
          </cell>
          <cell r="D412" t="str">
            <v>FB30</v>
          </cell>
          <cell r="E412" t="str">
            <v>광산  지점</v>
          </cell>
          <cell r="F412" t="str">
            <v>7130</v>
          </cell>
          <cell r="G412" t="str">
            <v>7130</v>
          </cell>
          <cell r="H412" t="str">
            <v>19920106</v>
          </cell>
          <cell r="I412">
            <v>15517269</v>
          </cell>
        </row>
        <row r="413">
          <cell r="A413" t="str">
            <v>9811517</v>
          </cell>
          <cell r="B413" t="str">
            <v>안　동　광</v>
          </cell>
          <cell r="C413" t="str">
            <v>9811517안　동　광</v>
          </cell>
          <cell r="D413" t="str">
            <v>FB30</v>
          </cell>
          <cell r="E413" t="str">
            <v>광산  지점</v>
          </cell>
          <cell r="F413" t="str">
            <v>7130</v>
          </cell>
          <cell r="G413" t="str">
            <v>7130</v>
          </cell>
          <cell r="H413" t="str">
            <v>19950601</v>
          </cell>
          <cell r="I413">
            <v>6740375</v>
          </cell>
        </row>
        <row r="414">
          <cell r="A414" t="str">
            <v>9811102</v>
          </cell>
          <cell r="B414" t="str">
            <v>안　상　윤</v>
          </cell>
          <cell r="C414" t="str">
            <v>9811102안　상　윤</v>
          </cell>
          <cell r="D414" t="str">
            <v>FB30</v>
          </cell>
          <cell r="E414" t="str">
            <v>광산  지점</v>
          </cell>
          <cell r="F414" t="str">
            <v>7130</v>
          </cell>
          <cell r="G414" t="str">
            <v>7130</v>
          </cell>
          <cell r="H414" t="str">
            <v>19910722</v>
          </cell>
          <cell r="I414">
            <v>17037595</v>
          </cell>
        </row>
        <row r="415">
          <cell r="A415" t="str">
            <v>9810955</v>
          </cell>
          <cell r="B415" t="str">
            <v>엄　길　봉</v>
          </cell>
          <cell r="C415" t="str">
            <v>9810955엄　길　봉</v>
          </cell>
          <cell r="D415" t="str">
            <v>FB30</v>
          </cell>
          <cell r="E415" t="str">
            <v>광산  지점</v>
          </cell>
          <cell r="F415" t="str">
            <v>7130</v>
          </cell>
          <cell r="G415" t="str">
            <v>7130</v>
          </cell>
          <cell r="H415" t="str">
            <v>19760901</v>
          </cell>
          <cell r="I415">
            <v>60221673</v>
          </cell>
        </row>
        <row r="416">
          <cell r="A416" t="str">
            <v>9811192</v>
          </cell>
          <cell r="B416" t="str">
            <v>윤　영　수</v>
          </cell>
          <cell r="C416" t="str">
            <v>9811192윤　영　수</v>
          </cell>
          <cell r="D416" t="str">
            <v>FB30</v>
          </cell>
          <cell r="E416" t="str">
            <v>광산  지점</v>
          </cell>
          <cell r="F416" t="str">
            <v>7130</v>
          </cell>
          <cell r="G416" t="str">
            <v>7130</v>
          </cell>
          <cell r="H416" t="str">
            <v>19921014</v>
          </cell>
          <cell r="I416">
            <v>12200774</v>
          </cell>
        </row>
        <row r="417">
          <cell r="A417" t="str">
            <v>9811225</v>
          </cell>
          <cell r="B417" t="str">
            <v>이　강　수</v>
          </cell>
          <cell r="C417" t="str">
            <v>9811225이　강　수</v>
          </cell>
          <cell r="D417" t="str">
            <v>FB30</v>
          </cell>
          <cell r="E417" t="str">
            <v>광산  지점</v>
          </cell>
          <cell r="F417" t="str">
            <v>7130</v>
          </cell>
          <cell r="G417" t="str">
            <v>7130</v>
          </cell>
          <cell r="H417" t="str">
            <v>19930420</v>
          </cell>
          <cell r="I417">
            <v>12310261</v>
          </cell>
        </row>
        <row r="418">
          <cell r="A418" t="str">
            <v>9810270</v>
          </cell>
          <cell r="B418" t="str">
            <v>이　동　환</v>
          </cell>
          <cell r="C418" t="str">
            <v>9810270이　동　환</v>
          </cell>
          <cell r="D418" t="str">
            <v>FB30</v>
          </cell>
          <cell r="E418" t="str">
            <v>광산  지점</v>
          </cell>
          <cell r="F418" t="str">
            <v>7130</v>
          </cell>
          <cell r="G418" t="str">
            <v>7130</v>
          </cell>
          <cell r="H418" t="str">
            <v>19820501</v>
          </cell>
          <cell r="I418">
            <v>45242689</v>
          </cell>
        </row>
        <row r="419">
          <cell r="A419" t="str">
            <v>9810990</v>
          </cell>
          <cell r="B419" t="str">
            <v>이　상　암</v>
          </cell>
          <cell r="C419" t="str">
            <v>9810990이　상　암</v>
          </cell>
          <cell r="D419" t="str">
            <v>FB30</v>
          </cell>
          <cell r="E419" t="str">
            <v>광산  지점</v>
          </cell>
          <cell r="F419" t="str">
            <v>7130</v>
          </cell>
          <cell r="G419" t="str">
            <v>7130</v>
          </cell>
          <cell r="H419" t="str">
            <v>19790113</v>
          </cell>
          <cell r="I419">
            <v>40899809</v>
          </cell>
        </row>
        <row r="420">
          <cell r="A420" t="str">
            <v>9811528</v>
          </cell>
          <cell r="B420" t="str">
            <v>이　수　암</v>
          </cell>
          <cell r="C420" t="str">
            <v>9811528이　수　암</v>
          </cell>
          <cell r="D420" t="str">
            <v>FB30</v>
          </cell>
          <cell r="E420" t="str">
            <v>광산  지점</v>
          </cell>
          <cell r="F420" t="str">
            <v>7130</v>
          </cell>
          <cell r="G420" t="str">
            <v>7130</v>
          </cell>
          <cell r="H420" t="str">
            <v>19950802</v>
          </cell>
          <cell r="I420">
            <v>7813627</v>
          </cell>
        </row>
        <row r="421">
          <cell r="A421" t="str">
            <v>9811214</v>
          </cell>
          <cell r="B421" t="str">
            <v>이　영　섭</v>
          </cell>
          <cell r="C421" t="str">
            <v>9811214이　영　섭</v>
          </cell>
          <cell r="D421" t="str">
            <v>FB30</v>
          </cell>
          <cell r="E421" t="str">
            <v>광산  지점</v>
          </cell>
          <cell r="F421" t="str">
            <v>7130</v>
          </cell>
          <cell r="G421" t="str">
            <v>7130</v>
          </cell>
          <cell r="H421" t="str">
            <v>19911001</v>
          </cell>
          <cell r="I421">
            <v>15251362</v>
          </cell>
        </row>
        <row r="422">
          <cell r="A422" t="str">
            <v>9811080</v>
          </cell>
          <cell r="B422" t="str">
            <v>이　윤　호</v>
          </cell>
          <cell r="C422" t="str">
            <v>9811080이　윤　호</v>
          </cell>
          <cell r="D422" t="str">
            <v>FB30</v>
          </cell>
          <cell r="E422" t="str">
            <v>광산  지점</v>
          </cell>
          <cell r="F422" t="str">
            <v>7130</v>
          </cell>
          <cell r="G422" t="str">
            <v>7130</v>
          </cell>
          <cell r="H422" t="str">
            <v>19790702</v>
          </cell>
          <cell r="I422">
            <v>47341109</v>
          </cell>
        </row>
        <row r="423">
          <cell r="A423" t="str">
            <v>9811405</v>
          </cell>
          <cell r="B423" t="str">
            <v>이　창　백</v>
          </cell>
          <cell r="C423" t="str">
            <v>9811405이　창　백</v>
          </cell>
          <cell r="D423" t="str">
            <v>FB30</v>
          </cell>
          <cell r="E423" t="str">
            <v>광산  지점</v>
          </cell>
          <cell r="F423" t="str">
            <v>7130</v>
          </cell>
          <cell r="G423" t="str">
            <v>7130</v>
          </cell>
          <cell r="H423" t="str">
            <v>19891016</v>
          </cell>
          <cell r="I423">
            <v>15782201</v>
          </cell>
        </row>
        <row r="424">
          <cell r="A424" t="str">
            <v>9811091</v>
          </cell>
          <cell r="B424" t="str">
            <v>이　철　군</v>
          </cell>
          <cell r="C424" t="str">
            <v>9811091이　철　군</v>
          </cell>
          <cell r="D424" t="str">
            <v>FB30</v>
          </cell>
          <cell r="E424" t="str">
            <v>광산  지점</v>
          </cell>
          <cell r="F424" t="str">
            <v>7130</v>
          </cell>
          <cell r="G424" t="str">
            <v>7130</v>
          </cell>
          <cell r="H424" t="str">
            <v>19840701</v>
          </cell>
          <cell r="I424">
            <v>32284187</v>
          </cell>
        </row>
        <row r="425">
          <cell r="A425" t="str">
            <v>9811348</v>
          </cell>
          <cell r="B425" t="str">
            <v>이　칠　성</v>
          </cell>
          <cell r="C425" t="str">
            <v>9811348이　칠　성</v>
          </cell>
          <cell r="D425" t="str">
            <v>FB30</v>
          </cell>
          <cell r="E425" t="str">
            <v>광산  지점</v>
          </cell>
          <cell r="F425" t="str">
            <v>7130</v>
          </cell>
          <cell r="G425" t="str">
            <v>7130</v>
          </cell>
          <cell r="H425" t="str">
            <v>19870101</v>
          </cell>
          <cell r="I425">
            <v>20469800</v>
          </cell>
        </row>
        <row r="426">
          <cell r="A426" t="str">
            <v>9811350</v>
          </cell>
          <cell r="B426" t="str">
            <v>장　만　수</v>
          </cell>
          <cell r="C426" t="str">
            <v>9811350장　만　수</v>
          </cell>
          <cell r="D426" t="str">
            <v>FB30</v>
          </cell>
          <cell r="E426" t="str">
            <v>광산  지점</v>
          </cell>
          <cell r="F426" t="str">
            <v>7130</v>
          </cell>
          <cell r="G426" t="str">
            <v>7130</v>
          </cell>
          <cell r="H426" t="str">
            <v>19890201</v>
          </cell>
          <cell r="I426">
            <v>22518387</v>
          </cell>
        </row>
        <row r="427">
          <cell r="A427" t="str">
            <v>9811170</v>
          </cell>
          <cell r="B427" t="str">
            <v>장　상　용</v>
          </cell>
          <cell r="C427" t="str">
            <v>9811170장　상　용</v>
          </cell>
          <cell r="D427" t="str">
            <v>FB30</v>
          </cell>
          <cell r="E427" t="str">
            <v>광산  지점</v>
          </cell>
          <cell r="F427" t="str">
            <v>7130</v>
          </cell>
          <cell r="G427" t="str">
            <v>7130</v>
          </cell>
          <cell r="H427" t="str">
            <v>19910607</v>
          </cell>
          <cell r="I427">
            <v>15040436</v>
          </cell>
        </row>
        <row r="428">
          <cell r="A428" t="str">
            <v>9811383</v>
          </cell>
          <cell r="B428" t="str">
            <v>장　상　필</v>
          </cell>
          <cell r="C428" t="str">
            <v>9811383장　상　필</v>
          </cell>
          <cell r="D428" t="str">
            <v>FB30</v>
          </cell>
          <cell r="E428" t="str">
            <v>광산  지점</v>
          </cell>
          <cell r="F428" t="str">
            <v>7130</v>
          </cell>
          <cell r="G428" t="str">
            <v>7130</v>
          </cell>
          <cell r="H428" t="str">
            <v>19890801</v>
          </cell>
          <cell r="I428">
            <v>19915838</v>
          </cell>
        </row>
        <row r="429">
          <cell r="A429" t="str">
            <v>9810966</v>
          </cell>
          <cell r="B429" t="str">
            <v>장　석　홍</v>
          </cell>
          <cell r="C429" t="str">
            <v>9810966장　석　홍</v>
          </cell>
          <cell r="D429" t="str">
            <v>FB30</v>
          </cell>
          <cell r="E429" t="str">
            <v>광산  지점</v>
          </cell>
          <cell r="F429" t="str">
            <v>7130</v>
          </cell>
          <cell r="G429" t="str">
            <v>7130</v>
          </cell>
          <cell r="H429" t="str">
            <v>19790813</v>
          </cell>
          <cell r="I429">
            <v>46706705</v>
          </cell>
        </row>
        <row r="430">
          <cell r="A430" t="str">
            <v>9811181</v>
          </cell>
          <cell r="B430" t="str">
            <v>장　재　구</v>
          </cell>
          <cell r="C430" t="str">
            <v>9811181장　재　구</v>
          </cell>
          <cell r="D430" t="str">
            <v>FB30</v>
          </cell>
          <cell r="E430" t="str">
            <v>광산  지점</v>
          </cell>
          <cell r="F430" t="str">
            <v>7130</v>
          </cell>
          <cell r="G430" t="str">
            <v>7130</v>
          </cell>
          <cell r="H430" t="str">
            <v>19810527</v>
          </cell>
          <cell r="I430">
            <v>35498472</v>
          </cell>
        </row>
        <row r="431">
          <cell r="A431" t="str">
            <v>9811337</v>
          </cell>
          <cell r="B431" t="str">
            <v>전　성　범</v>
          </cell>
          <cell r="C431" t="str">
            <v>9811337전　성　범</v>
          </cell>
          <cell r="D431" t="str">
            <v>FB30</v>
          </cell>
          <cell r="E431" t="str">
            <v>광산  지점</v>
          </cell>
          <cell r="F431" t="str">
            <v>7130</v>
          </cell>
          <cell r="G431" t="str">
            <v>7130</v>
          </cell>
          <cell r="H431" t="str">
            <v>19870101</v>
          </cell>
          <cell r="I431">
            <v>25032215</v>
          </cell>
        </row>
        <row r="432">
          <cell r="A432" t="str">
            <v>9811451</v>
          </cell>
          <cell r="B432" t="str">
            <v>전　성　철</v>
          </cell>
          <cell r="C432" t="str">
            <v>9811451전　성　철</v>
          </cell>
          <cell r="D432" t="str">
            <v>FB30</v>
          </cell>
          <cell r="E432" t="str">
            <v>광산  지점</v>
          </cell>
          <cell r="F432" t="str">
            <v>7130</v>
          </cell>
          <cell r="G432" t="str">
            <v>7130</v>
          </cell>
          <cell r="H432" t="str">
            <v>19900501</v>
          </cell>
          <cell r="I432">
            <v>17411951</v>
          </cell>
        </row>
        <row r="433">
          <cell r="A433" t="str">
            <v>9811282</v>
          </cell>
          <cell r="B433" t="str">
            <v>정　기　영</v>
          </cell>
          <cell r="C433" t="str">
            <v>9811282정　기　영</v>
          </cell>
          <cell r="D433" t="str">
            <v>FB30</v>
          </cell>
          <cell r="E433" t="str">
            <v>광산  지점</v>
          </cell>
          <cell r="F433" t="str">
            <v>7130</v>
          </cell>
          <cell r="G433" t="str">
            <v>7130</v>
          </cell>
          <cell r="H433" t="str">
            <v>19850101</v>
          </cell>
          <cell r="I433">
            <v>27308865</v>
          </cell>
        </row>
        <row r="434">
          <cell r="A434" t="str">
            <v>9811012</v>
          </cell>
          <cell r="B434" t="str">
            <v>정　기　호</v>
          </cell>
          <cell r="C434" t="str">
            <v>9811012정　기　호</v>
          </cell>
          <cell r="D434" t="str">
            <v>FB30</v>
          </cell>
          <cell r="E434" t="str">
            <v>광산  지점</v>
          </cell>
          <cell r="F434" t="str">
            <v>7130</v>
          </cell>
          <cell r="G434" t="str">
            <v>7130</v>
          </cell>
          <cell r="H434" t="str">
            <v>19760203</v>
          </cell>
          <cell r="I434">
            <v>45352328</v>
          </cell>
        </row>
        <row r="435">
          <cell r="A435" t="str">
            <v>9810988</v>
          </cell>
          <cell r="B435" t="str">
            <v>정　명　용</v>
          </cell>
          <cell r="C435" t="str">
            <v>9810988정　명　용</v>
          </cell>
          <cell r="D435" t="str">
            <v>FB30</v>
          </cell>
          <cell r="E435" t="str">
            <v>광산  지점</v>
          </cell>
          <cell r="F435" t="str">
            <v>7130</v>
          </cell>
          <cell r="G435" t="str">
            <v>7130</v>
          </cell>
          <cell r="H435" t="str">
            <v>19760816</v>
          </cell>
          <cell r="I435">
            <v>45454616</v>
          </cell>
        </row>
        <row r="436">
          <cell r="A436" t="str">
            <v>9811236</v>
          </cell>
          <cell r="B436" t="str">
            <v>정　태　길</v>
          </cell>
          <cell r="C436" t="str">
            <v>9811236정　태　길</v>
          </cell>
          <cell r="D436" t="str">
            <v>FB30</v>
          </cell>
          <cell r="E436" t="str">
            <v>광산  지점</v>
          </cell>
          <cell r="F436" t="str">
            <v>7130</v>
          </cell>
          <cell r="G436" t="str">
            <v>7130</v>
          </cell>
          <cell r="H436" t="str">
            <v>19891016</v>
          </cell>
          <cell r="I436">
            <v>17586437</v>
          </cell>
        </row>
        <row r="437">
          <cell r="A437" t="str">
            <v>9810977</v>
          </cell>
          <cell r="B437" t="str">
            <v>최　경　진</v>
          </cell>
          <cell r="C437" t="str">
            <v>9810977최　경　진</v>
          </cell>
          <cell r="D437" t="str">
            <v>FB30</v>
          </cell>
          <cell r="E437" t="str">
            <v>광산  지점</v>
          </cell>
          <cell r="F437" t="str">
            <v>7130</v>
          </cell>
          <cell r="G437" t="str">
            <v>7130</v>
          </cell>
          <cell r="H437" t="str">
            <v>19820701</v>
          </cell>
          <cell r="I437">
            <v>36694422</v>
          </cell>
        </row>
        <row r="438">
          <cell r="A438" t="str">
            <v>9811462</v>
          </cell>
          <cell r="B438" t="str">
            <v>최　동　한</v>
          </cell>
          <cell r="C438" t="str">
            <v>9811462최　동　한</v>
          </cell>
          <cell r="D438" t="str">
            <v>FB30</v>
          </cell>
          <cell r="E438" t="str">
            <v>광산  지점</v>
          </cell>
          <cell r="F438" t="str">
            <v>7130</v>
          </cell>
          <cell r="G438" t="str">
            <v>7130</v>
          </cell>
          <cell r="H438" t="str">
            <v>19920106</v>
          </cell>
          <cell r="I438">
            <v>16173215</v>
          </cell>
        </row>
        <row r="439">
          <cell r="A439" t="str">
            <v>9811124</v>
          </cell>
          <cell r="B439" t="str">
            <v>최　상　출</v>
          </cell>
          <cell r="C439" t="str">
            <v>9811124최　상　출</v>
          </cell>
          <cell r="D439" t="str">
            <v>FB30</v>
          </cell>
          <cell r="E439" t="str">
            <v>광산  지점</v>
          </cell>
          <cell r="F439" t="str">
            <v>7130</v>
          </cell>
          <cell r="G439" t="e">
            <v>#N/A</v>
          </cell>
          <cell r="H439" t="str">
            <v>19751207</v>
          </cell>
          <cell r="I439">
            <v>49087862</v>
          </cell>
          <cell r="J439" t="str">
            <v>3 월</v>
          </cell>
          <cell r="K439">
            <v>51635566</v>
          </cell>
        </row>
        <row r="440">
          <cell r="A440" t="str">
            <v>9811001</v>
          </cell>
          <cell r="B440" t="str">
            <v>최　선　균</v>
          </cell>
          <cell r="C440" t="str">
            <v>9811001최　선　균</v>
          </cell>
          <cell r="D440" t="str">
            <v>FB30</v>
          </cell>
          <cell r="E440" t="str">
            <v>광산  지점</v>
          </cell>
          <cell r="F440" t="str">
            <v>7130</v>
          </cell>
          <cell r="G440" t="str">
            <v>7130</v>
          </cell>
          <cell r="H440" t="str">
            <v>19790524</v>
          </cell>
          <cell r="I440">
            <v>40134469</v>
          </cell>
        </row>
        <row r="441">
          <cell r="A441" t="str">
            <v>9810865</v>
          </cell>
          <cell r="B441" t="str">
            <v>최　영　욱</v>
          </cell>
          <cell r="C441" t="str">
            <v>9810865최　영　욱</v>
          </cell>
          <cell r="D441" t="str">
            <v>FB30</v>
          </cell>
          <cell r="E441" t="str">
            <v>광산  지점</v>
          </cell>
          <cell r="F441" t="str">
            <v>7130</v>
          </cell>
          <cell r="G441" t="str">
            <v>7130</v>
          </cell>
          <cell r="H441" t="str">
            <v>19901120</v>
          </cell>
          <cell r="I441">
            <v>16633999</v>
          </cell>
        </row>
        <row r="442">
          <cell r="A442" t="str">
            <v>9811067</v>
          </cell>
          <cell r="B442" t="str">
            <v>황　대　수</v>
          </cell>
          <cell r="C442" t="str">
            <v>9811067황　대　수</v>
          </cell>
          <cell r="D442" t="str">
            <v>FB30</v>
          </cell>
          <cell r="E442" t="str">
            <v>광산  지점</v>
          </cell>
          <cell r="F442" t="str">
            <v>7130</v>
          </cell>
          <cell r="G442" t="str">
            <v>7130</v>
          </cell>
          <cell r="H442" t="str">
            <v>19841220</v>
          </cell>
          <cell r="I442">
            <v>32440105</v>
          </cell>
        </row>
        <row r="443">
          <cell r="A443" t="str">
            <v>9811416</v>
          </cell>
          <cell r="B443" t="str">
            <v>황　영　탁</v>
          </cell>
          <cell r="C443" t="str">
            <v>9811416황　영　탁</v>
          </cell>
          <cell r="D443" t="str">
            <v>FB30</v>
          </cell>
          <cell r="E443" t="str">
            <v>광산  지점</v>
          </cell>
          <cell r="F443" t="str">
            <v>7130</v>
          </cell>
          <cell r="G443" t="str">
            <v>7130</v>
          </cell>
          <cell r="H443" t="str">
            <v>19870716</v>
          </cell>
          <cell r="I443">
            <v>23649115</v>
          </cell>
        </row>
        <row r="444">
          <cell r="A444" t="str">
            <v>9811258</v>
          </cell>
          <cell r="B444" t="str">
            <v>황　은　섭</v>
          </cell>
          <cell r="C444" t="str">
            <v>9811258황　은　섭</v>
          </cell>
          <cell r="D444" t="str">
            <v>FB30</v>
          </cell>
          <cell r="E444" t="str">
            <v>광산  지점</v>
          </cell>
          <cell r="F444" t="str">
            <v>7130</v>
          </cell>
          <cell r="G444" t="str">
            <v>7130</v>
          </cell>
          <cell r="H444" t="str">
            <v>19910723</v>
          </cell>
          <cell r="I444">
            <v>15270316</v>
          </cell>
        </row>
        <row r="445">
          <cell r="A445" t="str">
            <v>9811473</v>
          </cell>
          <cell r="B445" t="str">
            <v>황　일　섭</v>
          </cell>
          <cell r="C445" t="str">
            <v>9811473황　일　섭</v>
          </cell>
          <cell r="D445" t="str">
            <v>FB30</v>
          </cell>
          <cell r="E445" t="str">
            <v>광산  지점</v>
          </cell>
          <cell r="F445" t="str">
            <v>7130</v>
          </cell>
          <cell r="G445" t="str">
            <v>7130</v>
          </cell>
          <cell r="H445" t="str">
            <v>19920201</v>
          </cell>
          <cell r="I445">
            <v>14270293</v>
          </cell>
        </row>
        <row r="446">
          <cell r="A446" t="str">
            <v>9811607</v>
          </cell>
          <cell r="B446" t="str">
            <v>곽　동　만</v>
          </cell>
          <cell r="C446" t="str">
            <v>9811607곽　동　만</v>
          </cell>
          <cell r="D446" t="str">
            <v>FB40</v>
          </cell>
          <cell r="E446" t="str">
            <v>광산  지점</v>
          </cell>
          <cell r="F446" t="str">
            <v>7130</v>
          </cell>
          <cell r="G446" t="str">
            <v>7130</v>
          </cell>
          <cell r="H446" t="str">
            <v>19960830</v>
          </cell>
          <cell r="I446">
            <v>4983029</v>
          </cell>
        </row>
        <row r="447">
          <cell r="A447" t="str">
            <v>9811585</v>
          </cell>
          <cell r="B447" t="str">
            <v>김　기　현</v>
          </cell>
          <cell r="C447" t="str">
            <v>9811585김　기　현</v>
          </cell>
          <cell r="D447" t="str">
            <v>FB40</v>
          </cell>
          <cell r="E447" t="str">
            <v>광산  지점</v>
          </cell>
          <cell r="F447" t="str">
            <v>7130</v>
          </cell>
          <cell r="G447" t="str">
            <v>7130</v>
          </cell>
          <cell r="H447" t="str">
            <v>19960320</v>
          </cell>
          <cell r="I447">
            <v>6963001</v>
          </cell>
        </row>
        <row r="448">
          <cell r="A448" t="str">
            <v>9811642</v>
          </cell>
          <cell r="B448" t="str">
            <v>김　석　준</v>
          </cell>
          <cell r="C448" t="str">
            <v>9811642김　석　준</v>
          </cell>
          <cell r="D448" t="str">
            <v>FB40</v>
          </cell>
          <cell r="E448" t="str">
            <v>광산  지점</v>
          </cell>
          <cell r="F448" t="str">
            <v>7130</v>
          </cell>
          <cell r="G448" t="str">
            <v>7130</v>
          </cell>
          <cell r="H448" t="str">
            <v>19891016</v>
          </cell>
          <cell r="I448">
            <v>16103273</v>
          </cell>
        </row>
        <row r="449">
          <cell r="A449" t="str">
            <v>9811596</v>
          </cell>
          <cell r="B449" t="str">
            <v>김　정　수</v>
          </cell>
          <cell r="C449" t="str">
            <v>9811596김　정　수</v>
          </cell>
          <cell r="D449" t="str">
            <v>FB40</v>
          </cell>
          <cell r="E449" t="str">
            <v>광산  지점</v>
          </cell>
          <cell r="F449" t="str">
            <v>7130</v>
          </cell>
          <cell r="G449" t="str">
            <v>7130</v>
          </cell>
          <cell r="H449" t="str">
            <v>19910122</v>
          </cell>
          <cell r="I449">
            <v>14862268</v>
          </cell>
        </row>
        <row r="450">
          <cell r="A450" t="str">
            <v>9811574</v>
          </cell>
          <cell r="B450" t="str">
            <v>문　제　학</v>
          </cell>
          <cell r="C450" t="str">
            <v>9811574문　제　학</v>
          </cell>
          <cell r="D450" t="str">
            <v>FB40</v>
          </cell>
          <cell r="E450" t="str">
            <v>광산  지점</v>
          </cell>
          <cell r="F450" t="str">
            <v>7130</v>
          </cell>
          <cell r="G450" t="str">
            <v>7130</v>
          </cell>
          <cell r="H450" t="str">
            <v>19800701</v>
          </cell>
          <cell r="I450">
            <v>44659512</v>
          </cell>
        </row>
        <row r="451">
          <cell r="A451" t="str">
            <v>9810281</v>
          </cell>
          <cell r="B451" t="str">
            <v>석　용　환</v>
          </cell>
          <cell r="C451" t="str">
            <v>9810281석　용　환</v>
          </cell>
          <cell r="D451" t="str">
            <v>FB40</v>
          </cell>
          <cell r="E451" t="str">
            <v>광산  지점</v>
          </cell>
          <cell r="F451" t="str">
            <v>7130</v>
          </cell>
          <cell r="G451" t="str">
            <v>7130</v>
          </cell>
          <cell r="H451" t="str">
            <v>19950828</v>
          </cell>
          <cell r="I451">
            <v>11092569</v>
          </cell>
        </row>
        <row r="452">
          <cell r="A452" t="str">
            <v>9811653</v>
          </cell>
          <cell r="B452" t="str">
            <v>이　봉　근</v>
          </cell>
          <cell r="C452" t="str">
            <v>9811653이　봉　근</v>
          </cell>
          <cell r="D452" t="str">
            <v>FB40</v>
          </cell>
          <cell r="E452" t="str">
            <v>광산  지점</v>
          </cell>
          <cell r="F452" t="str">
            <v>7130</v>
          </cell>
          <cell r="G452" t="e">
            <v>#N/A</v>
          </cell>
          <cell r="H452" t="str">
            <v>19981101</v>
          </cell>
          <cell r="I452">
            <v>3228975</v>
          </cell>
          <cell r="J452" t="str">
            <v>4 월</v>
          </cell>
          <cell r="K452">
            <v>9900000</v>
          </cell>
        </row>
        <row r="453">
          <cell r="A453" t="str">
            <v>9811631</v>
          </cell>
          <cell r="B453" t="str">
            <v>임　우　용</v>
          </cell>
          <cell r="C453" t="str">
            <v>9811631임　우　용</v>
          </cell>
          <cell r="D453" t="str">
            <v>FB40</v>
          </cell>
          <cell r="E453" t="str">
            <v>광산  지점</v>
          </cell>
          <cell r="F453" t="str">
            <v>7130</v>
          </cell>
          <cell r="G453" t="str">
            <v>7130</v>
          </cell>
          <cell r="H453" t="str">
            <v>19890201</v>
          </cell>
          <cell r="I453">
            <v>20103006</v>
          </cell>
        </row>
        <row r="454">
          <cell r="A454" t="str">
            <v>9811618</v>
          </cell>
          <cell r="B454" t="str">
            <v>주　승　규</v>
          </cell>
          <cell r="C454" t="str">
            <v>9811618주　승　규</v>
          </cell>
          <cell r="D454" t="str">
            <v>FB40</v>
          </cell>
          <cell r="E454" t="str">
            <v>광산  지점</v>
          </cell>
          <cell r="F454" t="str">
            <v>7130</v>
          </cell>
          <cell r="G454" t="str">
            <v>7130</v>
          </cell>
          <cell r="H454" t="str">
            <v>19960830</v>
          </cell>
          <cell r="I454">
            <v>4999049</v>
          </cell>
        </row>
        <row r="455">
          <cell r="A455" t="str">
            <v>9811620</v>
          </cell>
          <cell r="B455" t="str">
            <v>주　호　규</v>
          </cell>
          <cell r="C455" t="str">
            <v>9811620주　호　규</v>
          </cell>
          <cell r="D455" t="str">
            <v>FB40</v>
          </cell>
          <cell r="E455" t="str">
            <v>광산  지점</v>
          </cell>
          <cell r="F455" t="str">
            <v>7130</v>
          </cell>
          <cell r="G455" t="str">
            <v>7130</v>
          </cell>
          <cell r="H455" t="str">
            <v>19960830</v>
          </cell>
          <cell r="I455">
            <v>4983026</v>
          </cell>
        </row>
        <row r="456">
          <cell r="A456" t="str">
            <v>9811664</v>
          </cell>
          <cell r="B456" t="str">
            <v>홍　순　길</v>
          </cell>
          <cell r="C456" t="str">
            <v>9811664홍　순　길</v>
          </cell>
          <cell r="D456" t="str">
            <v>FB40</v>
          </cell>
          <cell r="E456" t="str">
            <v>광산  지점</v>
          </cell>
          <cell r="F456" t="str">
            <v>7130</v>
          </cell>
          <cell r="G456" t="str">
            <v>7130</v>
          </cell>
          <cell r="H456" t="str">
            <v>19990101</v>
          </cell>
          <cell r="I456">
            <v>1112983</v>
          </cell>
        </row>
        <row r="457">
          <cell r="A457" t="str">
            <v>9810292</v>
          </cell>
          <cell r="B457" t="str">
            <v>김　기　철</v>
          </cell>
          <cell r="C457" t="str">
            <v>9810292김　기　철</v>
          </cell>
          <cell r="D457" t="str">
            <v>FB50</v>
          </cell>
          <cell r="E457" t="str">
            <v>광산  지점</v>
          </cell>
          <cell r="F457" t="str">
            <v>7130</v>
          </cell>
          <cell r="G457" t="str">
            <v>7130</v>
          </cell>
          <cell r="H457" t="str">
            <v>19820501</v>
          </cell>
          <cell r="I457">
            <v>43507961</v>
          </cell>
        </row>
        <row r="458">
          <cell r="A458" t="str">
            <v>9811675</v>
          </cell>
          <cell r="B458" t="str">
            <v>김　명　성</v>
          </cell>
          <cell r="C458" t="str">
            <v>9811675김　명　성</v>
          </cell>
          <cell r="D458" t="str">
            <v>FB50</v>
          </cell>
          <cell r="E458" t="str">
            <v>광산  지점</v>
          </cell>
          <cell r="F458" t="str">
            <v>7130</v>
          </cell>
          <cell r="G458" t="str">
            <v>7130</v>
          </cell>
          <cell r="H458" t="str">
            <v>19930625</v>
          </cell>
          <cell r="I458">
            <v>12089548</v>
          </cell>
        </row>
        <row r="459">
          <cell r="A459" t="str">
            <v>8500263</v>
          </cell>
          <cell r="B459" t="str">
            <v>김　영　호</v>
          </cell>
          <cell r="C459" t="str">
            <v>8500263김　영　호</v>
          </cell>
          <cell r="D459" t="str">
            <v>BA10</v>
          </cell>
          <cell r="E459" t="str">
            <v>신공항 SOC 팀</v>
          </cell>
          <cell r="F459" t="str">
            <v>16672</v>
          </cell>
          <cell r="G459" t="str">
            <v>1120</v>
          </cell>
          <cell r="H459" t="str">
            <v>19981001</v>
          </cell>
          <cell r="I459">
            <v>3103252</v>
          </cell>
        </row>
        <row r="460">
          <cell r="A460" t="str">
            <v>9001348</v>
          </cell>
          <cell r="B460" t="str">
            <v>류　원　형</v>
          </cell>
          <cell r="C460" t="str">
            <v>9001348류　원　형</v>
          </cell>
          <cell r="D460" t="str">
            <v>BA10</v>
          </cell>
          <cell r="E460" t="str">
            <v>신공항 SOC 팀</v>
          </cell>
          <cell r="F460" t="str">
            <v>16672</v>
          </cell>
          <cell r="G460" t="str">
            <v>1120</v>
          </cell>
          <cell r="H460" t="str">
            <v>19900601</v>
          </cell>
          <cell r="I460">
            <v>19492025</v>
          </cell>
        </row>
        <row r="461">
          <cell r="A461" t="str">
            <v>8100088</v>
          </cell>
          <cell r="B461" t="str">
            <v>정　수　한</v>
          </cell>
          <cell r="C461" t="str">
            <v>8100088정　수　한</v>
          </cell>
          <cell r="D461" t="str">
            <v>BA10</v>
          </cell>
          <cell r="E461" t="str">
            <v>신공항 SOC 팀</v>
          </cell>
          <cell r="F461" t="str">
            <v>16672</v>
          </cell>
          <cell r="G461" t="str">
            <v>1120</v>
          </cell>
          <cell r="H461" t="str">
            <v>19810305</v>
          </cell>
          <cell r="I461">
            <v>48899016</v>
          </cell>
        </row>
        <row r="462">
          <cell r="A462" t="str">
            <v>9200430</v>
          </cell>
          <cell r="B462" t="str">
            <v>차　용　출</v>
          </cell>
          <cell r="C462" t="str">
            <v>9200430차　용　출</v>
          </cell>
          <cell r="D462" t="str">
            <v>BA10</v>
          </cell>
          <cell r="E462" t="str">
            <v>신공항 SOC 팀</v>
          </cell>
          <cell r="F462" t="str">
            <v>16672</v>
          </cell>
          <cell r="G462" t="str">
            <v>1120</v>
          </cell>
          <cell r="H462" t="str">
            <v>19920107</v>
          </cell>
          <cell r="I462">
            <v>15115783</v>
          </cell>
        </row>
        <row r="463">
          <cell r="A463" t="str">
            <v>8401544</v>
          </cell>
          <cell r="B463" t="str">
            <v>이　석　기</v>
          </cell>
          <cell r="C463" t="str">
            <v>8401544이　석　기</v>
          </cell>
          <cell r="D463" t="str">
            <v>CD20</v>
          </cell>
          <cell r="E463" t="str">
            <v>신공항 SOC 팀</v>
          </cell>
          <cell r="F463" t="str">
            <v>16672</v>
          </cell>
          <cell r="G463" t="str">
            <v>1120</v>
          </cell>
          <cell r="H463" t="str">
            <v>19841126</v>
          </cell>
          <cell r="I463">
            <v>31893331</v>
          </cell>
        </row>
        <row r="464">
          <cell r="A464" t="str">
            <v>9750453</v>
          </cell>
          <cell r="B464" t="str">
            <v>강　은　수</v>
          </cell>
          <cell r="C464" t="str">
            <v>9750453강　은　수</v>
          </cell>
          <cell r="D464" t="str">
            <v>외항사</v>
          </cell>
          <cell r="E464" t="str">
            <v>국제 1담당</v>
          </cell>
          <cell r="F464" t="str">
            <v>2110</v>
          </cell>
          <cell r="G464" t="str">
            <v>2230</v>
          </cell>
          <cell r="H464" t="str">
            <v>19971126</v>
          </cell>
          <cell r="I464">
            <v>2422548</v>
          </cell>
        </row>
        <row r="465">
          <cell r="A465" t="str">
            <v>9750622</v>
          </cell>
          <cell r="B465" t="str">
            <v>강　은　지</v>
          </cell>
          <cell r="C465" t="str">
            <v>9750622강　은　지</v>
          </cell>
          <cell r="D465" t="str">
            <v>외항사</v>
          </cell>
          <cell r="E465" t="str">
            <v>국제 1담당</v>
          </cell>
          <cell r="F465" t="str">
            <v>2110</v>
          </cell>
          <cell r="G465" t="str">
            <v>2230</v>
          </cell>
          <cell r="H465" t="str">
            <v>19971126</v>
          </cell>
          <cell r="I465">
            <v>2380448</v>
          </cell>
        </row>
        <row r="466">
          <cell r="A466" t="str">
            <v>9750497</v>
          </cell>
          <cell r="B466" t="str">
            <v>강　혜　련</v>
          </cell>
          <cell r="C466" t="str">
            <v>9750497강　혜　련</v>
          </cell>
          <cell r="D466" t="str">
            <v>외항사</v>
          </cell>
          <cell r="E466" t="str">
            <v>국제 1담당</v>
          </cell>
          <cell r="F466" t="str">
            <v>2110</v>
          </cell>
          <cell r="G466" t="str">
            <v>2230</v>
          </cell>
          <cell r="H466" t="str">
            <v>19971126</v>
          </cell>
          <cell r="I466">
            <v>2361619</v>
          </cell>
        </row>
        <row r="467">
          <cell r="A467" t="str">
            <v>9750655</v>
          </cell>
          <cell r="B467" t="str">
            <v>구　선　미</v>
          </cell>
          <cell r="C467" t="str">
            <v>9750655구　선　미</v>
          </cell>
          <cell r="D467" t="str">
            <v>외항사</v>
          </cell>
          <cell r="E467" t="str">
            <v>국제 1담당</v>
          </cell>
          <cell r="F467" t="str">
            <v>2110</v>
          </cell>
          <cell r="G467" t="str">
            <v>2230</v>
          </cell>
          <cell r="H467" t="str">
            <v>19971126</v>
          </cell>
          <cell r="I467">
            <v>2361082</v>
          </cell>
        </row>
        <row r="468">
          <cell r="A468" t="str">
            <v>9750431</v>
          </cell>
          <cell r="B468" t="str">
            <v>권　설　림</v>
          </cell>
          <cell r="C468" t="str">
            <v>9750431권　설　림</v>
          </cell>
          <cell r="D468" t="str">
            <v>외항사</v>
          </cell>
          <cell r="E468" t="str">
            <v>국제 1담당</v>
          </cell>
          <cell r="F468" t="str">
            <v>2110</v>
          </cell>
          <cell r="G468" t="str">
            <v>2230</v>
          </cell>
          <cell r="H468" t="str">
            <v>19971126</v>
          </cell>
          <cell r="I468">
            <v>2447687</v>
          </cell>
        </row>
        <row r="469">
          <cell r="A469" t="str">
            <v>9750508</v>
          </cell>
          <cell r="B469" t="str">
            <v>김　기　자</v>
          </cell>
          <cell r="C469" t="str">
            <v>9750508김　기　자</v>
          </cell>
          <cell r="D469" t="str">
            <v>외항사</v>
          </cell>
          <cell r="E469" t="str">
            <v>국제 1담당</v>
          </cell>
          <cell r="F469" t="str">
            <v>2110</v>
          </cell>
          <cell r="G469" t="str">
            <v>2230</v>
          </cell>
          <cell r="H469" t="str">
            <v>19971126</v>
          </cell>
          <cell r="I469">
            <v>2409960</v>
          </cell>
        </row>
        <row r="470">
          <cell r="A470" t="str">
            <v>9750565</v>
          </cell>
          <cell r="B470" t="str">
            <v>김　도　희</v>
          </cell>
          <cell r="C470" t="str">
            <v>9750565김　도　희</v>
          </cell>
          <cell r="D470" t="str">
            <v>외항사</v>
          </cell>
          <cell r="E470" t="str">
            <v>국제 1담당</v>
          </cell>
          <cell r="F470" t="str">
            <v>2110</v>
          </cell>
          <cell r="G470" t="str">
            <v>2230</v>
          </cell>
          <cell r="H470" t="str">
            <v>19971126</v>
          </cell>
          <cell r="I470">
            <v>2461422</v>
          </cell>
        </row>
        <row r="471">
          <cell r="A471" t="str">
            <v>9750510</v>
          </cell>
          <cell r="B471" t="str">
            <v>김　명　화</v>
          </cell>
          <cell r="C471" t="str">
            <v>9750510김　명　화</v>
          </cell>
          <cell r="D471" t="str">
            <v>외항사</v>
          </cell>
          <cell r="E471" t="str">
            <v>국제 1담당</v>
          </cell>
          <cell r="F471" t="str">
            <v>2110</v>
          </cell>
          <cell r="G471" t="str">
            <v>2230</v>
          </cell>
          <cell r="H471" t="str">
            <v>19971126</v>
          </cell>
          <cell r="I471">
            <v>2384464</v>
          </cell>
        </row>
        <row r="472">
          <cell r="A472" t="str">
            <v>9750554</v>
          </cell>
          <cell r="B472" t="str">
            <v>김　수　진</v>
          </cell>
          <cell r="C472" t="str">
            <v>9750554김　수　진</v>
          </cell>
          <cell r="D472" t="str">
            <v>외항사</v>
          </cell>
          <cell r="E472" t="str">
            <v>국제 1담당</v>
          </cell>
          <cell r="F472" t="str">
            <v>2110</v>
          </cell>
          <cell r="G472" t="str">
            <v>2230</v>
          </cell>
          <cell r="H472" t="str">
            <v>19971126</v>
          </cell>
          <cell r="I472">
            <v>2436606</v>
          </cell>
        </row>
        <row r="473">
          <cell r="A473" t="str">
            <v>9750576</v>
          </cell>
          <cell r="B473" t="str">
            <v>박　고　은</v>
          </cell>
          <cell r="C473" t="str">
            <v>9750576박　고　은</v>
          </cell>
          <cell r="D473" t="str">
            <v>외항사</v>
          </cell>
          <cell r="E473" t="str">
            <v>국제 1담당</v>
          </cell>
          <cell r="F473" t="str">
            <v>2110</v>
          </cell>
          <cell r="G473" t="str">
            <v>2230</v>
          </cell>
          <cell r="H473" t="str">
            <v>19971126</v>
          </cell>
          <cell r="I473">
            <v>2398592</v>
          </cell>
        </row>
        <row r="474">
          <cell r="A474" t="str">
            <v>9750644</v>
          </cell>
          <cell r="B474" t="str">
            <v>박　윤　경</v>
          </cell>
          <cell r="C474" t="str">
            <v>9750644박　윤　경</v>
          </cell>
          <cell r="D474" t="str">
            <v>외항사</v>
          </cell>
          <cell r="E474" t="str">
            <v>국제 1담당</v>
          </cell>
          <cell r="F474" t="str">
            <v>2110</v>
          </cell>
          <cell r="G474" t="str">
            <v>2230</v>
          </cell>
          <cell r="H474" t="str">
            <v>19971126</v>
          </cell>
          <cell r="I474">
            <v>2424019</v>
          </cell>
        </row>
        <row r="475">
          <cell r="A475" t="str">
            <v>9750442</v>
          </cell>
          <cell r="B475" t="str">
            <v>박　지　선</v>
          </cell>
          <cell r="C475" t="str">
            <v>9750442박　지　선</v>
          </cell>
          <cell r="D475" t="str">
            <v>외항사</v>
          </cell>
          <cell r="E475" t="str">
            <v>국제 1담당</v>
          </cell>
          <cell r="F475" t="str">
            <v>2110</v>
          </cell>
          <cell r="G475" t="e">
            <v>#N/A</v>
          </cell>
          <cell r="H475" t="str">
            <v>19971126</v>
          </cell>
          <cell r="I475">
            <v>2444892</v>
          </cell>
          <cell r="J475" t="str">
            <v>12 월</v>
          </cell>
          <cell r="K475">
            <v>4659128</v>
          </cell>
        </row>
        <row r="476">
          <cell r="A476" t="str">
            <v>9750600</v>
          </cell>
          <cell r="B476" t="str">
            <v>송　상　미</v>
          </cell>
          <cell r="C476" t="str">
            <v>9750600송　상　미</v>
          </cell>
          <cell r="D476" t="str">
            <v>외항사</v>
          </cell>
          <cell r="E476" t="str">
            <v>국제 1담당</v>
          </cell>
          <cell r="F476" t="str">
            <v>2110</v>
          </cell>
          <cell r="G476" t="str">
            <v>2230</v>
          </cell>
          <cell r="H476" t="str">
            <v>19971126</v>
          </cell>
          <cell r="I476">
            <v>2409423</v>
          </cell>
        </row>
        <row r="477">
          <cell r="A477" t="str">
            <v>9750464</v>
          </cell>
          <cell r="B477" t="str">
            <v>윤　문　선</v>
          </cell>
          <cell r="C477" t="str">
            <v>9750464윤　문　선</v>
          </cell>
          <cell r="D477" t="str">
            <v>외항사</v>
          </cell>
          <cell r="E477" t="str">
            <v>국제 1담당</v>
          </cell>
          <cell r="F477" t="str">
            <v>2110</v>
          </cell>
          <cell r="G477" t="str">
            <v>2230</v>
          </cell>
          <cell r="H477" t="str">
            <v>19971126</v>
          </cell>
          <cell r="I477">
            <v>2418783</v>
          </cell>
        </row>
        <row r="478">
          <cell r="A478" t="str">
            <v>9750587</v>
          </cell>
          <cell r="B478" t="str">
            <v>이　은　주</v>
          </cell>
          <cell r="C478" t="str">
            <v>9750587이　은　주</v>
          </cell>
          <cell r="D478" t="str">
            <v>외항사</v>
          </cell>
          <cell r="E478" t="str">
            <v>국제 1담당</v>
          </cell>
          <cell r="F478" t="str">
            <v>2110</v>
          </cell>
          <cell r="G478" t="str">
            <v>2230</v>
          </cell>
          <cell r="H478" t="str">
            <v>19971126</v>
          </cell>
          <cell r="I478">
            <v>2456293</v>
          </cell>
        </row>
        <row r="479">
          <cell r="A479" t="str">
            <v>9750598</v>
          </cell>
          <cell r="B479" t="str">
            <v>이　현　순</v>
          </cell>
          <cell r="C479" t="str">
            <v>9750598이　현　순</v>
          </cell>
          <cell r="D479" t="str">
            <v>외항사</v>
          </cell>
          <cell r="E479" t="str">
            <v>국제 1담당</v>
          </cell>
          <cell r="F479" t="str">
            <v>2110</v>
          </cell>
          <cell r="G479" t="str">
            <v>2230</v>
          </cell>
          <cell r="H479" t="str">
            <v>19971126</v>
          </cell>
          <cell r="I479">
            <v>2439332</v>
          </cell>
        </row>
        <row r="480">
          <cell r="A480" t="str">
            <v>9750633</v>
          </cell>
          <cell r="B480" t="str">
            <v>임　효　심</v>
          </cell>
          <cell r="C480" t="str">
            <v>9750633임　효　심</v>
          </cell>
          <cell r="D480" t="str">
            <v>외항사</v>
          </cell>
          <cell r="E480" t="str">
            <v>국제 1담당</v>
          </cell>
          <cell r="F480" t="str">
            <v>2110</v>
          </cell>
          <cell r="G480" t="str">
            <v>2230</v>
          </cell>
          <cell r="H480" t="str">
            <v>19971126</v>
          </cell>
          <cell r="I480">
            <v>2429792</v>
          </cell>
        </row>
        <row r="481">
          <cell r="A481" t="str">
            <v>9750475</v>
          </cell>
          <cell r="B481" t="str">
            <v>정　애　정</v>
          </cell>
          <cell r="C481" t="str">
            <v>9750475정　애　정</v>
          </cell>
          <cell r="D481" t="str">
            <v>외항사</v>
          </cell>
          <cell r="E481" t="str">
            <v>국제 1담당</v>
          </cell>
          <cell r="F481" t="str">
            <v>2110</v>
          </cell>
          <cell r="G481" t="str">
            <v>2230</v>
          </cell>
          <cell r="H481" t="str">
            <v>19971126</v>
          </cell>
          <cell r="I481">
            <v>2441807</v>
          </cell>
        </row>
        <row r="482">
          <cell r="A482" t="str">
            <v>9750543</v>
          </cell>
          <cell r="B482" t="str">
            <v>조　성　주</v>
          </cell>
          <cell r="C482" t="str">
            <v>9750543조　성　주</v>
          </cell>
          <cell r="D482" t="str">
            <v>외항사</v>
          </cell>
          <cell r="E482" t="str">
            <v>국제 1담당</v>
          </cell>
          <cell r="F482" t="str">
            <v>2110</v>
          </cell>
          <cell r="G482" t="str">
            <v>2230</v>
          </cell>
          <cell r="H482" t="str">
            <v>19971126</v>
          </cell>
          <cell r="I482">
            <v>2451955</v>
          </cell>
        </row>
        <row r="483">
          <cell r="A483" t="str">
            <v>9750521</v>
          </cell>
          <cell r="B483" t="str">
            <v>지　윤　정</v>
          </cell>
          <cell r="C483" t="str">
            <v>9750521지　윤　정</v>
          </cell>
          <cell r="D483" t="str">
            <v>외항사</v>
          </cell>
          <cell r="E483" t="str">
            <v>국제 1담당</v>
          </cell>
          <cell r="F483" t="str">
            <v>2110</v>
          </cell>
          <cell r="G483" t="str">
            <v>2230</v>
          </cell>
          <cell r="H483" t="str">
            <v>19971126</v>
          </cell>
          <cell r="I483">
            <v>2450413</v>
          </cell>
        </row>
        <row r="484">
          <cell r="A484" t="str">
            <v>9750677</v>
          </cell>
          <cell r="B484" t="str">
            <v>채　유　정</v>
          </cell>
          <cell r="C484" t="str">
            <v>9750677채　유　정</v>
          </cell>
          <cell r="D484" t="str">
            <v>외항사</v>
          </cell>
          <cell r="E484" t="str">
            <v>국제 1담당</v>
          </cell>
          <cell r="F484" t="str">
            <v>2110</v>
          </cell>
          <cell r="G484" t="str">
            <v>2230</v>
          </cell>
          <cell r="H484" t="str">
            <v>19971126</v>
          </cell>
          <cell r="I484">
            <v>2415950</v>
          </cell>
        </row>
        <row r="485">
          <cell r="A485" t="str">
            <v>9750666</v>
          </cell>
          <cell r="B485" t="str">
            <v>황　영　희</v>
          </cell>
          <cell r="C485" t="str">
            <v>9750666황　영　희</v>
          </cell>
          <cell r="D485" t="str">
            <v>외항사</v>
          </cell>
          <cell r="E485" t="str">
            <v>국제 1담당</v>
          </cell>
          <cell r="F485" t="str">
            <v>2110</v>
          </cell>
          <cell r="G485" t="str">
            <v>2230</v>
          </cell>
          <cell r="H485" t="str">
            <v>19971126</v>
          </cell>
          <cell r="I485">
            <v>2381596</v>
          </cell>
        </row>
        <row r="486">
          <cell r="A486" t="str">
            <v>7100370</v>
          </cell>
          <cell r="B486" t="str">
            <v>이　주　광</v>
          </cell>
          <cell r="C486" t="str">
            <v>7100370이　주　광</v>
          </cell>
          <cell r="D486" t="str">
            <v>CD12</v>
          </cell>
          <cell r="E486" t="str">
            <v>국제 1담당</v>
          </cell>
          <cell r="F486" t="str">
            <v>2110</v>
          </cell>
          <cell r="G486" t="str">
            <v>2220</v>
          </cell>
          <cell r="H486" t="str">
            <v>19710517</v>
          </cell>
          <cell r="I486">
            <v>82326561</v>
          </cell>
        </row>
        <row r="487">
          <cell r="A487" t="str">
            <v>7700095</v>
          </cell>
          <cell r="B487" t="str">
            <v>홍　의　표</v>
          </cell>
          <cell r="C487" t="str">
            <v>7700095홍　의　표</v>
          </cell>
          <cell r="D487" t="str">
            <v>CD12</v>
          </cell>
          <cell r="E487" t="str">
            <v>국제 1담당</v>
          </cell>
          <cell r="F487" t="str">
            <v>2110</v>
          </cell>
          <cell r="G487" t="str">
            <v>2220</v>
          </cell>
          <cell r="H487" t="str">
            <v>19881201</v>
          </cell>
          <cell r="I487">
            <v>22659109</v>
          </cell>
        </row>
        <row r="488">
          <cell r="A488" t="str">
            <v>8604911</v>
          </cell>
          <cell r="B488" t="str">
            <v>강　신　복</v>
          </cell>
          <cell r="C488" t="str">
            <v>8604911강　신　복</v>
          </cell>
          <cell r="D488" t="str">
            <v>CD13</v>
          </cell>
          <cell r="E488" t="str">
            <v>국제 1담당</v>
          </cell>
          <cell r="F488" t="str">
            <v>2110</v>
          </cell>
          <cell r="G488" t="str">
            <v>2120</v>
          </cell>
          <cell r="H488" t="str">
            <v>19861215</v>
          </cell>
          <cell r="I488">
            <v>24936219</v>
          </cell>
        </row>
        <row r="489">
          <cell r="A489" t="str">
            <v>8800266</v>
          </cell>
          <cell r="B489" t="str">
            <v>강　진　복</v>
          </cell>
          <cell r="C489" t="str">
            <v>8800266강　진　복</v>
          </cell>
          <cell r="D489" t="str">
            <v>CD13</v>
          </cell>
          <cell r="E489" t="str">
            <v>국제 1담당</v>
          </cell>
          <cell r="F489" t="str">
            <v>2110</v>
          </cell>
          <cell r="G489" t="str">
            <v>2120</v>
          </cell>
          <cell r="H489" t="str">
            <v>19991101</v>
          </cell>
          <cell r="I489">
            <v>260754</v>
          </cell>
        </row>
        <row r="490">
          <cell r="A490" t="str">
            <v>8100224</v>
          </cell>
          <cell r="B490" t="str">
            <v>김　광　호</v>
          </cell>
          <cell r="C490" t="str">
            <v>8100224김　광　호</v>
          </cell>
          <cell r="D490" t="str">
            <v>CD13</v>
          </cell>
          <cell r="E490" t="str">
            <v>국제 1담당</v>
          </cell>
          <cell r="F490" t="str">
            <v>2110</v>
          </cell>
          <cell r="G490" t="str">
            <v>2120</v>
          </cell>
          <cell r="H490" t="str">
            <v>19981201</v>
          </cell>
          <cell r="I490">
            <v>1762289</v>
          </cell>
        </row>
        <row r="491">
          <cell r="A491" t="str">
            <v>9502806</v>
          </cell>
          <cell r="B491" t="str">
            <v>김　대　욱</v>
          </cell>
          <cell r="C491" t="str">
            <v>9502806김　대　욱</v>
          </cell>
          <cell r="D491" t="str">
            <v>CD13</v>
          </cell>
          <cell r="E491" t="str">
            <v>국제 1담당</v>
          </cell>
          <cell r="F491" t="str">
            <v>2110</v>
          </cell>
          <cell r="G491" t="str">
            <v>2120</v>
          </cell>
          <cell r="H491" t="str">
            <v>19951023</v>
          </cell>
          <cell r="I491">
            <v>5178220</v>
          </cell>
        </row>
        <row r="492">
          <cell r="A492" t="str">
            <v>8400150</v>
          </cell>
          <cell r="B492" t="str">
            <v>김　영　래</v>
          </cell>
          <cell r="C492" t="str">
            <v>8400150김　영　래</v>
          </cell>
          <cell r="D492" t="str">
            <v>CD13</v>
          </cell>
          <cell r="E492" t="str">
            <v>국제 1담당</v>
          </cell>
          <cell r="F492" t="str">
            <v>2110</v>
          </cell>
          <cell r="G492" t="str">
            <v>2120</v>
          </cell>
          <cell r="H492" t="str">
            <v>19840401</v>
          </cell>
          <cell r="I492">
            <v>28780043</v>
          </cell>
        </row>
        <row r="493">
          <cell r="A493" t="str">
            <v>8400690</v>
          </cell>
          <cell r="B493" t="str">
            <v>김　우　종</v>
          </cell>
          <cell r="C493" t="str">
            <v>8400690김　우　종</v>
          </cell>
          <cell r="D493" t="str">
            <v>CD13</v>
          </cell>
          <cell r="E493" t="str">
            <v>국제 1담당</v>
          </cell>
          <cell r="F493" t="str">
            <v>2110</v>
          </cell>
          <cell r="G493" t="str">
            <v>2120</v>
          </cell>
          <cell r="H493" t="str">
            <v>19870907</v>
          </cell>
          <cell r="I493">
            <v>19640276</v>
          </cell>
        </row>
        <row r="494">
          <cell r="A494" t="str">
            <v>9304593</v>
          </cell>
          <cell r="B494" t="str">
            <v>김　종　욱</v>
          </cell>
          <cell r="C494" t="str">
            <v>9304593김　종　욱</v>
          </cell>
          <cell r="D494" t="str">
            <v>CD13</v>
          </cell>
          <cell r="E494" t="str">
            <v>국제 1담당</v>
          </cell>
          <cell r="F494" t="str">
            <v>2110</v>
          </cell>
          <cell r="G494" t="str">
            <v>2120</v>
          </cell>
          <cell r="H494" t="str">
            <v>19930801</v>
          </cell>
          <cell r="I494">
            <v>7878617</v>
          </cell>
        </row>
        <row r="495">
          <cell r="A495" t="str">
            <v>8000616</v>
          </cell>
          <cell r="B495" t="str">
            <v>김　중　식</v>
          </cell>
          <cell r="C495" t="str">
            <v>8000616김　중　식</v>
          </cell>
          <cell r="D495" t="str">
            <v>CD13</v>
          </cell>
          <cell r="E495" t="str">
            <v>국제 1담당</v>
          </cell>
          <cell r="F495" t="str">
            <v>2110</v>
          </cell>
          <cell r="G495" t="str">
            <v>2120</v>
          </cell>
          <cell r="H495" t="str">
            <v>19801121</v>
          </cell>
          <cell r="I495">
            <v>33014778</v>
          </cell>
        </row>
        <row r="496">
          <cell r="A496" t="str">
            <v>8100483</v>
          </cell>
          <cell r="B496" t="str">
            <v>김　창　규</v>
          </cell>
          <cell r="C496" t="str">
            <v>8100483김　창　규</v>
          </cell>
          <cell r="D496" t="str">
            <v>CD13</v>
          </cell>
          <cell r="E496" t="str">
            <v>국제 1담당</v>
          </cell>
          <cell r="F496" t="str">
            <v>2110</v>
          </cell>
          <cell r="G496" t="str">
            <v>2120</v>
          </cell>
          <cell r="H496" t="str">
            <v>19811019</v>
          </cell>
          <cell r="I496">
            <v>33100463</v>
          </cell>
        </row>
        <row r="497">
          <cell r="A497" t="str">
            <v>9201385</v>
          </cell>
          <cell r="B497" t="str">
            <v>김　태　훈</v>
          </cell>
          <cell r="C497" t="str">
            <v>9201385김　태　훈</v>
          </cell>
          <cell r="D497" t="str">
            <v>CD13</v>
          </cell>
          <cell r="E497" t="str">
            <v>국제 1담당</v>
          </cell>
          <cell r="F497" t="str">
            <v>2110</v>
          </cell>
          <cell r="G497" t="str">
            <v>2120</v>
          </cell>
          <cell r="H497" t="str">
            <v>19920401</v>
          </cell>
          <cell r="I497">
            <v>9493836</v>
          </cell>
        </row>
        <row r="498">
          <cell r="A498" t="str">
            <v>8500421</v>
          </cell>
          <cell r="B498" t="str">
            <v>박　봉　준</v>
          </cell>
          <cell r="C498" t="str">
            <v>8500421박　봉　준</v>
          </cell>
          <cell r="D498" t="str">
            <v>CD13</v>
          </cell>
          <cell r="E498" t="str">
            <v>국제 1담당</v>
          </cell>
          <cell r="F498" t="str">
            <v>2110</v>
          </cell>
          <cell r="G498" t="str">
            <v>2120</v>
          </cell>
          <cell r="H498" t="str">
            <v>19970716</v>
          </cell>
          <cell r="I498">
            <v>5093072</v>
          </cell>
        </row>
        <row r="499">
          <cell r="A499" t="str">
            <v>7400147</v>
          </cell>
          <cell r="B499" t="str">
            <v>박　승　식</v>
          </cell>
          <cell r="C499" t="str">
            <v>7400147박　승　식</v>
          </cell>
          <cell r="D499" t="str">
            <v>CD13</v>
          </cell>
          <cell r="E499" t="str">
            <v>국제 1담당</v>
          </cell>
          <cell r="F499" t="str">
            <v>2110</v>
          </cell>
          <cell r="G499" t="str">
            <v>2120</v>
          </cell>
          <cell r="H499" t="str">
            <v>19740701</v>
          </cell>
          <cell r="I499">
            <v>50996493</v>
          </cell>
        </row>
        <row r="500">
          <cell r="A500" t="str">
            <v>8201125</v>
          </cell>
          <cell r="B500" t="str">
            <v>손　양　만</v>
          </cell>
          <cell r="C500" t="str">
            <v>8201125손　양　만</v>
          </cell>
          <cell r="D500" t="str">
            <v>CD13</v>
          </cell>
          <cell r="E500" t="str">
            <v>국제 1담당</v>
          </cell>
          <cell r="F500" t="str">
            <v>2110</v>
          </cell>
          <cell r="G500" t="str">
            <v>2120</v>
          </cell>
          <cell r="H500" t="str">
            <v>19821016</v>
          </cell>
          <cell r="I500">
            <v>30581531</v>
          </cell>
        </row>
        <row r="501">
          <cell r="A501" t="str">
            <v>8600218</v>
          </cell>
          <cell r="B501" t="str">
            <v>안　병　길</v>
          </cell>
          <cell r="C501" t="str">
            <v>8600218안　병　길</v>
          </cell>
          <cell r="D501" t="str">
            <v>CD13</v>
          </cell>
          <cell r="E501" t="str">
            <v>국제 1담당</v>
          </cell>
          <cell r="F501" t="str">
            <v>2110</v>
          </cell>
          <cell r="G501" t="str">
            <v>2120</v>
          </cell>
          <cell r="H501" t="str">
            <v>19860912</v>
          </cell>
          <cell r="I501">
            <v>24467423</v>
          </cell>
        </row>
        <row r="502">
          <cell r="A502" t="str">
            <v>8600591</v>
          </cell>
          <cell r="B502" t="str">
            <v>양　기　석</v>
          </cell>
          <cell r="C502" t="str">
            <v>8600591양　기　석</v>
          </cell>
          <cell r="D502" t="str">
            <v>CD13</v>
          </cell>
          <cell r="E502" t="str">
            <v>국제 1담당</v>
          </cell>
          <cell r="F502" t="str">
            <v>2110</v>
          </cell>
          <cell r="G502" t="str">
            <v>2120</v>
          </cell>
          <cell r="H502" t="str">
            <v>19860912</v>
          </cell>
          <cell r="I502">
            <v>23644285</v>
          </cell>
        </row>
        <row r="503">
          <cell r="A503" t="str">
            <v>8700658</v>
          </cell>
          <cell r="B503" t="str">
            <v>양　용　경</v>
          </cell>
          <cell r="C503" t="str">
            <v>8700658양　용　경</v>
          </cell>
          <cell r="D503" t="str">
            <v>CD13</v>
          </cell>
          <cell r="E503" t="str">
            <v>국제 1담당</v>
          </cell>
          <cell r="F503" t="str">
            <v>2110</v>
          </cell>
          <cell r="G503" t="str">
            <v>2120</v>
          </cell>
          <cell r="H503" t="str">
            <v>19970401</v>
          </cell>
          <cell r="I503">
            <v>4838147</v>
          </cell>
        </row>
        <row r="504">
          <cell r="A504" t="str">
            <v>9252257</v>
          </cell>
          <cell r="B504" t="str">
            <v>오　영　주</v>
          </cell>
          <cell r="C504" t="str">
            <v>9252257오　영　주</v>
          </cell>
          <cell r="D504" t="str">
            <v>CD13</v>
          </cell>
          <cell r="E504" t="str">
            <v>국제 1담당</v>
          </cell>
          <cell r="F504" t="str">
            <v>2110</v>
          </cell>
          <cell r="G504" t="str">
            <v>2320</v>
          </cell>
          <cell r="H504" t="str">
            <v>19921005</v>
          </cell>
          <cell r="I504">
            <v>9257937</v>
          </cell>
        </row>
        <row r="505">
          <cell r="A505" t="str">
            <v>9302220</v>
          </cell>
          <cell r="B505" t="str">
            <v>유　승　순</v>
          </cell>
          <cell r="C505" t="str">
            <v>9302220유　승　순</v>
          </cell>
          <cell r="D505" t="str">
            <v>CD13</v>
          </cell>
          <cell r="E505" t="str">
            <v>국제 1담당</v>
          </cell>
          <cell r="F505" t="str">
            <v>2110</v>
          </cell>
          <cell r="G505" t="str">
            <v>2120</v>
          </cell>
          <cell r="H505" t="str">
            <v>19930501</v>
          </cell>
          <cell r="I505">
            <v>7446727</v>
          </cell>
        </row>
        <row r="506">
          <cell r="A506" t="str">
            <v>8300305</v>
          </cell>
          <cell r="B506" t="str">
            <v>유　장　환</v>
          </cell>
          <cell r="C506" t="str">
            <v>8300305유　장　환</v>
          </cell>
          <cell r="D506" t="str">
            <v>CD13</v>
          </cell>
          <cell r="E506" t="str">
            <v>국제 1담당</v>
          </cell>
          <cell r="F506" t="str">
            <v>2110</v>
          </cell>
          <cell r="G506" t="e">
            <v>#N/A</v>
          </cell>
          <cell r="H506" t="str">
            <v>19830601</v>
          </cell>
          <cell r="I506">
            <v>29652439</v>
          </cell>
          <cell r="J506" t="str">
            <v>5 월</v>
          </cell>
          <cell r="K506">
            <v>30667236</v>
          </cell>
        </row>
        <row r="507">
          <cell r="A507" t="str">
            <v>8300305</v>
          </cell>
          <cell r="B507" t="str">
            <v>유　장　환</v>
          </cell>
          <cell r="C507" t="str">
            <v>8300305유　장　환</v>
          </cell>
          <cell r="D507" t="str">
            <v>CD13</v>
          </cell>
          <cell r="E507" t="str">
            <v>국제 1담당</v>
          </cell>
          <cell r="F507" t="str">
            <v>2110</v>
          </cell>
          <cell r="G507" t="e">
            <v>#N/A</v>
          </cell>
          <cell r="H507" t="str">
            <v>19830601</v>
          </cell>
          <cell r="J507" t="str">
            <v>7 월</v>
          </cell>
          <cell r="K507">
            <v>2096489</v>
          </cell>
        </row>
        <row r="508">
          <cell r="A508" t="str">
            <v>7900852</v>
          </cell>
          <cell r="B508" t="str">
            <v>윤　종　혁</v>
          </cell>
          <cell r="C508" t="str">
            <v>7900852윤　종　혁</v>
          </cell>
          <cell r="D508" t="str">
            <v>CD13</v>
          </cell>
          <cell r="E508" t="str">
            <v>국제 1담당</v>
          </cell>
          <cell r="F508" t="str">
            <v>2110</v>
          </cell>
          <cell r="G508" t="str">
            <v>2120</v>
          </cell>
          <cell r="H508" t="str">
            <v>19981201</v>
          </cell>
          <cell r="I508">
            <v>2513583</v>
          </cell>
        </row>
        <row r="509">
          <cell r="A509" t="str">
            <v>9302253</v>
          </cell>
          <cell r="B509" t="str">
            <v>이　강　원</v>
          </cell>
          <cell r="C509" t="str">
            <v>9302253이　강　원</v>
          </cell>
          <cell r="D509" t="str">
            <v>CD13</v>
          </cell>
          <cell r="E509" t="str">
            <v>국제 1담당</v>
          </cell>
          <cell r="F509" t="str">
            <v>2110</v>
          </cell>
          <cell r="G509" t="str">
            <v>2120</v>
          </cell>
          <cell r="H509" t="str">
            <v>19930501</v>
          </cell>
          <cell r="I509">
            <v>7446727</v>
          </cell>
        </row>
        <row r="510">
          <cell r="A510" t="str">
            <v>8500792</v>
          </cell>
          <cell r="B510" t="str">
            <v>이　경　동</v>
          </cell>
          <cell r="C510" t="str">
            <v>8500792이　경　동</v>
          </cell>
          <cell r="D510" t="str">
            <v>CD13</v>
          </cell>
          <cell r="E510" t="str">
            <v>국제 1담당</v>
          </cell>
          <cell r="F510" t="str">
            <v>2110</v>
          </cell>
          <cell r="G510" t="str">
            <v>2120</v>
          </cell>
          <cell r="H510" t="str">
            <v>19850305</v>
          </cell>
          <cell r="I510">
            <v>27091938</v>
          </cell>
        </row>
        <row r="511">
          <cell r="A511" t="str">
            <v>8701277</v>
          </cell>
          <cell r="B511" t="str">
            <v>이　광　희</v>
          </cell>
          <cell r="C511" t="str">
            <v>8701277이　광　희</v>
          </cell>
          <cell r="D511" t="str">
            <v>CD13</v>
          </cell>
          <cell r="E511" t="str">
            <v>국제 1담당</v>
          </cell>
          <cell r="F511" t="str">
            <v>2110</v>
          </cell>
          <cell r="G511" t="str">
            <v>2120</v>
          </cell>
          <cell r="H511" t="str">
            <v>19870801</v>
          </cell>
          <cell r="I511">
            <v>20126703</v>
          </cell>
        </row>
        <row r="512">
          <cell r="A512" t="str">
            <v>9305054</v>
          </cell>
          <cell r="B512" t="str">
            <v>이　동　락</v>
          </cell>
          <cell r="C512" t="str">
            <v>9305054이　동　락</v>
          </cell>
          <cell r="D512" t="str">
            <v>CD13</v>
          </cell>
          <cell r="E512" t="str">
            <v>국제 1담당</v>
          </cell>
          <cell r="F512" t="str">
            <v>2110</v>
          </cell>
          <cell r="G512" t="str">
            <v>2120</v>
          </cell>
          <cell r="H512" t="str">
            <v>19930726</v>
          </cell>
          <cell r="I512">
            <v>8813502</v>
          </cell>
        </row>
        <row r="513">
          <cell r="A513" t="str">
            <v>8800165</v>
          </cell>
          <cell r="B513" t="str">
            <v>이　명　규</v>
          </cell>
          <cell r="C513" t="str">
            <v>8800165이　명　규</v>
          </cell>
          <cell r="D513" t="str">
            <v>CD13</v>
          </cell>
          <cell r="E513" t="str">
            <v>국제 1담당</v>
          </cell>
          <cell r="F513" t="str">
            <v>2110</v>
          </cell>
          <cell r="G513" t="str">
            <v>2120</v>
          </cell>
          <cell r="H513" t="str">
            <v>19970625</v>
          </cell>
          <cell r="I513">
            <v>3760157</v>
          </cell>
        </row>
        <row r="514">
          <cell r="A514" t="str">
            <v>9204941</v>
          </cell>
          <cell r="B514" t="str">
            <v>이　문　송</v>
          </cell>
          <cell r="C514" t="str">
            <v>9204941이　문　송</v>
          </cell>
          <cell r="D514" t="str">
            <v>CD13</v>
          </cell>
          <cell r="E514" t="str">
            <v>국제 1담당</v>
          </cell>
          <cell r="F514" t="str">
            <v>2110</v>
          </cell>
          <cell r="G514" t="str">
            <v>2120</v>
          </cell>
          <cell r="H514" t="str">
            <v>19920817</v>
          </cell>
          <cell r="I514">
            <v>9006502</v>
          </cell>
        </row>
        <row r="515">
          <cell r="A515" t="str">
            <v>8601153</v>
          </cell>
          <cell r="B515" t="str">
            <v>이　민　형</v>
          </cell>
          <cell r="C515" t="str">
            <v>8601153이　민　형</v>
          </cell>
          <cell r="D515" t="str">
            <v>CD13</v>
          </cell>
          <cell r="E515" t="str">
            <v>국제 1담당</v>
          </cell>
          <cell r="F515" t="str">
            <v>2110</v>
          </cell>
          <cell r="G515" t="str">
            <v>2120</v>
          </cell>
          <cell r="H515" t="str">
            <v>19970716</v>
          </cell>
          <cell r="I515">
            <v>3837989</v>
          </cell>
        </row>
        <row r="516">
          <cell r="A516" t="str">
            <v>7400114</v>
          </cell>
          <cell r="B516" t="str">
            <v>이　영　태</v>
          </cell>
          <cell r="C516" t="str">
            <v>7400114이　영　태</v>
          </cell>
          <cell r="D516" t="str">
            <v>CD13</v>
          </cell>
          <cell r="E516" t="str">
            <v>국제 1담당</v>
          </cell>
          <cell r="F516" t="str">
            <v>2110</v>
          </cell>
          <cell r="G516" t="str">
            <v>2120</v>
          </cell>
          <cell r="H516" t="str">
            <v>19740701</v>
          </cell>
          <cell r="I516">
            <v>51167243</v>
          </cell>
        </row>
        <row r="517">
          <cell r="A517" t="str">
            <v>9201418</v>
          </cell>
          <cell r="B517" t="str">
            <v>이　완　근</v>
          </cell>
          <cell r="C517" t="str">
            <v>9201418이　완　근</v>
          </cell>
          <cell r="D517" t="str">
            <v>CD13</v>
          </cell>
          <cell r="E517" t="str">
            <v>국제 1담당</v>
          </cell>
          <cell r="F517" t="str">
            <v>2110</v>
          </cell>
          <cell r="G517" t="str">
            <v>2120</v>
          </cell>
          <cell r="H517" t="str">
            <v>19920401</v>
          </cell>
          <cell r="I517">
            <v>9543125</v>
          </cell>
        </row>
        <row r="518">
          <cell r="A518" t="str">
            <v>8700726</v>
          </cell>
          <cell r="B518" t="str">
            <v>이　창　열</v>
          </cell>
          <cell r="C518" t="str">
            <v>8700726이　창　열</v>
          </cell>
          <cell r="D518" t="str">
            <v>CD13</v>
          </cell>
          <cell r="E518" t="str">
            <v>국제 1담당</v>
          </cell>
          <cell r="F518" t="str">
            <v>2110</v>
          </cell>
          <cell r="G518" t="str">
            <v>2120</v>
          </cell>
          <cell r="H518" t="str">
            <v>19980101</v>
          </cell>
          <cell r="I518">
            <v>3467500</v>
          </cell>
        </row>
        <row r="519">
          <cell r="A519" t="str">
            <v>8700491</v>
          </cell>
          <cell r="B519" t="str">
            <v>임　항　섭</v>
          </cell>
          <cell r="C519" t="str">
            <v>8700491임　항　섭</v>
          </cell>
          <cell r="D519" t="str">
            <v>CD13</v>
          </cell>
          <cell r="E519" t="str">
            <v>국제 1담당</v>
          </cell>
          <cell r="F519" t="str">
            <v>2110</v>
          </cell>
          <cell r="G519" t="str">
            <v>2120</v>
          </cell>
          <cell r="H519" t="str">
            <v>19870521</v>
          </cell>
          <cell r="I519">
            <v>18278009</v>
          </cell>
        </row>
        <row r="520">
          <cell r="A520" t="str">
            <v>8604707</v>
          </cell>
          <cell r="B520" t="str">
            <v>장　기　덕</v>
          </cell>
          <cell r="C520" t="str">
            <v>8604707장　기　덕</v>
          </cell>
          <cell r="D520" t="str">
            <v>CD13</v>
          </cell>
          <cell r="E520" t="str">
            <v>국제 1담당</v>
          </cell>
          <cell r="F520" t="str">
            <v>2110</v>
          </cell>
          <cell r="G520" t="str">
            <v>2230</v>
          </cell>
          <cell r="H520" t="str">
            <v>19861001</v>
          </cell>
          <cell r="I520">
            <v>23743051</v>
          </cell>
        </row>
        <row r="521">
          <cell r="A521" t="str">
            <v>9000033</v>
          </cell>
          <cell r="B521" t="str">
            <v>장　병　숙</v>
          </cell>
          <cell r="C521" t="str">
            <v>9000033장　병　숙</v>
          </cell>
          <cell r="D521" t="str">
            <v>CD13</v>
          </cell>
          <cell r="E521" t="str">
            <v>국제 1담당</v>
          </cell>
          <cell r="F521" t="str">
            <v>2110</v>
          </cell>
          <cell r="G521" t="str">
            <v>2120</v>
          </cell>
          <cell r="H521" t="str">
            <v>19890503</v>
          </cell>
          <cell r="I521">
            <v>16143795</v>
          </cell>
        </row>
        <row r="522">
          <cell r="A522" t="str">
            <v>8501376</v>
          </cell>
          <cell r="B522" t="str">
            <v>장　용　석</v>
          </cell>
          <cell r="C522" t="str">
            <v>8501376장　용　석</v>
          </cell>
          <cell r="D522" t="str">
            <v>CD13</v>
          </cell>
          <cell r="E522" t="str">
            <v>국제 1담당</v>
          </cell>
          <cell r="F522" t="str">
            <v>2110</v>
          </cell>
          <cell r="G522" t="str">
            <v>2120</v>
          </cell>
          <cell r="H522" t="str">
            <v>19850601</v>
          </cell>
          <cell r="I522">
            <v>26117382</v>
          </cell>
        </row>
        <row r="523">
          <cell r="A523" t="str">
            <v>9402658</v>
          </cell>
          <cell r="B523" t="str">
            <v>전　정　윤</v>
          </cell>
          <cell r="C523" t="str">
            <v>9402658전　정　윤</v>
          </cell>
          <cell r="D523" t="str">
            <v>CD13</v>
          </cell>
          <cell r="E523" t="str">
            <v>국제 1담당</v>
          </cell>
          <cell r="F523" t="str">
            <v>2110</v>
          </cell>
          <cell r="G523" t="str">
            <v>2120</v>
          </cell>
          <cell r="H523" t="str">
            <v>19940502</v>
          </cell>
          <cell r="I523">
            <v>6218915</v>
          </cell>
        </row>
        <row r="524">
          <cell r="A524" t="str">
            <v>9301522</v>
          </cell>
          <cell r="B524" t="str">
            <v>정　성　균</v>
          </cell>
          <cell r="C524" t="str">
            <v>9301522정　성　균</v>
          </cell>
          <cell r="D524" t="str">
            <v>CD13</v>
          </cell>
          <cell r="E524" t="str">
            <v>국제 1담당</v>
          </cell>
          <cell r="F524" t="str">
            <v>2110</v>
          </cell>
          <cell r="G524" t="str">
            <v>2120</v>
          </cell>
          <cell r="H524" t="str">
            <v>19930316</v>
          </cell>
          <cell r="I524">
            <v>8755085</v>
          </cell>
        </row>
        <row r="525">
          <cell r="A525" t="str">
            <v>8903338</v>
          </cell>
          <cell r="B525" t="str">
            <v>정　진　현</v>
          </cell>
          <cell r="C525" t="str">
            <v>8903338정　진　현</v>
          </cell>
          <cell r="D525" t="str">
            <v>CD13</v>
          </cell>
          <cell r="E525" t="str">
            <v>국제 1담당</v>
          </cell>
          <cell r="F525" t="str">
            <v>2110</v>
          </cell>
          <cell r="G525" t="str">
            <v>2120</v>
          </cell>
          <cell r="H525" t="str">
            <v>19890403</v>
          </cell>
          <cell r="I525">
            <v>13773928</v>
          </cell>
        </row>
        <row r="526">
          <cell r="A526" t="str">
            <v>9701188</v>
          </cell>
          <cell r="B526" t="str">
            <v>정　찬　두</v>
          </cell>
          <cell r="C526" t="str">
            <v>9701188정　찬　두</v>
          </cell>
          <cell r="D526" t="str">
            <v>CD13</v>
          </cell>
          <cell r="E526" t="str">
            <v>국제 1담당</v>
          </cell>
          <cell r="F526" t="str">
            <v>2110</v>
          </cell>
          <cell r="G526" t="str">
            <v>2120</v>
          </cell>
          <cell r="H526" t="str">
            <v>19970601</v>
          </cell>
          <cell r="I526">
            <v>3054495</v>
          </cell>
        </row>
        <row r="527">
          <cell r="B527" t="str">
            <v>정　충　기</v>
          </cell>
          <cell r="C527" t="str">
            <v>정　충　기</v>
          </cell>
          <cell r="D527" t="str">
            <v>CD13</v>
          </cell>
          <cell r="E527" t="str">
            <v>국제 1담당</v>
          </cell>
          <cell r="F527" t="str">
            <v>2110</v>
          </cell>
          <cell r="G527" t="e">
            <v>#N/A</v>
          </cell>
          <cell r="H527" t="str">
            <v>19811101</v>
          </cell>
          <cell r="J527" t="str">
            <v>4 월</v>
          </cell>
          <cell r="K527">
            <v>26379342</v>
          </cell>
        </row>
        <row r="528">
          <cell r="A528" t="str">
            <v>8702280</v>
          </cell>
          <cell r="B528" t="str">
            <v>조　경　식</v>
          </cell>
          <cell r="C528" t="str">
            <v>8702280조　경　식</v>
          </cell>
          <cell r="D528" t="str">
            <v>CD13</v>
          </cell>
          <cell r="E528" t="str">
            <v>국제 1담당</v>
          </cell>
          <cell r="F528" t="str">
            <v>2110</v>
          </cell>
          <cell r="G528" t="str">
            <v>2230</v>
          </cell>
          <cell r="H528" t="str">
            <v>19871020</v>
          </cell>
          <cell r="I528">
            <v>18350825</v>
          </cell>
        </row>
        <row r="529">
          <cell r="A529" t="str">
            <v>9202184</v>
          </cell>
          <cell r="B529" t="str">
            <v>조　창　제</v>
          </cell>
          <cell r="C529" t="str">
            <v>9202184조　창　제</v>
          </cell>
          <cell r="D529" t="str">
            <v>CD13</v>
          </cell>
          <cell r="E529" t="str">
            <v>국제 1담당</v>
          </cell>
          <cell r="F529" t="str">
            <v>2110</v>
          </cell>
          <cell r="G529" t="str">
            <v>2120</v>
          </cell>
          <cell r="H529" t="str">
            <v>19920501</v>
          </cell>
          <cell r="I529">
            <v>9480690</v>
          </cell>
        </row>
        <row r="530">
          <cell r="A530" t="str">
            <v>8902798</v>
          </cell>
          <cell r="B530" t="str">
            <v>주　종　국</v>
          </cell>
          <cell r="C530" t="str">
            <v>8902798주　종　국</v>
          </cell>
          <cell r="D530" t="str">
            <v>CD13</v>
          </cell>
          <cell r="E530" t="str">
            <v>국제 1담당</v>
          </cell>
          <cell r="F530" t="str">
            <v>2110</v>
          </cell>
          <cell r="G530" t="str">
            <v>2120</v>
          </cell>
          <cell r="H530" t="str">
            <v>19890313</v>
          </cell>
          <cell r="I530">
            <v>16227927</v>
          </cell>
        </row>
        <row r="531">
          <cell r="A531" t="str">
            <v>8100628</v>
          </cell>
          <cell r="B531" t="str">
            <v>지　광　년</v>
          </cell>
          <cell r="C531" t="str">
            <v>8100628지　광　년</v>
          </cell>
          <cell r="D531" t="str">
            <v>CD13</v>
          </cell>
          <cell r="E531" t="str">
            <v>국제 1담당</v>
          </cell>
          <cell r="F531" t="str">
            <v>2110</v>
          </cell>
          <cell r="G531" t="e">
            <v>#N/A</v>
          </cell>
          <cell r="H531" t="str">
            <v>19811101</v>
          </cell>
          <cell r="I531">
            <v>37963607</v>
          </cell>
          <cell r="J531" t="str">
            <v>2 월</v>
          </cell>
          <cell r="K531">
            <v>53288681</v>
          </cell>
        </row>
        <row r="532">
          <cell r="A532" t="str">
            <v>8100628</v>
          </cell>
          <cell r="B532" t="str">
            <v>지　광　년</v>
          </cell>
          <cell r="C532" t="str">
            <v>8100628지　광　년</v>
          </cell>
          <cell r="D532" t="str">
            <v>CD13</v>
          </cell>
          <cell r="E532" t="str">
            <v>국제 1담당</v>
          </cell>
          <cell r="F532" t="str">
            <v>2110</v>
          </cell>
          <cell r="G532" t="e">
            <v>#N/A</v>
          </cell>
          <cell r="H532" t="str">
            <v>19811101</v>
          </cell>
          <cell r="J532" t="str">
            <v>4 월</v>
          </cell>
          <cell r="K532">
            <v>2310000</v>
          </cell>
        </row>
        <row r="533">
          <cell r="A533" t="str">
            <v>8600455</v>
          </cell>
          <cell r="B533" t="str">
            <v>최　기　정</v>
          </cell>
          <cell r="C533" t="str">
            <v>8600455최　기　정</v>
          </cell>
          <cell r="D533" t="str">
            <v>CD13</v>
          </cell>
          <cell r="E533" t="str">
            <v>국제 1담당</v>
          </cell>
          <cell r="F533" t="str">
            <v>2110</v>
          </cell>
          <cell r="G533" t="str">
            <v>2120</v>
          </cell>
          <cell r="H533" t="str">
            <v>19981201</v>
          </cell>
          <cell r="I533">
            <v>1839420</v>
          </cell>
        </row>
        <row r="534">
          <cell r="A534" t="str">
            <v>9403424</v>
          </cell>
          <cell r="B534" t="str">
            <v>최　용　수</v>
          </cell>
          <cell r="C534" t="str">
            <v>9403424최　용　수</v>
          </cell>
          <cell r="D534" t="str">
            <v>CD13</v>
          </cell>
          <cell r="E534" t="str">
            <v>국제 1담당</v>
          </cell>
          <cell r="F534" t="str">
            <v>2110</v>
          </cell>
          <cell r="G534" t="str">
            <v>2120</v>
          </cell>
          <cell r="H534" t="str">
            <v>19940601</v>
          </cell>
          <cell r="I534">
            <v>6058806</v>
          </cell>
        </row>
        <row r="535">
          <cell r="A535" t="str">
            <v>8501411</v>
          </cell>
          <cell r="B535" t="str">
            <v>최　일　호</v>
          </cell>
          <cell r="C535" t="str">
            <v>8501411최　일　호</v>
          </cell>
          <cell r="D535" t="str">
            <v>CD13</v>
          </cell>
          <cell r="E535" t="str">
            <v>국제 1담당</v>
          </cell>
          <cell r="F535" t="str">
            <v>2110</v>
          </cell>
          <cell r="G535" t="str">
            <v>2120</v>
          </cell>
          <cell r="H535" t="str">
            <v>19981211</v>
          </cell>
          <cell r="I535">
            <v>1966362</v>
          </cell>
        </row>
        <row r="536">
          <cell r="A536" t="str">
            <v>8701560</v>
          </cell>
          <cell r="B536" t="str">
            <v>한　기　연</v>
          </cell>
          <cell r="C536" t="str">
            <v>8701560한　기　연</v>
          </cell>
          <cell r="D536" t="str">
            <v>CD13</v>
          </cell>
          <cell r="E536" t="str">
            <v>국제 1담당</v>
          </cell>
          <cell r="F536" t="str">
            <v>2110</v>
          </cell>
          <cell r="G536" t="str">
            <v>2120</v>
          </cell>
          <cell r="H536" t="str">
            <v>19981201</v>
          </cell>
          <cell r="I536">
            <v>1785366</v>
          </cell>
        </row>
        <row r="537">
          <cell r="A537" t="str">
            <v>8600128</v>
          </cell>
          <cell r="B537" t="str">
            <v>한　상　만</v>
          </cell>
          <cell r="C537" t="str">
            <v>8600128한　상　만</v>
          </cell>
          <cell r="D537" t="str">
            <v>CD13</v>
          </cell>
          <cell r="E537" t="str">
            <v>국제 1담당</v>
          </cell>
          <cell r="F537" t="str">
            <v>2110</v>
          </cell>
          <cell r="G537" t="str">
            <v>2120</v>
          </cell>
          <cell r="H537" t="str">
            <v>19860912</v>
          </cell>
          <cell r="I537">
            <v>25889140</v>
          </cell>
        </row>
        <row r="538">
          <cell r="A538" t="str">
            <v>9206763</v>
          </cell>
          <cell r="B538" t="str">
            <v>김　정　환</v>
          </cell>
          <cell r="C538" t="str">
            <v>9206763김　정　환</v>
          </cell>
          <cell r="D538" t="str">
            <v>CD20</v>
          </cell>
          <cell r="E538" t="str">
            <v>국제 1담당</v>
          </cell>
          <cell r="F538" t="str">
            <v>2110</v>
          </cell>
          <cell r="G538" t="str">
            <v>2120</v>
          </cell>
          <cell r="H538" t="str">
            <v>19921101</v>
          </cell>
          <cell r="I538">
            <v>10059798</v>
          </cell>
        </row>
        <row r="539">
          <cell r="A539" t="str">
            <v>8111518</v>
          </cell>
          <cell r="B539" t="str">
            <v>추　인　환</v>
          </cell>
          <cell r="C539" t="str">
            <v>8111518추　인　환</v>
          </cell>
          <cell r="D539" t="str">
            <v>CD20</v>
          </cell>
          <cell r="E539" t="str">
            <v>국제 1담당</v>
          </cell>
          <cell r="F539" t="str">
            <v>2110</v>
          </cell>
          <cell r="G539" t="str">
            <v>2120</v>
          </cell>
          <cell r="H539" t="str">
            <v>19811101</v>
          </cell>
          <cell r="I539">
            <v>32967037</v>
          </cell>
        </row>
        <row r="540">
          <cell r="A540" t="str">
            <v>9210071</v>
          </cell>
          <cell r="B540" t="str">
            <v>김　해　균</v>
          </cell>
          <cell r="C540" t="str">
            <v>9210071김　해　균</v>
          </cell>
          <cell r="D540" t="str">
            <v>CG40</v>
          </cell>
          <cell r="E540" t="str">
            <v>국제 1담당</v>
          </cell>
          <cell r="F540" t="str">
            <v>2110</v>
          </cell>
          <cell r="G540" t="str">
            <v>2220</v>
          </cell>
          <cell r="H540" t="str">
            <v>19920106</v>
          </cell>
          <cell r="I540">
            <v>14895727</v>
          </cell>
        </row>
        <row r="541">
          <cell r="A541" t="str">
            <v>8110258</v>
          </cell>
          <cell r="B541" t="str">
            <v>양　현　부</v>
          </cell>
          <cell r="C541" t="str">
            <v>8110258양　현　부</v>
          </cell>
          <cell r="D541" t="str">
            <v>CG42</v>
          </cell>
          <cell r="E541" t="str">
            <v>국제 1담당</v>
          </cell>
          <cell r="F541" t="str">
            <v>2110</v>
          </cell>
          <cell r="G541" t="str">
            <v>2120</v>
          </cell>
          <cell r="H541" t="str">
            <v>19810301</v>
          </cell>
          <cell r="I541">
            <v>47374293</v>
          </cell>
        </row>
        <row r="542">
          <cell r="A542" t="str">
            <v>9510581</v>
          </cell>
          <cell r="B542" t="str">
            <v>배　성　철</v>
          </cell>
          <cell r="C542" t="str">
            <v>9510581배　성　철</v>
          </cell>
          <cell r="D542" t="str">
            <v>CB10</v>
          </cell>
          <cell r="E542" t="str">
            <v>화물조업담당</v>
          </cell>
          <cell r="F542" t="str">
            <v>2140</v>
          </cell>
          <cell r="G542" t="str">
            <v>2652</v>
          </cell>
          <cell r="H542" t="str">
            <v>19950501</v>
          </cell>
          <cell r="I542">
            <v>6368349</v>
          </cell>
        </row>
        <row r="543">
          <cell r="A543" t="str">
            <v>9500578</v>
          </cell>
          <cell r="B543" t="str">
            <v>이　희　동</v>
          </cell>
          <cell r="C543" t="str">
            <v>9500578이　희　동</v>
          </cell>
          <cell r="D543" t="str">
            <v>CD30</v>
          </cell>
          <cell r="E543" t="str">
            <v>화물조업담당</v>
          </cell>
          <cell r="F543" t="str">
            <v>2140</v>
          </cell>
          <cell r="G543" t="e">
            <v>#N/A</v>
          </cell>
          <cell r="H543" t="str">
            <v>19950105</v>
          </cell>
          <cell r="I543">
            <v>6591461</v>
          </cell>
          <cell r="J543" t="str">
            <v>5 월</v>
          </cell>
          <cell r="K543">
            <v>7172511</v>
          </cell>
        </row>
        <row r="544">
          <cell r="A544" t="str">
            <v>8900267</v>
          </cell>
          <cell r="B544" t="str">
            <v>강　태　현</v>
          </cell>
          <cell r="C544" t="str">
            <v>8900267강　태　현</v>
          </cell>
          <cell r="D544" t="str">
            <v>CE10</v>
          </cell>
          <cell r="E544" t="str">
            <v>화물조업담당</v>
          </cell>
          <cell r="F544" t="str">
            <v>2140</v>
          </cell>
          <cell r="G544" t="str">
            <v>2652</v>
          </cell>
          <cell r="H544" t="str">
            <v>19890109</v>
          </cell>
          <cell r="I544">
            <v>22680548</v>
          </cell>
        </row>
        <row r="545">
          <cell r="A545" t="str">
            <v>9212567</v>
          </cell>
          <cell r="B545" t="str">
            <v>김　달　영</v>
          </cell>
          <cell r="C545" t="str">
            <v>9212567김　달　영</v>
          </cell>
          <cell r="D545" t="str">
            <v>CG30</v>
          </cell>
          <cell r="E545" t="str">
            <v>화물조업담당</v>
          </cell>
          <cell r="F545" t="str">
            <v>2140</v>
          </cell>
          <cell r="G545" t="str">
            <v>2652</v>
          </cell>
          <cell r="H545" t="str">
            <v>19921221</v>
          </cell>
          <cell r="I545">
            <v>12101522</v>
          </cell>
        </row>
        <row r="546">
          <cell r="A546" t="str">
            <v>9001214</v>
          </cell>
          <cell r="B546" t="str">
            <v>박　흥　순</v>
          </cell>
          <cell r="C546" t="str">
            <v>9001214박　흥　순</v>
          </cell>
          <cell r="D546" t="str">
            <v>CG30</v>
          </cell>
          <cell r="E546" t="str">
            <v>화물조업담당</v>
          </cell>
          <cell r="F546" t="str">
            <v>2140</v>
          </cell>
          <cell r="G546" t="str">
            <v>2340</v>
          </cell>
          <cell r="H546" t="str">
            <v>19900416</v>
          </cell>
          <cell r="I546">
            <v>29320035</v>
          </cell>
        </row>
        <row r="547">
          <cell r="A547" t="str">
            <v>9503188</v>
          </cell>
          <cell r="B547" t="str">
            <v>강　용　수</v>
          </cell>
          <cell r="C547" t="str">
            <v>9503188강　용　수</v>
          </cell>
          <cell r="D547" t="str">
            <v>CG32</v>
          </cell>
          <cell r="E547" t="str">
            <v>화물조업담당</v>
          </cell>
          <cell r="F547" t="str">
            <v>2140</v>
          </cell>
          <cell r="G547" t="str">
            <v>2652</v>
          </cell>
          <cell r="H547" t="str">
            <v>19951106</v>
          </cell>
          <cell r="I547">
            <v>4882728</v>
          </cell>
        </row>
        <row r="548">
          <cell r="A548" t="str">
            <v>9212141</v>
          </cell>
          <cell r="B548" t="str">
            <v>고　영　주</v>
          </cell>
          <cell r="C548" t="str">
            <v>9212141고　영　주</v>
          </cell>
          <cell r="D548" t="str">
            <v>CG32</v>
          </cell>
          <cell r="E548" t="str">
            <v>화물조업담당</v>
          </cell>
          <cell r="F548" t="str">
            <v>2140</v>
          </cell>
          <cell r="G548" t="str">
            <v>2654</v>
          </cell>
          <cell r="H548" t="str">
            <v>19921101</v>
          </cell>
          <cell r="I548">
            <v>9582548</v>
          </cell>
        </row>
        <row r="549">
          <cell r="A549" t="str">
            <v>8300496</v>
          </cell>
          <cell r="B549" t="str">
            <v>곽　대　균</v>
          </cell>
          <cell r="C549" t="str">
            <v>8300496곽　대　균</v>
          </cell>
          <cell r="D549" t="str">
            <v>CG32</v>
          </cell>
          <cell r="E549" t="str">
            <v>화물조업담당</v>
          </cell>
          <cell r="F549" t="str">
            <v>2140</v>
          </cell>
          <cell r="G549" t="str">
            <v>2652</v>
          </cell>
          <cell r="H549" t="str">
            <v>19830615</v>
          </cell>
          <cell r="I549">
            <v>27983690</v>
          </cell>
        </row>
        <row r="550">
          <cell r="A550" t="str">
            <v>9406350</v>
          </cell>
          <cell r="B550" t="str">
            <v>곽　영　석</v>
          </cell>
          <cell r="C550" t="str">
            <v>9406350곽　영　석</v>
          </cell>
          <cell r="D550" t="str">
            <v>CG32</v>
          </cell>
          <cell r="E550" t="str">
            <v>화물조업담당</v>
          </cell>
          <cell r="F550" t="str">
            <v>2140</v>
          </cell>
          <cell r="G550" t="str">
            <v>2652</v>
          </cell>
          <cell r="H550" t="str">
            <v>19941208</v>
          </cell>
          <cell r="I550">
            <v>6570704</v>
          </cell>
        </row>
        <row r="551">
          <cell r="A551" t="str">
            <v>8401667</v>
          </cell>
          <cell r="B551" t="str">
            <v>구　자　충</v>
          </cell>
          <cell r="C551" t="str">
            <v>8401667구　자　충</v>
          </cell>
          <cell r="D551" t="str">
            <v>CG32</v>
          </cell>
          <cell r="E551" t="str">
            <v>화물조업담당</v>
          </cell>
          <cell r="F551" t="str">
            <v>2140</v>
          </cell>
          <cell r="G551" t="str">
            <v>2652</v>
          </cell>
          <cell r="H551" t="str">
            <v>19841126</v>
          </cell>
          <cell r="I551">
            <v>26637206</v>
          </cell>
        </row>
        <row r="552">
          <cell r="A552" t="str">
            <v>8501106</v>
          </cell>
          <cell r="B552" t="str">
            <v>권　원　익</v>
          </cell>
          <cell r="C552" t="str">
            <v>8501106권　원　익</v>
          </cell>
          <cell r="D552" t="str">
            <v>CG32</v>
          </cell>
          <cell r="E552" t="str">
            <v>화물조업담당</v>
          </cell>
          <cell r="F552" t="str">
            <v>2140</v>
          </cell>
          <cell r="G552" t="str">
            <v>2652</v>
          </cell>
          <cell r="H552" t="str">
            <v>19850501</v>
          </cell>
          <cell r="I552">
            <v>26986131</v>
          </cell>
        </row>
        <row r="553">
          <cell r="A553" t="str">
            <v>9501906</v>
          </cell>
          <cell r="B553" t="str">
            <v>권　태　형</v>
          </cell>
          <cell r="C553" t="str">
            <v>9501906권　태　형</v>
          </cell>
          <cell r="D553" t="str">
            <v>CG32</v>
          </cell>
          <cell r="E553" t="str">
            <v>화물조업담당</v>
          </cell>
          <cell r="F553" t="str">
            <v>2140</v>
          </cell>
          <cell r="G553" t="str">
            <v>2652</v>
          </cell>
          <cell r="H553" t="str">
            <v>19950816</v>
          </cell>
          <cell r="I553">
            <v>5970318</v>
          </cell>
        </row>
        <row r="554">
          <cell r="A554" t="str">
            <v>9406710</v>
          </cell>
          <cell r="B554" t="str">
            <v>기　운　기</v>
          </cell>
          <cell r="C554" t="str">
            <v>9406710기　운　기</v>
          </cell>
          <cell r="D554" t="str">
            <v>CG32</v>
          </cell>
          <cell r="E554" t="str">
            <v>화물조업담당</v>
          </cell>
          <cell r="F554" t="str">
            <v>2140</v>
          </cell>
          <cell r="G554" t="str">
            <v>2652</v>
          </cell>
          <cell r="H554" t="str">
            <v>19941216</v>
          </cell>
          <cell r="I554">
            <v>6466423</v>
          </cell>
        </row>
        <row r="555">
          <cell r="A555" t="str">
            <v>7900255</v>
          </cell>
          <cell r="B555" t="str">
            <v>김　귀　곤</v>
          </cell>
          <cell r="C555" t="str">
            <v>7900255김　귀　곤</v>
          </cell>
          <cell r="D555" t="str">
            <v>CG32</v>
          </cell>
          <cell r="E555" t="str">
            <v>화물조업담당</v>
          </cell>
          <cell r="F555" t="str">
            <v>2140</v>
          </cell>
          <cell r="G555" t="str">
            <v>2652</v>
          </cell>
          <cell r="H555" t="str">
            <v>19790510</v>
          </cell>
          <cell r="I555">
            <v>34757267</v>
          </cell>
        </row>
        <row r="556">
          <cell r="A556" t="str">
            <v>8700996</v>
          </cell>
          <cell r="B556" t="str">
            <v>김　기　만</v>
          </cell>
          <cell r="C556" t="str">
            <v>8700996김　기　만</v>
          </cell>
          <cell r="D556" t="str">
            <v>CG32</v>
          </cell>
          <cell r="E556" t="str">
            <v>화물조업담당</v>
          </cell>
          <cell r="F556" t="str">
            <v>2140</v>
          </cell>
          <cell r="G556" t="str">
            <v>2652</v>
          </cell>
          <cell r="H556" t="str">
            <v>19870611</v>
          </cell>
          <cell r="I556">
            <v>20555767</v>
          </cell>
          <cell r="J556" t="str">
            <v>2 월</v>
          </cell>
          <cell r="K556">
            <v>21845884</v>
          </cell>
        </row>
        <row r="557">
          <cell r="A557" t="str">
            <v>9310680</v>
          </cell>
          <cell r="B557" t="str">
            <v>김　동　원</v>
          </cell>
          <cell r="C557" t="str">
            <v>9310680김　동　원</v>
          </cell>
          <cell r="D557" t="str">
            <v>CG32</v>
          </cell>
          <cell r="E557" t="str">
            <v>화물조업담당</v>
          </cell>
          <cell r="F557" t="str">
            <v>2140</v>
          </cell>
          <cell r="G557" t="str">
            <v>2652</v>
          </cell>
          <cell r="H557" t="str">
            <v>19930705</v>
          </cell>
          <cell r="I557">
            <v>9528630</v>
          </cell>
        </row>
        <row r="558">
          <cell r="A558" t="str">
            <v>8701558</v>
          </cell>
          <cell r="B558" t="str">
            <v>김　봉　석</v>
          </cell>
          <cell r="C558" t="str">
            <v>8701558김　봉　석</v>
          </cell>
          <cell r="D558" t="str">
            <v>CG32</v>
          </cell>
          <cell r="E558" t="str">
            <v>화물조업담당</v>
          </cell>
          <cell r="F558" t="str">
            <v>2140</v>
          </cell>
          <cell r="G558" t="str">
            <v>2652</v>
          </cell>
          <cell r="H558" t="str">
            <v>19870801</v>
          </cell>
          <cell r="I558">
            <v>19914622</v>
          </cell>
        </row>
        <row r="559">
          <cell r="A559" t="str">
            <v>8200078</v>
          </cell>
          <cell r="B559" t="str">
            <v>김　상　규</v>
          </cell>
          <cell r="C559" t="str">
            <v>8200078김　상　규</v>
          </cell>
          <cell r="D559" t="str">
            <v>CG32</v>
          </cell>
          <cell r="E559" t="str">
            <v>화물조업담당</v>
          </cell>
          <cell r="F559" t="str">
            <v>2140</v>
          </cell>
          <cell r="G559" t="str">
            <v>2652</v>
          </cell>
          <cell r="H559" t="str">
            <v>19980101</v>
          </cell>
          <cell r="I559">
            <v>4182184</v>
          </cell>
        </row>
        <row r="560">
          <cell r="A560" t="str">
            <v>9702360</v>
          </cell>
          <cell r="B560" t="str">
            <v>김　선　일</v>
          </cell>
          <cell r="C560" t="str">
            <v>9702360김　선　일</v>
          </cell>
          <cell r="D560" t="str">
            <v>CG32</v>
          </cell>
          <cell r="E560" t="str">
            <v>화물조업담당</v>
          </cell>
          <cell r="F560" t="str">
            <v>2140</v>
          </cell>
          <cell r="G560" t="str">
            <v>2653</v>
          </cell>
          <cell r="H560" t="str">
            <v>19970821</v>
          </cell>
          <cell r="I560">
            <v>2698992</v>
          </cell>
        </row>
        <row r="561">
          <cell r="A561" t="str">
            <v>9000393</v>
          </cell>
          <cell r="B561" t="str">
            <v>김　성　안</v>
          </cell>
          <cell r="C561" t="str">
            <v>9000393김　성　안</v>
          </cell>
          <cell r="D561" t="str">
            <v>CG32</v>
          </cell>
          <cell r="E561" t="str">
            <v>화물조업담당</v>
          </cell>
          <cell r="F561" t="str">
            <v>2140</v>
          </cell>
          <cell r="G561" t="str">
            <v>2652</v>
          </cell>
          <cell r="H561" t="str">
            <v>19890510</v>
          </cell>
          <cell r="I561">
            <v>17448463</v>
          </cell>
        </row>
        <row r="562">
          <cell r="A562" t="str">
            <v>9712181</v>
          </cell>
          <cell r="B562" t="str">
            <v>김　성　인</v>
          </cell>
          <cell r="C562" t="str">
            <v>9712181김　성　인</v>
          </cell>
          <cell r="D562" t="str">
            <v>CG32</v>
          </cell>
          <cell r="E562" t="str">
            <v>화물조업담당</v>
          </cell>
          <cell r="F562" t="str">
            <v>2140</v>
          </cell>
          <cell r="G562" t="str">
            <v>2652</v>
          </cell>
          <cell r="H562" t="str">
            <v>19971101</v>
          </cell>
          <cell r="I562">
            <v>3147266</v>
          </cell>
        </row>
        <row r="563">
          <cell r="A563" t="str">
            <v>7900694</v>
          </cell>
          <cell r="B563" t="str">
            <v>김　영　수</v>
          </cell>
          <cell r="C563" t="str">
            <v>7900694김　영　수</v>
          </cell>
          <cell r="D563" t="str">
            <v>CG32</v>
          </cell>
          <cell r="E563" t="str">
            <v>화물조업담당</v>
          </cell>
          <cell r="F563" t="str">
            <v>2140</v>
          </cell>
          <cell r="G563" t="str">
            <v>2652</v>
          </cell>
          <cell r="H563" t="str">
            <v>19791012</v>
          </cell>
          <cell r="I563">
            <v>38864388</v>
          </cell>
        </row>
        <row r="564">
          <cell r="A564" t="str">
            <v>9212523</v>
          </cell>
          <cell r="B564" t="str">
            <v>김　영　수</v>
          </cell>
          <cell r="C564" t="str">
            <v>9212523김　영　수</v>
          </cell>
          <cell r="D564" t="str">
            <v>CG32</v>
          </cell>
          <cell r="E564" t="str">
            <v>화물조업담당</v>
          </cell>
          <cell r="F564" t="str">
            <v>2140</v>
          </cell>
          <cell r="G564" t="str">
            <v>2653</v>
          </cell>
          <cell r="H564" t="str">
            <v>19921221</v>
          </cell>
          <cell r="I564">
            <v>9376445</v>
          </cell>
        </row>
        <row r="565">
          <cell r="A565" t="str">
            <v>9200856</v>
          </cell>
          <cell r="B565" t="str">
            <v>김　용　복</v>
          </cell>
          <cell r="C565" t="str">
            <v>9200856김　용　복</v>
          </cell>
          <cell r="D565" t="str">
            <v>CG32</v>
          </cell>
          <cell r="E565" t="str">
            <v>화물조업담당</v>
          </cell>
          <cell r="F565" t="str">
            <v>2140</v>
          </cell>
          <cell r="G565" t="str">
            <v>2652</v>
          </cell>
          <cell r="H565" t="str">
            <v>19920210</v>
          </cell>
          <cell r="I565">
            <v>10510549</v>
          </cell>
        </row>
        <row r="566">
          <cell r="A566" t="str">
            <v>8501130</v>
          </cell>
          <cell r="B566" t="str">
            <v>김　일　택</v>
          </cell>
          <cell r="C566" t="str">
            <v>8501130김　일　택</v>
          </cell>
          <cell r="D566" t="str">
            <v>CG32</v>
          </cell>
          <cell r="E566" t="str">
            <v>화물조업담당</v>
          </cell>
          <cell r="F566" t="str">
            <v>2140</v>
          </cell>
          <cell r="G566" t="str">
            <v>2652</v>
          </cell>
          <cell r="H566" t="str">
            <v>19850501</v>
          </cell>
          <cell r="I566">
            <v>27451150</v>
          </cell>
        </row>
        <row r="567">
          <cell r="A567" t="str">
            <v>8111395</v>
          </cell>
          <cell r="B567" t="str">
            <v>김　종　영</v>
          </cell>
          <cell r="C567" t="str">
            <v>8111395김　종　영</v>
          </cell>
          <cell r="D567" t="str">
            <v>CG32</v>
          </cell>
          <cell r="E567" t="str">
            <v>화물조업담당</v>
          </cell>
          <cell r="F567" t="str">
            <v>2140</v>
          </cell>
          <cell r="G567" t="str">
            <v>2654</v>
          </cell>
          <cell r="H567" t="str">
            <v>19811101</v>
          </cell>
          <cell r="I567">
            <v>35905801</v>
          </cell>
        </row>
        <row r="568">
          <cell r="A568" t="str">
            <v>9205694</v>
          </cell>
          <cell r="B568" t="str">
            <v>김　준　영</v>
          </cell>
          <cell r="C568" t="str">
            <v>9205694김　준　영</v>
          </cell>
          <cell r="D568" t="str">
            <v>CG32</v>
          </cell>
          <cell r="E568" t="str">
            <v>화물조업담당</v>
          </cell>
          <cell r="F568" t="str">
            <v>2140</v>
          </cell>
          <cell r="G568" t="str">
            <v>2652</v>
          </cell>
          <cell r="H568" t="str">
            <v>19991201</v>
          </cell>
          <cell r="I568">
            <v>115466</v>
          </cell>
        </row>
        <row r="569">
          <cell r="A569" t="str">
            <v>9311848</v>
          </cell>
          <cell r="B569" t="str">
            <v>김　태　　</v>
          </cell>
          <cell r="C569" t="str">
            <v>9311848김　태　　</v>
          </cell>
          <cell r="D569" t="str">
            <v>CG32</v>
          </cell>
          <cell r="E569" t="str">
            <v>화물조업담당</v>
          </cell>
          <cell r="F569" t="str">
            <v>2140</v>
          </cell>
          <cell r="G569" t="str">
            <v>2652</v>
          </cell>
          <cell r="H569" t="str">
            <v>19931108</v>
          </cell>
          <cell r="I569">
            <v>7214173</v>
          </cell>
        </row>
        <row r="570">
          <cell r="A570" t="str">
            <v>7900683</v>
          </cell>
          <cell r="B570" t="str">
            <v>김　태　성</v>
          </cell>
          <cell r="C570" t="str">
            <v>7900683김　태　성</v>
          </cell>
          <cell r="D570" t="str">
            <v>CG32</v>
          </cell>
          <cell r="E570" t="str">
            <v>화물조업담당</v>
          </cell>
          <cell r="F570" t="str">
            <v>2140</v>
          </cell>
          <cell r="G570" t="str">
            <v>2652</v>
          </cell>
          <cell r="H570" t="str">
            <v>19981211</v>
          </cell>
          <cell r="I570">
            <v>2597553</v>
          </cell>
        </row>
        <row r="571">
          <cell r="A571" t="str">
            <v>9712271</v>
          </cell>
          <cell r="B571" t="str">
            <v>김　형　섭</v>
          </cell>
          <cell r="C571" t="str">
            <v>9712271김　형　섭</v>
          </cell>
          <cell r="D571" t="str">
            <v>CG32</v>
          </cell>
          <cell r="E571" t="str">
            <v>화물조업담당</v>
          </cell>
          <cell r="F571" t="str">
            <v>2140</v>
          </cell>
          <cell r="G571" t="e">
            <v>#N/A</v>
          </cell>
          <cell r="H571" t="str">
            <v>19971110</v>
          </cell>
          <cell r="I571">
            <v>2578174</v>
          </cell>
          <cell r="J571" t="str">
            <v>8 월</v>
          </cell>
          <cell r="K571">
            <v>3597058</v>
          </cell>
        </row>
        <row r="572">
          <cell r="A572" t="str">
            <v>8300507</v>
          </cell>
          <cell r="B572" t="str">
            <v>김　홍　태</v>
          </cell>
          <cell r="C572" t="str">
            <v>8300507김　홍　태</v>
          </cell>
          <cell r="D572" t="str">
            <v>CG32</v>
          </cell>
          <cell r="E572" t="str">
            <v>화물조업담당</v>
          </cell>
          <cell r="F572" t="str">
            <v>2140</v>
          </cell>
          <cell r="G572" t="str">
            <v>2652</v>
          </cell>
          <cell r="H572" t="str">
            <v>19830615</v>
          </cell>
          <cell r="I572">
            <v>32878989</v>
          </cell>
        </row>
        <row r="573">
          <cell r="A573" t="str">
            <v>8200653</v>
          </cell>
          <cell r="B573" t="str">
            <v>김　희　태</v>
          </cell>
          <cell r="C573" t="str">
            <v>8200653김　희　태</v>
          </cell>
          <cell r="D573" t="str">
            <v>CG32</v>
          </cell>
          <cell r="E573" t="str">
            <v>화물조업담당</v>
          </cell>
          <cell r="F573" t="str">
            <v>2140</v>
          </cell>
          <cell r="G573" t="str">
            <v>2652</v>
          </cell>
          <cell r="H573" t="str">
            <v>19820901</v>
          </cell>
          <cell r="I573">
            <v>33715851</v>
          </cell>
        </row>
        <row r="574">
          <cell r="A574" t="str">
            <v>8502568</v>
          </cell>
          <cell r="B574" t="str">
            <v>문　상　원</v>
          </cell>
          <cell r="C574" t="str">
            <v>8502568문　상　원</v>
          </cell>
          <cell r="D574" t="str">
            <v>CG32</v>
          </cell>
          <cell r="E574" t="str">
            <v>화물조업담당</v>
          </cell>
          <cell r="F574" t="str">
            <v>2140</v>
          </cell>
          <cell r="G574" t="str">
            <v>2652</v>
          </cell>
          <cell r="H574" t="str">
            <v>19851210</v>
          </cell>
          <cell r="I574">
            <v>24273023</v>
          </cell>
        </row>
        <row r="575">
          <cell r="A575" t="str">
            <v>9712416</v>
          </cell>
          <cell r="B575" t="str">
            <v>문　진　삼</v>
          </cell>
          <cell r="C575" t="str">
            <v>9712416문　진　삼</v>
          </cell>
          <cell r="D575" t="str">
            <v>CG32</v>
          </cell>
          <cell r="E575" t="str">
            <v>화물조업담당</v>
          </cell>
          <cell r="F575" t="str">
            <v>2140</v>
          </cell>
          <cell r="G575" t="str">
            <v>2653</v>
          </cell>
          <cell r="H575" t="str">
            <v>19971110</v>
          </cell>
          <cell r="I575">
            <v>2336126</v>
          </cell>
        </row>
        <row r="576">
          <cell r="A576" t="str">
            <v>9402647</v>
          </cell>
          <cell r="B576" t="str">
            <v>민　덕　홍</v>
          </cell>
          <cell r="C576" t="str">
            <v>9402647민　덕　홍</v>
          </cell>
          <cell r="D576" t="str">
            <v>CG32</v>
          </cell>
          <cell r="E576" t="str">
            <v>화물조업담당</v>
          </cell>
          <cell r="F576" t="str">
            <v>2140</v>
          </cell>
          <cell r="G576" t="str">
            <v>2652</v>
          </cell>
          <cell r="H576" t="str">
            <v>19940502</v>
          </cell>
          <cell r="I576">
            <v>7840190</v>
          </cell>
        </row>
        <row r="577">
          <cell r="A577" t="str">
            <v>9110621</v>
          </cell>
          <cell r="B577" t="str">
            <v>박　경　호</v>
          </cell>
          <cell r="C577" t="str">
            <v>9110621박　경　호</v>
          </cell>
          <cell r="D577" t="str">
            <v>CG32</v>
          </cell>
          <cell r="E577" t="str">
            <v>화물조업담당</v>
          </cell>
          <cell r="F577" t="str">
            <v>2140</v>
          </cell>
          <cell r="G577" t="str">
            <v>2653</v>
          </cell>
          <cell r="H577" t="str">
            <v>19910601</v>
          </cell>
          <cell r="I577">
            <v>11791256</v>
          </cell>
        </row>
        <row r="578">
          <cell r="A578" t="str">
            <v>9501930</v>
          </cell>
          <cell r="B578" t="str">
            <v>박　대　철</v>
          </cell>
          <cell r="C578" t="str">
            <v>9501930박　대　철</v>
          </cell>
          <cell r="D578" t="str">
            <v>CG32</v>
          </cell>
          <cell r="E578" t="str">
            <v>화물조업담당</v>
          </cell>
          <cell r="F578" t="str">
            <v>2140</v>
          </cell>
          <cell r="G578" t="str">
            <v>2652</v>
          </cell>
          <cell r="H578" t="str">
            <v>19950816</v>
          </cell>
          <cell r="I578">
            <v>5255548</v>
          </cell>
        </row>
        <row r="579">
          <cell r="A579" t="str">
            <v>9503458</v>
          </cell>
          <cell r="B579" t="str">
            <v>박　동　재</v>
          </cell>
          <cell r="C579" t="str">
            <v>9503458박　동　재</v>
          </cell>
          <cell r="D579" t="str">
            <v>CG32</v>
          </cell>
          <cell r="E579" t="str">
            <v>화물조업담당</v>
          </cell>
          <cell r="F579" t="str">
            <v>2140</v>
          </cell>
          <cell r="G579" t="str">
            <v>2652</v>
          </cell>
          <cell r="H579" t="str">
            <v>19951113</v>
          </cell>
          <cell r="I579">
            <v>5437287</v>
          </cell>
        </row>
        <row r="580">
          <cell r="A580" t="str">
            <v>7100357</v>
          </cell>
          <cell r="B580" t="str">
            <v>박　사　한</v>
          </cell>
          <cell r="C580" t="str">
            <v>7100357박　사　한</v>
          </cell>
          <cell r="D580" t="str">
            <v>CG32</v>
          </cell>
          <cell r="E580" t="str">
            <v>화물조업담당</v>
          </cell>
          <cell r="F580" t="str">
            <v>2140</v>
          </cell>
          <cell r="G580" t="e">
            <v>#N/A</v>
          </cell>
          <cell r="H580" t="str">
            <v>19710401</v>
          </cell>
          <cell r="I580">
            <v>65847039</v>
          </cell>
          <cell r="J580" t="str">
            <v>2 월</v>
          </cell>
          <cell r="K580">
            <v>61817622</v>
          </cell>
        </row>
        <row r="581">
          <cell r="A581" t="str">
            <v>7700073</v>
          </cell>
          <cell r="B581" t="str">
            <v>박　상　윤</v>
          </cell>
          <cell r="C581" t="str">
            <v>7700073박　상　윤</v>
          </cell>
          <cell r="D581" t="str">
            <v>CG32</v>
          </cell>
          <cell r="E581" t="str">
            <v>화물조업담당</v>
          </cell>
          <cell r="F581" t="str">
            <v>2140</v>
          </cell>
          <cell r="G581" t="str">
            <v>2652</v>
          </cell>
          <cell r="H581" t="str">
            <v>19770214</v>
          </cell>
          <cell r="I581">
            <v>46668118</v>
          </cell>
        </row>
        <row r="582">
          <cell r="A582" t="str">
            <v>7800737</v>
          </cell>
          <cell r="B582" t="str">
            <v>박　성　옥</v>
          </cell>
          <cell r="C582" t="str">
            <v>7800737박　성　옥</v>
          </cell>
          <cell r="D582" t="str">
            <v>CG32</v>
          </cell>
          <cell r="E582" t="str">
            <v>화물조업담당</v>
          </cell>
          <cell r="F582" t="str">
            <v>2140</v>
          </cell>
          <cell r="G582" t="str">
            <v>2652</v>
          </cell>
          <cell r="H582" t="str">
            <v>19780823</v>
          </cell>
          <cell r="I582">
            <v>42140447</v>
          </cell>
        </row>
        <row r="583">
          <cell r="A583" t="str">
            <v>9105513</v>
          </cell>
          <cell r="B583" t="str">
            <v>박　세　만</v>
          </cell>
          <cell r="C583" t="str">
            <v>9105513박　세　만</v>
          </cell>
          <cell r="D583" t="str">
            <v>CG32</v>
          </cell>
          <cell r="E583" t="str">
            <v>화물조업담당</v>
          </cell>
          <cell r="F583" t="str">
            <v>2140</v>
          </cell>
          <cell r="G583" t="str">
            <v>2652</v>
          </cell>
          <cell r="H583" t="str">
            <v>19911201</v>
          </cell>
          <cell r="I583">
            <v>13102987</v>
          </cell>
        </row>
        <row r="584">
          <cell r="A584" t="str">
            <v>9403007</v>
          </cell>
          <cell r="B584" t="str">
            <v>박　영　복</v>
          </cell>
          <cell r="C584" t="str">
            <v>9403007박　영　복</v>
          </cell>
          <cell r="D584" t="str">
            <v>CG32</v>
          </cell>
          <cell r="E584" t="str">
            <v>화물조업담당</v>
          </cell>
          <cell r="F584" t="str">
            <v>2140</v>
          </cell>
          <cell r="G584" t="str">
            <v>2652</v>
          </cell>
          <cell r="H584" t="str">
            <v>19940418</v>
          </cell>
          <cell r="I584">
            <v>7779800</v>
          </cell>
        </row>
        <row r="585">
          <cell r="A585" t="str">
            <v>9700738</v>
          </cell>
          <cell r="B585" t="str">
            <v>박　용　순</v>
          </cell>
          <cell r="C585" t="str">
            <v>9700738박　용　순</v>
          </cell>
          <cell r="D585" t="str">
            <v>CG32</v>
          </cell>
          <cell r="E585" t="str">
            <v>화물조업담당</v>
          </cell>
          <cell r="F585" t="str">
            <v>2140</v>
          </cell>
          <cell r="G585" t="str">
            <v>2652</v>
          </cell>
          <cell r="H585" t="str">
            <v>19970421</v>
          </cell>
          <cell r="I585">
            <v>3257420</v>
          </cell>
        </row>
        <row r="586">
          <cell r="A586" t="str">
            <v>8400036</v>
          </cell>
          <cell r="B586" t="str">
            <v>박　용　학</v>
          </cell>
          <cell r="C586" t="str">
            <v>8400036박　용　학</v>
          </cell>
          <cell r="D586" t="str">
            <v>CG32</v>
          </cell>
          <cell r="E586" t="str">
            <v>화물조업담당</v>
          </cell>
          <cell r="F586" t="str">
            <v>2140</v>
          </cell>
          <cell r="G586" t="str">
            <v>2652</v>
          </cell>
          <cell r="H586" t="str">
            <v>19840201</v>
          </cell>
          <cell r="I586">
            <v>31595349</v>
          </cell>
        </row>
        <row r="587">
          <cell r="A587" t="str">
            <v>8902045</v>
          </cell>
          <cell r="B587" t="str">
            <v>박　인　수</v>
          </cell>
          <cell r="C587" t="str">
            <v>8902045박　인　수</v>
          </cell>
          <cell r="D587" t="str">
            <v>CG32</v>
          </cell>
          <cell r="E587" t="str">
            <v>화물조업담당</v>
          </cell>
          <cell r="F587" t="str">
            <v>2140</v>
          </cell>
          <cell r="G587" t="str">
            <v>2652</v>
          </cell>
          <cell r="H587" t="str">
            <v>19881219</v>
          </cell>
          <cell r="I587">
            <v>18666066</v>
          </cell>
        </row>
        <row r="588">
          <cell r="A588" t="str">
            <v>9403042</v>
          </cell>
          <cell r="B588" t="str">
            <v>박　종　순</v>
          </cell>
          <cell r="C588" t="str">
            <v>9403042박　종　순</v>
          </cell>
          <cell r="D588" t="str">
            <v>CG32</v>
          </cell>
          <cell r="E588" t="str">
            <v>화물조업담당</v>
          </cell>
          <cell r="F588" t="str">
            <v>2140</v>
          </cell>
          <cell r="G588" t="str">
            <v>2652</v>
          </cell>
          <cell r="H588" t="str">
            <v>19940418</v>
          </cell>
          <cell r="I588">
            <v>7348697</v>
          </cell>
        </row>
        <row r="589">
          <cell r="A589" t="str">
            <v>9400037</v>
          </cell>
          <cell r="B589" t="str">
            <v>박　종　일</v>
          </cell>
          <cell r="C589" t="str">
            <v>9400037박　종　일</v>
          </cell>
          <cell r="D589" t="str">
            <v>CG32</v>
          </cell>
          <cell r="E589" t="str">
            <v>화물조업담당</v>
          </cell>
          <cell r="F589" t="str">
            <v>2140</v>
          </cell>
          <cell r="G589" t="e">
            <v>#N/A</v>
          </cell>
          <cell r="H589" t="str">
            <v>19940105</v>
          </cell>
          <cell r="I589">
            <v>7947259</v>
          </cell>
          <cell r="J589" t="str">
            <v>11 월</v>
          </cell>
          <cell r="K589">
            <v>10227231</v>
          </cell>
        </row>
        <row r="590">
          <cell r="A590" t="str">
            <v>9702426</v>
          </cell>
          <cell r="B590" t="str">
            <v>배　일　용</v>
          </cell>
          <cell r="C590" t="str">
            <v>9702426배　일　용</v>
          </cell>
          <cell r="D590" t="str">
            <v>CG32</v>
          </cell>
          <cell r="E590" t="str">
            <v>화물조업담당</v>
          </cell>
          <cell r="F590" t="str">
            <v>2140</v>
          </cell>
          <cell r="G590" t="str">
            <v>2652</v>
          </cell>
          <cell r="H590" t="str">
            <v>19970821</v>
          </cell>
          <cell r="I590">
            <v>3173436</v>
          </cell>
        </row>
        <row r="591">
          <cell r="A591" t="str">
            <v>9002406</v>
          </cell>
          <cell r="B591" t="str">
            <v>변　간　연</v>
          </cell>
          <cell r="C591" t="str">
            <v>9002406변　간　연</v>
          </cell>
          <cell r="D591" t="str">
            <v>CG32</v>
          </cell>
          <cell r="E591" t="str">
            <v>화물조업담당</v>
          </cell>
          <cell r="F591" t="str">
            <v>2140</v>
          </cell>
          <cell r="G591" t="str">
            <v>2652</v>
          </cell>
          <cell r="H591" t="str">
            <v>19900110</v>
          </cell>
          <cell r="I591">
            <v>15474992</v>
          </cell>
        </row>
        <row r="592">
          <cell r="A592" t="str">
            <v>9100192</v>
          </cell>
          <cell r="B592" t="str">
            <v>서　근　수</v>
          </cell>
          <cell r="C592" t="str">
            <v>9100192서　근　수</v>
          </cell>
          <cell r="D592" t="str">
            <v>CG32</v>
          </cell>
          <cell r="E592" t="str">
            <v>화물조업담당</v>
          </cell>
          <cell r="F592" t="str">
            <v>2140</v>
          </cell>
          <cell r="G592" t="str">
            <v>2652</v>
          </cell>
          <cell r="H592" t="str">
            <v>19910116</v>
          </cell>
          <cell r="I592">
            <v>14275299</v>
          </cell>
        </row>
        <row r="593">
          <cell r="A593" t="str">
            <v>9612652</v>
          </cell>
          <cell r="B593" t="str">
            <v>서　일　룡</v>
          </cell>
          <cell r="C593" t="str">
            <v>9612652서　일　룡</v>
          </cell>
          <cell r="D593" t="str">
            <v>CG32</v>
          </cell>
          <cell r="E593" t="str">
            <v>화물조업담당</v>
          </cell>
          <cell r="F593" t="str">
            <v>2140</v>
          </cell>
          <cell r="G593" t="str">
            <v>2652</v>
          </cell>
          <cell r="H593" t="str">
            <v>19961201</v>
          </cell>
          <cell r="I593">
            <v>4063498</v>
          </cell>
        </row>
        <row r="594">
          <cell r="A594" t="str">
            <v>9701122</v>
          </cell>
          <cell r="B594" t="str">
            <v>송　동　규</v>
          </cell>
          <cell r="C594" t="str">
            <v>9701122송　동　규</v>
          </cell>
          <cell r="D594" t="str">
            <v>CG32</v>
          </cell>
          <cell r="E594" t="str">
            <v>화물조업담당</v>
          </cell>
          <cell r="F594" t="str">
            <v>2140</v>
          </cell>
          <cell r="G594" t="e">
            <v>#N/A</v>
          </cell>
          <cell r="H594" t="str">
            <v>19970601</v>
          </cell>
          <cell r="I594">
            <v>3252215</v>
          </cell>
          <cell r="J594" t="str">
            <v>7 월</v>
          </cell>
          <cell r="K594">
            <v>3797171</v>
          </cell>
        </row>
        <row r="595">
          <cell r="A595" t="str">
            <v>9700266</v>
          </cell>
          <cell r="B595" t="str">
            <v>신　동　은</v>
          </cell>
          <cell r="C595" t="str">
            <v>9700266신　동　은</v>
          </cell>
          <cell r="D595" t="str">
            <v>CG32</v>
          </cell>
          <cell r="E595" t="str">
            <v>화물조업담당</v>
          </cell>
          <cell r="F595" t="str">
            <v>2140</v>
          </cell>
          <cell r="G595" t="str">
            <v>2652</v>
          </cell>
          <cell r="H595" t="str">
            <v>19970221</v>
          </cell>
          <cell r="I595">
            <v>3761002</v>
          </cell>
        </row>
        <row r="596">
          <cell r="A596" t="str">
            <v>8300248</v>
          </cell>
          <cell r="B596" t="str">
            <v>신　옥　기</v>
          </cell>
          <cell r="C596" t="str">
            <v>8300248신　옥　기</v>
          </cell>
          <cell r="D596" t="str">
            <v>CG32</v>
          </cell>
          <cell r="E596" t="str">
            <v>화물조업담당</v>
          </cell>
          <cell r="F596" t="str">
            <v>2140</v>
          </cell>
          <cell r="G596" t="e">
            <v>#N/A</v>
          </cell>
          <cell r="H596" t="str">
            <v>19830501</v>
          </cell>
          <cell r="I596">
            <v>25621967</v>
          </cell>
          <cell r="J596" t="str">
            <v>3 월</v>
          </cell>
          <cell r="K596">
            <v>25383784</v>
          </cell>
        </row>
        <row r="597">
          <cell r="A597" t="str">
            <v>8604663</v>
          </cell>
          <cell r="B597" t="str">
            <v>심　건　일</v>
          </cell>
          <cell r="C597" t="str">
            <v>8604663심　건　일</v>
          </cell>
          <cell r="D597" t="str">
            <v>CG32</v>
          </cell>
          <cell r="E597" t="str">
            <v>화물조업담당</v>
          </cell>
          <cell r="F597" t="str">
            <v>2140</v>
          </cell>
          <cell r="G597" t="str">
            <v>2652</v>
          </cell>
          <cell r="H597" t="str">
            <v>19861001</v>
          </cell>
          <cell r="I597">
            <v>26447201</v>
          </cell>
        </row>
        <row r="598">
          <cell r="A598" t="str">
            <v>9410771</v>
          </cell>
          <cell r="B598" t="str">
            <v>심　상　철</v>
          </cell>
          <cell r="C598" t="str">
            <v>9410771심　상　철</v>
          </cell>
          <cell r="D598" t="str">
            <v>CG32</v>
          </cell>
          <cell r="E598" t="str">
            <v>화물조업담당</v>
          </cell>
          <cell r="F598" t="str">
            <v>2140</v>
          </cell>
          <cell r="G598" t="str">
            <v>2654</v>
          </cell>
          <cell r="H598" t="str">
            <v>19940601</v>
          </cell>
          <cell r="I598">
            <v>6784946</v>
          </cell>
        </row>
        <row r="599">
          <cell r="A599" t="str">
            <v>8100270</v>
          </cell>
          <cell r="B599" t="str">
            <v>심　석　명</v>
          </cell>
          <cell r="C599" t="str">
            <v>8100270심　석　명</v>
          </cell>
          <cell r="D599" t="str">
            <v>CG32</v>
          </cell>
          <cell r="E599" t="str">
            <v>화물조업담당</v>
          </cell>
          <cell r="F599" t="str">
            <v>2140</v>
          </cell>
          <cell r="G599" t="str">
            <v>2652</v>
          </cell>
          <cell r="H599" t="str">
            <v>19810914</v>
          </cell>
          <cell r="I599">
            <v>37383893</v>
          </cell>
        </row>
        <row r="600">
          <cell r="A600" t="str">
            <v>8100426</v>
          </cell>
          <cell r="B600" t="str">
            <v>심　준　식</v>
          </cell>
          <cell r="C600" t="str">
            <v>8100426심　준　식</v>
          </cell>
          <cell r="D600" t="str">
            <v>CG32</v>
          </cell>
          <cell r="E600" t="str">
            <v>화물조업담당</v>
          </cell>
          <cell r="F600" t="str">
            <v>2140</v>
          </cell>
          <cell r="G600" t="str">
            <v>2652</v>
          </cell>
          <cell r="H600" t="str">
            <v>19811001</v>
          </cell>
          <cell r="I600">
            <v>32845824</v>
          </cell>
        </row>
        <row r="601">
          <cell r="A601" t="str">
            <v>7400136</v>
          </cell>
          <cell r="B601" t="str">
            <v>안　문　규</v>
          </cell>
          <cell r="C601" t="str">
            <v>7400136안　문　규</v>
          </cell>
          <cell r="D601" t="str">
            <v>CG32</v>
          </cell>
          <cell r="E601" t="str">
            <v>화물조업담당</v>
          </cell>
          <cell r="F601" t="str">
            <v>2140</v>
          </cell>
          <cell r="G601" t="str">
            <v>2652</v>
          </cell>
          <cell r="H601" t="str">
            <v>19981201</v>
          </cell>
          <cell r="I601">
            <v>2304484</v>
          </cell>
        </row>
        <row r="602">
          <cell r="A602" t="str">
            <v>9202217</v>
          </cell>
          <cell r="B602" t="str">
            <v>안　종　화</v>
          </cell>
          <cell r="C602" t="str">
            <v>9202217안　종　화</v>
          </cell>
          <cell r="D602" t="str">
            <v>CG32</v>
          </cell>
          <cell r="E602" t="str">
            <v>화물조업담당</v>
          </cell>
          <cell r="F602" t="str">
            <v>2140</v>
          </cell>
          <cell r="G602" t="str">
            <v>2652</v>
          </cell>
          <cell r="H602" t="str">
            <v>19920501</v>
          </cell>
          <cell r="I602">
            <v>12370270</v>
          </cell>
        </row>
        <row r="603">
          <cell r="A603" t="str">
            <v>9102194</v>
          </cell>
          <cell r="B603" t="str">
            <v>엄　상　복</v>
          </cell>
          <cell r="C603" t="str">
            <v>9102194엄　상　복</v>
          </cell>
          <cell r="D603" t="str">
            <v>CG32</v>
          </cell>
          <cell r="E603" t="str">
            <v>화물조업담당</v>
          </cell>
          <cell r="F603" t="str">
            <v>2140</v>
          </cell>
          <cell r="G603" t="e">
            <v>#N/A</v>
          </cell>
          <cell r="H603" t="str">
            <v>19910621</v>
          </cell>
          <cell r="I603">
            <v>12647274</v>
          </cell>
          <cell r="J603" t="str">
            <v>9 월</v>
          </cell>
          <cell r="K603">
            <v>14434683</v>
          </cell>
        </row>
        <row r="604">
          <cell r="A604" t="str">
            <v>8701244</v>
          </cell>
          <cell r="B604" t="str">
            <v>엄　응　용</v>
          </cell>
          <cell r="C604" t="str">
            <v>8701244엄　응　용</v>
          </cell>
          <cell r="D604" t="str">
            <v>CG32</v>
          </cell>
          <cell r="E604" t="str">
            <v>화물조업담당</v>
          </cell>
          <cell r="F604" t="str">
            <v>2140</v>
          </cell>
          <cell r="G604" t="str">
            <v>2652</v>
          </cell>
          <cell r="H604" t="str">
            <v>19870801</v>
          </cell>
          <cell r="I604">
            <v>23578903</v>
          </cell>
        </row>
        <row r="605">
          <cell r="A605" t="str">
            <v>8400058</v>
          </cell>
          <cell r="B605" t="str">
            <v>우　기　호</v>
          </cell>
          <cell r="C605" t="str">
            <v>8400058우　기　호</v>
          </cell>
          <cell r="D605" t="str">
            <v>CG32</v>
          </cell>
          <cell r="E605" t="str">
            <v>화물조업담당</v>
          </cell>
          <cell r="F605" t="str">
            <v>2140</v>
          </cell>
          <cell r="G605" t="str">
            <v>2652</v>
          </cell>
          <cell r="H605" t="str">
            <v>19840201</v>
          </cell>
          <cell r="I605">
            <v>28731635</v>
          </cell>
        </row>
        <row r="606">
          <cell r="A606" t="str">
            <v>9000674</v>
          </cell>
          <cell r="B606" t="str">
            <v>유　문　규</v>
          </cell>
          <cell r="C606" t="str">
            <v>9000674유　문　규</v>
          </cell>
          <cell r="D606" t="str">
            <v>CG32</v>
          </cell>
          <cell r="E606" t="str">
            <v>화물조업담당</v>
          </cell>
          <cell r="F606" t="str">
            <v>2140</v>
          </cell>
          <cell r="G606" t="str">
            <v>2652</v>
          </cell>
          <cell r="H606" t="str">
            <v>19890718</v>
          </cell>
          <cell r="I606">
            <v>15663410</v>
          </cell>
        </row>
        <row r="607">
          <cell r="A607" t="str">
            <v>9404695</v>
          </cell>
          <cell r="B607" t="str">
            <v>유　선　협</v>
          </cell>
          <cell r="C607" t="str">
            <v>9404695유　선　협</v>
          </cell>
          <cell r="D607" t="str">
            <v>CG32</v>
          </cell>
          <cell r="E607" t="str">
            <v>화물조업담당</v>
          </cell>
          <cell r="F607" t="str">
            <v>2140</v>
          </cell>
          <cell r="G607" t="e">
            <v>#N/A</v>
          </cell>
          <cell r="H607" t="str">
            <v>19940720</v>
          </cell>
          <cell r="I607">
            <v>6580623</v>
          </cell>
          <cell r="J607" t="str">
            <v>12 월</v>
          </cell>
          <cell r="K607">
            <v>9533789</v>
          </cell>
        </row>
        <row r="608">
          <cell r="A608" t="str">
            <v>9702437</v>
          </cell>
          <cell r="B608" t="str">
            <v>유　세　연</v>
          </cell>
          <cell r="C608" t="str">
            <v>9702437유　세　연</v>
          </cell>
          <cell r="D608" t="str">
            <v>CG32</v>
          </cell>
          <cell r="E608" t="str">
            <v>화물조업담당</v>
          </cell>
          <cell r="F608" t="str">
            <v>2140</v>
          </cell>
          <cell r="G608" t="str">
            <v>2652</v>
          </cell>
          <cell r="H608" t="str">
            <v>19970821</v>
          </cell>
          <cell r="I608">
            <v>3237880</v>
          </cell>
        </row>
        <row r="609">
          <cell r="A609" t="str">
            <v>8700693</v>
          </cell>
          <cell r="B609" t="str">
            <v>유　영　석</v>
          </cell>
          <cell r="C609" t="str">
            <v>8700693유　영　석</v>
          </cell>
          <cell r="D609" t="str">
            <v>CG32</v>
          </cell>
          <cell r="E609" t="str">
            <v>화물조업담당</v>
          </cell>
          <cell r="F609" t="str">
            <v>2140</v>
          </cell>
          <cell r="G609" t="str">
            <v>2652</v>
          </cell>
          <cell r="H609" t="str">
            <v>19870521</v>
          </cell>
          <cell r="I609">
            <v>25005780</v>
          </cell>
        </row>
        <row r="610">
          <cell r="A610" t="str">
            <v>7200134</v>
          </cell>
          <cell r="B610" t="str">
            <v>유　정　철</v>
          </cell>
          <cell r="C610" t="str">
            <v>7200134유　정　철</v>
          </cell>
          <cell r="D610" t="str">
            <v>CG32</v>
          </cell>
          <cell r="E610" t="str">
            <v>화물조업담당</v>
          </cell>
          <cell r="F610" t="str">
            <v>2140</v>
          </cell>
          <cell r="G610" t="e">
            <v>#N/A</v>
          </cell>
          <cell r="H610" t="str">
            <v>19721219</v>
          </cell>
          <cell r="I610">
            <v>56803255</v>
          </cell>
          <cell r="J610" t="str">
            <v>11 월</v>
          </cell>
          <cell r="K610">
            <v>65429711</v>
          </cell>
        </row>
        <row r="611">
          <cell r="A611" t="str">
            <v>8600433</v>
          </cell>
          <cell r="B611" t="str">
            <v>윤　구　용</v>
          </cell>
          <cell r="C611" t="str">
            <v>8600433윤　구　용</v>
          </cell>
          <cell r="D611" t="str">
            <v>CG32</v>
          </cell>
          <cell r="E611" t="str">
            <v>화물조업담당</v>
          </cell>
          <cell r="F611" t="str">
            <v>2140</v>
          </cell>
          <cell r="G611" t="str">
            <v>2654</v>
          </cell>
          <cell r="H611" t="str">
            <v>19860912</v>
          </cell>
          <cell r="I611">
            <v>24865083</v>
          </cell>
        </row>
        <row r="612">
          <cell r="A612" t="str">
            <v>9203354</v>
          </cell>
          <cell r="B612" t="str">
            <v>윤　명　섭</v>
          </cell>
          <cell r="C612" t="str">
            <v>9203354윤　명　섭</v>
          </cell>
          <cell r="D612" t="str">
            <v>CG32</v>
          </cell>
          <cell r="E612" t="str">
            <v>화물조업담당</v>
          </cell>
          <cell r="F612" t="str">
            <v>2140</v>
          </cell>
          <cell r="G612" t="str">
            <v>2652</v>
          </cell>
          <cell r="H612" t="str">
            <v>19920601</v>
          </cell>
          <cell r="I612">
            <v>9167095</v>
          </cell>
        </row>
        <row r="613">
          <cell r="A613" t="str">
            <v>9702404</v>
          </cell>
          <cell r="B613" t="str">
            <v>윤　종　길</v>
          </cell>
          <cell r="C613" t="str">
            <v>9702404윤　종　길</v>
          </cell>
          <cell r="D613" t="str">
            <v>CG32</v>
          </cell>
          <cell r="E613" t="str">
            <v>화물조업담당</v>
          </cell>
          <cell r="F613" t="str">
            <v>2140</v>
          </cell>
          <cell r="G613" t="str">
            <v>2652</v>
          </cell>
          <cell r="H613" t="str">
            <v>19970821</v>
          </cell>
          <cell r="I613">
            <v>3213920</v>
          </cell>
        </row>
        <row r="614">
          <cell r="A614" t="str">
            <v>9500782</v>
          </cell>
          <cell r="B614" t="str">
            <v>윤　태　상</v>
          </cell>
          <cell r="C614" t="str">
            <v>9500782윤　태　상</v>
          </cell>
          <cell r="D614" t="str">
            <v>CG32</v>
          </cell>
          <cell r="E614" t="str">
            <v>화물조업담당</v>
          </cell>
          <cell r="F614" t="str">
            <v>2140</v>
          </cell>
          <cell r="G614" t="str">
            <v>2652</v>
          </cell>
          <cell r="H614" t="str">
            <v>19950417</v>
          </cell>
          <cell r="I614">
            <v>5935156</v>
          </cell>
        </row>
        <row r="615">
          <cell r="A615" t="str">
            <v>7100245</v>
          </cell>
          <cell r="B615" t="str">
            <v>이　경　주</v>
          </cell>
          <cell r="C615" t="str">
            <v>7100245이　경　주</v>
          </cell>
          <cell r="D615" t="str">
            <v>CG32</v>
          </cell>
          <cell r="E615" t="str">
            <v>화물조업담당</v>
          </cell>
          <cell r="F615" t="str">
            <v>2140</v>
          </cell>
          <cell r="G615" t="str">
            <v>2652</v>
          </cell>
          <cell r="H615" t="str">
            <v>19710401</v>
          </cell>
          <cell r="I615">
            <v>61108623</v>
          </cell>
        </row>
        <row r="616">
          <cell r="A616" t="str">
            <v>8902067</v>
          </cell>
          <cell r="B616" t="str">
            <v>이　규　만</v>
          </cell>
          <cell r="C616" t="str">
            <v>8902067이　규　만</v>
          </cell>
          <cell r="D616" t="str">
            <v>CG32</v>
          </cell>
          <cell r="E616" t="str">
            <v>화물조업담당</v>
          </cell>
          <cell r="F616" t="str">
            <v>2140</v>
          </cell>
          <cell r="G616" t="str">
            <v>2652</v>
          </cell>
          <cell r="H616" t="str">
            <v>19881219</v>
          </cell>
          <cell r="I616">
            <v>16086594</v>
          </cell>
        </row>
        <row r="617">
          <cell r="A617" t="str">
            <v>8604696</v>
          </cell>
          <cell r="B617" t="str">
            <v>이　근　상</v>
          </cell>
          <cell r="C617" t="str">
            <v>8604696이　근　상</v>
          </cell>
          <cell r="D617" t="str">
            <v>CG32</v>
          </cell>
          <cell r="E617" t="str">
            <v>화물조업담당</v>
          </cell>
          <cell r="F617" t="str">
            <v>2140</v>
          </cell>
          <cell r="G617" t="str">
            <v>2652</v>
          </cell>
          <cell r="H617" t="str">
            <v>19861001</v>
          </cell>
          <cell r="I617">
            <v>24812395</v>
          </cell>
        </row>
        <row r="618">
          <cell r="A618" t="str">
            <v>8000324</v>
          </cell>
          <cell r="B618" t="str">
            <v>이　길　원</v>
          </cell>
          <cell r="C618" t="str">
            <v>8000324이　길　원</v>
          </cell>
          <cell r="D618" t="str">
            <v>CG32</v>
          </cell>
          <cell r="E618" t="str">
            <v>화물조업담당</v>
          </cell>
          <cell r="F618" t="str">
            <v>2140</v>
          </cell>
          <cell r="G618" t="str">
            <v>2652</v>
          </cell>
          <cell r="H618" t="str">
            <v>19801101</v>
          </cell>
          <cell r="I618">
            <v>34763867</v>
          </cell>
        </row>
        <row r="619">
          <cell r="A619" t="str">
            <v>9400994</v>
          </cell>
          <cell r="B619" t="str">
            <v>이　명　복</v>
          </cell>
          <cell r="C619" t="str">
            <v>9400994이　명　복</v>
          </cell>
          <cell r="D619" t="str">
            <v>CG32</v>
          </cell>
          <cell r="E619" t="str">
            <v>화물조업담당</v>
          </cell>
          <cell r="F619" t="str">
            <v>2140</v>
          </cell>
          <cell r="G619" t="str">
            <v>2652</v>
          </cell>
          <cell r="H619" t="str">
            <v>19940207</v>
          </cell>
          <cell r="I619">
            <v>9180233</v>
          </cell>
        </row>
        <row r="620">
          <cell r="A620" t="str">
            <v>9401657</v>
          </cell>
          <cell r="B620" t="str">
            <v>이　명　삼</v>
          </cell>
          <cell r="C620" t="str">
            <v>9401657이　명　삼</v>
          </cell>
          <cell r="D620" t="str">
            <v>CG32</v>
          </cell>
          <cell r="E620" t="str">
            <v>화물조업담당</v>
          </cell>
          <cell r="F620" t="str">
            <v>2140</v>
          </cell>
          <cell r="G620" t="str">
            <v>2652</v>
          </cell>
          <cell r="H620" t="str">
            <v>19940314</v>
          </cell>
          <cell r="I620">
            <v>7081342</v>
          </cell>
        </row>
        <row r="621">
          <cell r="A621" t="str">
            <v>7801007</v>
          </cell>
          <cell r="B621" t="str">
            <v>이　문　한</v>
          </cell>
          <cell r="C621" t="str">
            <v>7801007이　문　한</v>
          </cell>
          <cell r="D621" t="str">
            <v>CG32</v>
          </cell>
          <cell r="E621" t="str">
            <v>화물조업담당</v>
          </cell>
          <cell r="F621" t="str">
            <v>2140</v>
          </cell>
          <cell r="G621" t="str">
            <v>2652</v>
          </cell>
          <cell r="H621" t="str">
            <v>19781215</v>
          </cell>
          <cell r="I621">
            <v>40268331</v>
          </cell>
        </row>
        <row r="622">
          <cell r="A622" t="str">
            <v>8400508</v>
          </cell>
          <cell r="B622" t="str">
            <v>이　병　식</v>
          </cell>
          <cell r="C622" t="str">
            <v>8400508이　병　식</v>
          </cell>
          <cell r="D622" t="str">
            <v>CG32</v>
          </cell>
          <cell r="E622" t="str">
            <v>화물조업담당</v>
          </cell>
          <cell r="F622" t="str">
            <v>2140</v>
          </cell>
          <cell r="G622" t="str">
            <v>2652</v>
          </cell>
          <cell r="H622" t="str">
            <v>19840517</v>
          </cell>
          <cell r="I622">
            <v>28429621</v>
          </cell>
        </row>
        <row r="623">
          <cell r="A623" t="str">
            <v>9503190</v>
          </cell>
          <cell r="B623" t="str">
            <v>이　상　윤</v>
          </cell>
          <cell r="C623" t="str">
            <v>9503190이　상　윤</v>
          </cell>
          <cell r="D623" t="str">
            <v>CG32</v>
          </cell>
          <cell r="E623" t="str">
            <v>화물조업담당</v>
          </cell>
          <cell r="F623" t="str">
            <v>2140</v>
          </cell>
          <cell r="G623" t="str">
            <v>2652</v>
          </cell>
          <cell r="H623" t="str">
            <v>19951106</v>
          </cell>
          <cell r="I623">
            <v>4992282</v>
          </cell>
        </row>
        <row r="624">
          <cell r="A624" t="str">
            <v>9103948</v>
          </cell>
          <cell r="B624" t="str">
            <v>이　수　웅</v>
          </cell>
          <cell r="C624" t="str">
            <v>9103948이　수　웅</v>
          </cell>
          <cell r="D624" t="str">
            <v>CG32</v>
          </cell>
          <cell r="E624" t="str">
            <v>화물조업담당</v>
          </cell>
          <cell r="F624" t="str">
            <v>2140</v>
          </cell>
          <cell r="G624" t="str">
            <v>2653</v>
          </cell>
          <cell r="H624" t="str">
            <v>19910910</v>
          </cell>
          <cell r="I624">
            <v>10654283</v>
          </cell>
        </row>
        <row r="625">
          <cell r="A625" t="str">
            <v>9306606</v>
          </cell>
          <cell r="B625" t="str">
            <v>이　영　학</v>
          </cell>
          <cell r="C625" t="str">
            <v>9306606이　영　학</v>
          </cell>
          <cell r="D625" t="str">
            <v>CG32</v>
          </cell>
          <cell r="E625" t="str">
            <v>화물조업담당</v>
          </cell>
          <cell r="F625" t="str">
            <v>2140</v>
          </cell>
          <cell r="G625" t="str">
            <v>2652</v>
          </cell>
          <cell r="H625" t="str">
            <v>19931018</v>
          </cell>
          <cell r="I625">
            <v>10012487</v>
          </cell>
        </row>
        <row r="626">
          <cell r="A626" t="str">
            <v>9400713</v>
          </cell>
          <cell r="B626" t="str">
            <v>이　재　훈</v>
          </cell>
          <cell r="C626" t="str">
            <v>9400713이　재　훈</v>
          </cell>
          <cell r="D626" t="str">
            <v>CG32</v>
          </cell>
          <cell r="E626" t="str">
            <v>화물조업담당</v>
          </cell>
          <cell r="F626" t="str">
            <v>2140</v>
          </cell>
          <cell r="G626" t="str">
            <v>2652</v>
          </cell>
          <cell r="H626" t="str">
            <v>19940201</v>
          </cell>
          <cell r="I626">
            <v>8496347</v>
          </cell>
        </row>
        <row r="627">
          <cell r="A627" t="str">
            <v>9104231</v>
          </cell>
          <cell r="B627" t="str">
            <v>이　정　식</v>
          </cell>
          <cell r="C627" t="str">
            <v>9104231이　정　식</v>
          </cell>
          <cell r="D627" t="str">
            <v>CG32</v>
          </cell>
          <cell r="E627" t="str">
            <v>화물조업담당</v>
          </cell>
          <cell r="F627" t="str">
            <v>2140</v>
          </cell>
          <cell r="G627" t="str">
            <v>2652</v>
          </cell>
          <cell r="H627" t="str">
            <v>19911001</v>
          </cell>
          <cell r="I627">
            <v>11585560</v>
          </cell>
        </row>
        <row r="628">
          <cell r="A628" t="str">
            <v>9301397</v>
          </cell>
          <cell r="B628" t="str">
            <v>이　준　호</v>
          </cell>
          <cell r="C628" t="str">
            <v>9301397이　준　호</v>
          </cell>
          <cell r="D628" t="str">
            <v>CG32</v>
          </cell>
          <cell r="E628" t="str">
            <v>화물조업담당</v>
          </cell>
          <cell r="F628" t="str">
            <v>2140</v>
          </cell>
          <cell r="G628" t="str">
            <v>2652</v>
          </cell>
          <cell r="H628" t="str">
            <v>19930301</v>
          </cell>
          <cell r="I628">
            <v>9448397</v>
          </cell>
        </row>
        <row r="629">
          <cell r="A629" t="str">
            <v>9702448</v>
          </cell>
          <cell r="B629" t="str">
            <v>이　형　배</v>
          </cell>
          <cell r="C629" t="str">
            <v>9702448이　형　배</v>
          </cell>
          <cell r="D629" t="str">
            <v>CG32</v>
          </cell>
          <cell r="E629" t="str">
            <v>화물조업담당</v>
          </cell>
          <cell r="F629" t="str">
            <v>2140</v>
          </cell>
          <cell r="G629" t="e">
            <v>#N/A</v>
          </cell>
          <cell r="H629" t="str">
            <v>19970821</v>
          </cell>
          <cell r="I629">
            <v>2964255</v>
          </cell>
          <cell r="J629" t="str">
            <v>11 월</v>
          </cell>
          <cell r="K629">
            <v>4804758</v>
          </cell>
        </row>
        <row r="630">
          <cell r="A630" t="str">
            <v>9700661</v>
          </cell>
          <cell r="B630" t="str">
            <v>이　호　선</v>
          </cell>
          <cell r="C630" t="str">
            <v>9700661이　호　선</v>
          </cell>
          <cell r="D630" t="str">
            <v>CG32</v>
          </cell>
          <cell r="E630" t="str">
            <v>화물조업담당</v>
          </cell>
          <cell r="F630" t="str">
            <v>2140</v>
          </cell>
          <cell r="G630" t="e">
            <v>#N/A</v>
          </cell>
          <cell r="H630" t="str">
            <v>19970421</v>
          </cell>
          <cell r="I630">
            <v>3138752</v>
          </cell>
          <cell r="J630" t="str">
            <v>3 월</v>
          </cell>
          <cell r="K630">
            <v>3344286</v>
          </cell>
        </row>
        <row r="631">
          <cell r="A631" t="str">
            <v>9102723</v>
          </cell>
          <cell r="B631" t="str">
            <v>이　환　수</v>
          </cell>
          <cell r="C631" t="str">
            <v>9102723이　환　수</v>
          </cell>
          <cell r="D631" t="str">
            <v>CG32</v>
          </cell>
          <cell r="E631" t="str">
            <v>화물조업담당</v>
          </cell>
          <cell r="F631" t="str">
            <v>2140</v>
          </cell>
          <cell r="G631" t="str">
            <v>2652</v>
          </cell>
          <cell r="H631" t="str">
            <v>19910720</v>
          </cell>
          <cell r="I631">
            <v>13785330</v>
          </cell>
        </row>
        <row r="632">
          <cell r="A632" t="str">
            <v>8701132</v>
          </cell>
          <cell r="B632" t="str">
            <v>임　교　빈</v>
          </cell>
          <cell r="C632" t="str">
            <v>8701132임　교　빈</v>
          </cell>
          <cell r="D632" t="str">
            <v>CG32</v>
          </cell>
          <cell r="E632" t="str">
            <v>화물조업담당</v>
          </cell>
          <cell r="F632" t="str">
            <v>2140</v>
          </cell>
          <cell r="G632" t="str">
            <v>2652</v>
          </cell>
          <cell r="H632" t="str">
            <v>19870701</v>
          </cell>
          <cell r="I632">
            <v>20775124</v>
          </cell>
        </row>
        <row r="633">
          <cell r="A633" t="str">
            <v>7700703</v>
          </cell>
          <cell r="B633" t="str">
            <v>임　봉　준</v>
          </cell>
          <cell r="C633" t="str">
            <v>7700703임　봉　준</v>
          </cell>
          <cell r="D633" t="str">
            <v>CG32</v>
          </cell>
          <cell r="E633" t="str">
            <v>화물조업담당</v>
          </cell>
          <cell r="F633" t="str">
            <v>2140</v>
          </cell>
          <cell r="G633" t="str">
            <v>2652</v>
          </cell>
          <cell r="H633" t="str">
            <v>19981201</v>
          </cell>
          <cell r="I633">
            <v>2040655</v>
          </cell>
        </row>
        <row r="634">
          <cell r="A634" t="str">
            <v>9511727</v>
          </cell>
          <cell r="B634" t="str">
            <v>임　오　섭</v>
          </cell>
          <cell r="C634" t="str">
            <v>9511727임　오　섭</v>
          </cell>
          <cell r="D634" t="str">
            <v>CG32</v>
          </cell>
          <cell r="E634" t="str">
            <v>화물조업담당</v>
          </cell>
          <cell r="F634" t="str">
            <v>2140</v>
          </cell>
          <cell r="G634" t="str">
            <v>2652</v>
          </cell>
          <cell r="H634" t="str">
            <v>19951201</v>
          </cell>
          <cell r="I634">
            <v>6140781</v>
          </cell>
        </row>
        <row r="635">
          <cell r="A635" t="str">
            <v>9405202</v>
          </cell>
          <cell r="B635" t="str">
            <v>임　재　홍</v>
          </cell>
          <cell r="C635" t="str">
            <v>9405202임　재　홍</v>
          </cell>
          <cell r="D635" t="str">
            <v>CG32</v>
          </cell>
          <cell r="E635" t="str">
            <v>화물조업담당</v>
          </cell>
          <cell r="F635" t="str">
            <v>2140</v>
          </cell>
          <cell r="G635" t="str">
            <v>2652</v>
          </cell>
          <cell r="H635" t="str">
            <v>19940805</v>
          </cell>
          <cell r="I635">
            <v>7745196</v>
          </cell>
        </row>
        <row r="636">
          <cell r="A636" t="str">
            <v>9300115</v>
          </cell>
          <cell r="B636" t="str">
            <v>임　채　훈</v>
          </cell>
          <cell r="C636" t="str">
            <v>9300115임　채　훈</v>
          </cell>
          <cell r="D636" t="str">
            <v>CG32</v>
          </cell>
          <cell r="E636" t="str">
            <v>화물조업담당</v>
          </cell>
          <cell r="F636" t="str">
            <v>2140</v>
          </cell>
          <cell r="G636" t="str">
            <v>2652</v>
          </cell>
          <cell r="H636" t="str">
            <v>19930105</v>
          </cell>
          <cell r="I636">
            <v>9482787</v>
          </cell>
        </row>
        <row r="637">
          <cell r="A637" t="str">
            <v>7801018</v>
          </cell>
          <cell r="B637" t="str">
            <v>장　석　성</v>
          </cell>
          <cell r="C637" t="str">
            <v>7801018장　석　성</v>
          </cell>
          <cell r="D637" t="str">
            <v>CG32</v>
          </cell>
          <cell r="E637" t="str">
            <v>화물조업담당</v>
          </cell>
          <cell r="F637" t="str">
            <v>2140</v>
          </cell>
          <cell r="G637" t="str">
            <v>2652</v>
          </cell>
          <cell r="H637" t="str">
            <v>19781215</v>
          </cell>
          <cell r="I637">
            <v>40843321</v>
          </cell>
        </row>
        <row r="638">
          <cell r="A638" t="str">
            <v>8800740</v>
          </cell>
          <cell r="B638" t="str">
            <v>장　순　두</v>
          </cell>
          <cell r="C638" t="str">
            <v>8800740장　순　두</v>
          </cell>
          <cell r="D638" t="str">
            <v>CG32</v>
          </cell>
          <cell r="E638" t="str">
            <v>화물조업담당</v>
          </cell>
          <cell r="F638" t="str">
            <v>2140</v>
          </cell>
          <cell r="G638" t="str">
            <v>2652</v>
          </cell>
          <cell r="H638" t="str">
            <v>19880430</v>
          </cell>
          <cell r="I638">
            <v>17775544</v>
          </cell>
        </row>
        <row r="639">
          <cell r="A639" t="str">
            <v>8510062</v>
          </cell>
          <cell r="B639" t="str">
            <v>장　철　　</v>
          </cell>
          <cell r="C639" t="str">
            <v>8510062장　철　　</v>
          </cell>
          <cell r="D639" t="str">
            <v>CG32</v>
          </cell>
          <cell r="E639" t="str">
            <v>화물조업담당</v>
          </cell>
          <cell r="F639" t="str">
            <v>2140</v>
          </cell>
          <cell r="G639" t="str">
            <v>2652</v>
          </cell>
          <cell r="H639" t="str">
            <v>19850401</v>
          </cell>
          <cell r="I639">
            <v>33108503</v>
          </cell>
        </row>
        <row r="640">
          <cell r="A640" t="str">
            <v>7100234</v>
          </cell>
          <cell r="B640" t="str">
            <v>전　양　택</v>
          </cell>
          <cell r="C640" t="str">
            <v>7100234전　양　택</v>
          </cell>
          <cell r="D640" t="str">
            <v>CG32</v>
          </cell>
          <cell r="E640" t="str">
            <v>화물조업담당</v>
          </cell>
          <cell r="F640" t="str">
            <v>2140</v>
          </cell>
          <cell r="G640" t="str">
            <v>2652</v>
          </cell>
          <cell r="H640" t="str">
            <v>19710401</v>
          </cell>
          <cell r="I640">
            <v>66944787</v>
          </cell>
        </row>
        <row r="641">
          <cell r="A641" t="str">
            <v>9306573</v>
          </cell>
          <cell r="B641" t="str">
            <v>전　용　준</v>
          </cell>
          <cell r="C641" t="str">
            <v>9306573전　용　준</v>
          </cell>
          <cell r="D641" t="str">
            <v>CG32</v>
          </cell>
          <cell r="E641" t="str">
            <v>화물조업담당</v>
          </cell>
          <cell r="F641" t="str">
            <v>2140</v>
          </cell>
          <cell r="G641" t="str">
            <v>2652</v>
          </cell>
          <cell r="H641" t="str">
            <v>19931018</v>
          </cell>
          <cell r="I641">
            <v>9580312</v>
          </cell>
        </row>
        <row r="642">
          <cell r="A642" t="str">
            <v>9610154</v>
          </cell>
          <cell r="B642" t="str">
            <v>정　배　운</v>
          </cell>
          <cell r="C642" t="str">
            <v>9610154정　배　운</v>
          </cell>
          <cell r="D642" t="str">
            <v>CG32</v>
          </cell>
          <cell r="E642" t="str">
            <v>화물조업담당</v>
          </cell>
          <cell r="F642" t="str">
            <v>2140</v>
          </cell>
          <cell r="G642" t="str">
            <v>2652</v>
          </cell>
          <cell r="H642" t="str">
            <v>19960401</v>
          </cell>
          <cell r="I642">
            <v>5245316</v>
          </cell>
        </row>
        <row r="643">
          <cell r="A643" t="str">
            <v>7900288</v>
          </cell>
          <cell r="B643" t="str">
            <v>정　삼　현</v>
          </cell>
          <cell r="C643" t="str">
            <v>7900288정　삼　현</v>
          </cell>
          <cell r="D643" t="str">
            <v>CG32</v>
          </cell>
          <cell r="E643" t="str">
            <v>화물조업담당</v>
          </cell>
          <cell r="F643" t="str">
            <v>2140</v>
          </cell>
          <cell r="G643" t="str">
            <v>2652</v>
          </cell>
          <cell r="H643" t="str">
            <v>19790510</v>
          </cell>
          <cell r="I643">
            <v>41890778</v>
          </cell>
        </row>
        <row r="644">
          <cell r="A644" t="str">
            <v>8601772</v>
          </cell>
          <cell r="B644" t="str">
            <v>정　순　모</v>
          </cell>
          <cell r="C644" t="str">
            <v>8601772정　순　모</v>
          </cell>
          <cell r="D644" t="str">
            <v>CG32</v>
          </cell>
          <cell r="E644" t="str">
            <v>화물조업담당</v>
          </cell>
          <cell r="F644" t="str">
            <v>2140</v>
          </cell>
          <cell r="G644" t="str">
            <v>2652</v>
          </cell>
          <cell r="H644" t="str">
            <v>19860616</v>
          </cell>
          <cell r="I644">
            <v>22905217</v>
          </cell>
        </row>
        <row r="645">
          <cell r="A645" t="str">
            <v>9700716</v>
          </cell>
          <cell r="B645" t="str">
            <v>정　양　채</v>
          </cell>
          <cell r="C645" t="str">
            <v>9700716정　양　채</v>
          </cell>
          <cell r="D645" t="str">
            <v>CG32</v>
          </cell>
          <cell r="E645" t="str">
            <v>화물조업담당</v>
          </cell>
          <cell r="F645" t="str">
            <v>2140</v>
          </cell>
          <cell r="G645" t="str">
            <v>2652</v>
          </cell>
          <cell r="H645" t="str">
            <v>19970421</v>
          </cell>
          <cell r="I645">
            <v>3385571</v>
          </cell>
        </row>
        <row r="646">
          <cell r="A646" t="str">
            <v>6900028</v>
          </cell>
          <cell r="B646" t="str">
            <v>정　일　순</v>
          </cell>
          <cell r="C646" t="str">
            <v>6900028정　일　순</v>
          </cell>
          <cell r="D646" t="str">
            <v>CG32</v>
          </cell>
          <cell r="E646" t="str">
            <v>화물조업담당</v>
          </cell>
          <cell r="F646" t="str">
            <v>2140</v>
          </cell>
          <cell r="G646" t="str">
            <v>2652</v>
          </cell>
          <cell r="H646" t="str">
            <v>19690801</v>
          </cell>
          <cell r="I646">
            <v>65420320</v>
          </cell>
        </row>
        <row r="647">
          <cell r="A647" t="str">
            <v>7800715</v>
          </cell>
          <cell r="B647" t="str">
            <v>정　재　천</v>
          </cell>
          <cell r="C647" t="str">
            <v>7800715정　재　천</v>
          </cell>
          <cell r="D647" t="str">
            <v>CG32</v>
          </cell>
          <cell r="E647" t="str">
            <v>화물조업담당</v>
          </cell>
          <cell r="F647" t="str">
            <v>2140</v>
          </cell>
          <cell r="G647" t="str">
            <v>2652</v>
          </cell>
          <cell r="H647" t="str">
            <v>19780823</v>
          </cell>
          <cell r="I647">
            <v>41207085</v>
          </cell>
        </row>
        <row r="648">
          <cell r="A648" t="str">
            <v>8200181</v>
          </cell>
          <cell r="B648" t="str">
            <v>정　택　상</v>
          </cell>
          <cell r="C648" t="str">
            <v>8200181정　택　상</v>
          </cell>
          <cell r="D648" t="str">
            <v>CG32</v>
          </cell>
          <cell r="E648" t="str">
            <v>화물조업담당</v>
          </cell>
          <cell r="F648" t="str">
            <v>2140</v>
          </cell>
          <cell r="G648" t="str">
            <v>2652</v>
          </cell>
          <cell r="H648" t="str">
            <v>19820201</v>
          </cell>
          <cell r="I648">
            <v>32853601</v>
          </cell>
        </row>
        <row r="649">
          <cell r="A649" t="str">
            <v>8601816</v>
          </cell>
          <cell r="B649" t="str">
            <v>조　권　구</v>
          </cell>
          <cell r="C649" t="str">
            <v>8601816조　권　구</v>
          </cell>
          <cell r="D649" t="str">
            <v>CG32</v>
          </cell>
          <cell r="E649" t="str">
            <v>화물조업담당</v>
          </cell>
          <cell r="F649" t="str">
            <v>2140</v>
          </cell>
          <cell r="G649" t="str">
            <v>2652</v>
          </cell>
          <cell r="H649" t="str">
            <v>19860616</v>
          </cell>
          <cell r="I649">
            <v>25431465</v>
          </cell>
        </row>
        <row r="650">
          <cell r="A650" t="str">
            <v>8300261</v>
          </cell>
          <cell r="B650" t="str">
            <v>조　길　웅</v>
          </cell>
          <cell r="C650" t="str">
            <v>8300261조　길　웅</v>
          </cell>
          <cell r="D650" t="str">
            <v>CG32</v>
          </cell>
          <cell r="E650" t="str">
            <v>화물조업담당</v>
          </cell>
          <cell r="F650" t="str">
            <v>2140</v>
          </cell>
          <cell r="G650" t="str">
            <v>2652</v>
          </cell>
          <cell r="H650" t="str">
            <v>19981201</v>
          </cell>
          <cell r="I650">
            <v>2010696</v>
          </cell>
        </row>
        <row r="651">
          <cell r="A651" t="str">
            <v>9411546</v>
          </cell>
          <cell r="B651" t="str">
            <v>조　병　연</v>
          </cell>
          <cell r="C651" t="str">
            <v>9411546조　병　연</v>
          </cell>
          <cell r="D651" t="str">
            <v>CG32</v>
          </cell>
          <cell r="E651" t="str">
            <v>화물조업담당</v>
          </cell>
          <cell r="F651" t="str">
            <v>2140</v>
          </cell>
          <cell r="G651" t="str">
            <v>2653</v>
          </cell>
          <cell r="H651" t="str">
            <v>19940901</v>
          </cell>
          <cell r="I651">
            <v>6165188</v>
          </cell>
        </row>
        <row r="652">
          <cell r="A652" t="str">
            <v>8200113</v>
          </cell>
          <cell r="B652" t="str">
            <v>조　욱　환</v>
          </cell>
          <cell r="C652" t="str">
            <v>8200113조　욱　환</v>
          </cell>
          <cell r="D652" t="str">
            <v>CG32</v>
          </cell>
          <cell r="E652" t="str">
            <v>화물조업담당</v>
          </cell>
          <cell r="F652" t="str">
            <v>2140</v>
          </cell>
          <cell r="G652" t="str">
            <v>2652</v>
          </cell>
          <cell r="H652" t="str">
            <v>19820201</v>
          </cell>
          <cell r="I652">
            <v>32787764</v>
          </cell>
        </row>
        <row r="653">
          <cell r="A653" t="str">
            <v>8400745</v>
          </cell>
          <cell r="B653" t="str">
            <v>최　병　하</v>
          </cell>
          <cell r="C653" t="str">
            <v>8400745최　병　하</v>
          </cell>
          <cell r="D653" t="str">
            <v>CG32</v>
          </cell>
          <cell r="E653" t="str">
            <v>화물조업담당</v>
          </cell>
          <cell r="F653" t="str">
            <v>2140</v>
          </cell>
          <cell r="G653" t="str">
            <v>2652</v>
          </cell>
          <cell r="H653" t="str">
            <v>19840813</v>
          </cell>
          <cell r="I653">
            <v>30055752</v>
          </cell>
        </row>
        <row r="654">
          <cell r="A654" t="str">
            <v>9002428</v>
          </cell>
          <cell r="B654" t="str">
            <v>최　영　환</v>
          </cell>
          <cell r="C654" t="str">
            <v>9002428최　영　환</v>
          </cell>
          <cell r="D654" t="str">
            <v>CG32</v>
          </cell>
          <cell r="E654" t="str">
            <v>화물조업담당</v>
          </cell>
          <cell r="F654" t="str">
            <v>2140</v>
          </cell>
          <cell r="G654" t="str">
            <v>2652</v>
          </cell>
          <cell r="H654" t="str">
            <v>19900110</v>
          </cell>
          <cell r="I654">
            <v>15682647</v>
          </cell>
        </row>
        <row r="655">
          <cell r="A655" t="str">
            <v>8300981</v>
          </cell>
          <cell r="B655" t="str">
            <v>최　용　섭</v>
          </cell>
          <cell r="C655" t="str">
            <v>8300981최　용　섭</v>
          </cell>
          <cell r="D655" t="str">
            <v>CG32</v>
          </cell>
          <cell r="E655" t="str">
            <v>화물조업담당</v>
          </cell>
          <cell r="F655" t="str">
            <v>2140</v>
          </cell>
          <cell r="G655" t="str">
            <v>2652</v>
          </cell>
          <cell r="H655" t="str">
            <v>19831226</v>
          </cell>
          <cell r="I655">
            <v>37298463</v>
          </cell>
        </row>
        <row r="656">
          <cell r="A656" t="str">
            <v>9300240</v>
          </cell>
          <cell r="B656" t="str">
            <v>최　종　수</v>
          </cell>
          <cell r="C656" t="str">
            <v>9300240최　종　수</v>
          </cell>
          <cell r="D656" t="str">
            <v>CG32</v>
          </cell>
          <cell r="E656" t="str">
            <v>화물조업담당</v>
          </cell>
          <cell r="F656" t="str">
            <v>2140</v>
          </cell>
          <cell r="G656" t="str">
            <v>2652</v>
          </cell>
          <cell r="H656" t="str">
            <v>19930105</v>
          </cell>
          <cell r="I656">
            <v>9182371</v>
          </cell>
        </row>
        <row r="657">
          <cell r="A657" t="str">
            <v>7400103</v>
          </cell>
          <cell r="B657" t="str">
            <v>한　삼　용</v>
          </cell>
          <cell r="C657" t="str">
            <v>7400103한　삼　용</v>
          </cell>
          <cell r="D657" t="str">
            <v>CG32</v>
          </cell>
          <cell r="E657" t="str">
            <v>화물조업담당</v>
          </cell>
          <cell r="F657" t="str">
            <v>2140</v>
          </cell>
          <cell r="G657" t="str">
            <v>2652</v>
          </cell>
          <cell r="H657" t="str">
            <v>19740701</v>
          </cell>
          <cell r="I657">
            <v>51790104</v>
          </cell>
        </row>
        <row r="658">
          <cell r="A658" t="str">
            <v>9701291</v>
          </cell>
          <cell r="B658" t="str">
            <v>한　충　기</v>
          </cell>
          <cell r="C658" t="str">
            <v>9701291한　충　기</v>
          </cell>
          <cell r="D658" t="str">
            <v>CG32</v>
          </cell>
          <cell r="E658" t="str">
            <v>화물조업담당</v>
          </cell>
          <cell r="F658" t="str">
            <v>2140</v>
          </cell>
          <cell r="G658" t="str">
            <v>2652</v>
          </cell>
          <cell r="H658" t="str">
            <v>19970601</v>
          </cell>
          <cell r="I658">
            <v>3203848</v>
          </cell>
        </row>
        <row r="659">
          <cell r="A659" t="str">
            <v>8711212</v>
          </cell>
          <cell r="B659" t="str">
            <v>홍　용　희</v>
          </cell>
          <cell r="C659" t="str">
            <v>8711212홍　용　희</v>
          </cell>
          <cell r="D659" t="str">
            <v>CG32</v>
          </cell>
          <cell r="E659" t="str">
            <v>화물조업담당</v>
          </cell>
          <cell r="F659" t="str">
            <v>2140</v>
          </cell>
          <cell r="G659" t="str">
            <v>2654</v>
          </cell>
          <cell r="H659" t="str">
            <v>19870928</v>
          </cell>
          <cell r="I659">
            <v>19626802</v>
          </cell>
        </row>
        <row r="660">
          <cell r="A660" t="str">
            <v>8500364</v>
          </cell>
          <cell r="B660" t="str">
            <v>황　규　호</v>
          </cell>
          <cell r="C660" t="str">
            <v>8500364황　규　호</v>
          </cell>
          <cell r="D660" t="str">
            <v>CG32</v>
          </cell>
          <cell r="E660" t="str">
            <v>화물조업담당</v>
          </cell>
          <cell r="F660" t="str">
            <v>2140</v>
          </cell>
          <cell r="G660" t="str">
            <v>2652</v>
          </cell>
          <cell r="H660" t="str">
            <v>19850215</v>
          </cell>
          <cell r="I660">
            <v>24105535</v>
          </cell>
        </row>
        <row r="661">
          <cell r="A661" t="str">
            <v>8510242</v>
          </cell>
          <cell r="B661" t="str">
            <v>강　대　우</v>
          </cell>
          <cell r="C661" t="str">
            <v>8510242강　대　우</v>
          </cell>
          <cell r="D661" t="str">
            <v>CG34</v>
          </cell>
          <cell r="E661" t="str">
            <v>화물조업담당</v>
          </cell>
          <cell r="F661" t="str">
            <v>2140</v>
          </cell>
          <cell r="G661" t="str">
            <v>2652</v>
          </cell>
          <cell r="H661" t="str">
            <v>19851011</v>
          </cell>
          <cell r="I661">
            <v>30050107</v>
          </cell>
        </row>
        <row r="662">
          <cell r="A662" t="str">
            <v>9511918</v>
          </cell>
          <cell r="B662" t="str">
            <v>강　유　진</v>
          </cell>
          <cell r="C662" t="str">
            <v>9511918강　유　진</v>
          </cell>
          <cell r="D662" t="str">
            <v>CG34</v>
          </cell>
          <cell r="E662" t="str">
            <v>화물조업담당</v>
          </cell>
          <cell r="F662" t="str">
            <v>2140</v>
          </cell>
          <cell r="G662" t="str">
            <v>2654</v>
          </cell>
          <cell r="H662" t="str">
            <v>19951201</v>
          </cell>
          <cell r="I662">
            <v>5501110</v>
          </cell>
        </row>
        <row r="663">
          <cell r="A663" t="str">
            <v>8201013</v>
          </cell>
          <cell r="B663" t="str">
            <v>강　재　원</v>
          </cell>
          <cell r="C663" t="str">
            <v>8201013강　재　원</v>
          </cell>
          <cell r="D663" t="str">
            <v>CG34</v>
          </cell>
          <cell r="E663" t="str">
            <v>화물조업담당</v>
          </cell>
          <cell r="F663" t="str">
            <v>2140</v>
          </cell>
          <cell r="G663" t="str">
            <v>2652</v>
          </cell>
          <cell r="H663" t="str">
            <v>19821016</v>
          </cell>
          <cell r="I663">
            <v>27816583</v>
          </cell>
        </row>
        <row r="664">
          <cell r="A664" t="str">
            <v>9702393</v>
          </cell>
          <cell r="B664" t="str">
            <v>고　상　훈</v>
          </cell>
          <cell r="C664" t="str">
            <v>9702393고　상　훈</v>
          </cell>
          <cell r="D664" t="str">
            <v>CG34</v>
          </cell>
          <cell r="E664" t="str">
            <v>화물조업담당</v>
          </cell>
          <cell r="F664" t="str">
            <v>2140</v>
          </cell>
          <cell r="G664" t="str">
            <v>2652</v>
          </cell>
          <cell r="H664" t="str">
            <v>19970821</v>
          </cell>
          <cell r="I664">
            <v>3167717</v>
          </cell>
        </row>
        <row r="665">
          <cell r="A665" t="str">
            <v>8610175</v>
          </cell>
          <cell r="B665" t="str">
            <v>권　헌　수</v>
          </cell>
          <cell r="C665" t="str">
            <v>8610175권　헌　수</v>
          </cell>
          <cell r="D665" t="str">
            <v>CG34</v>
          </cell>
          <cell r="E665" t="str">
            <v>화물조업담당</v>
          </cell>
          <cell r="F665" t="str">
            <v>2140</v>
          </cell>
          <cell r="G665" t="str">
            <v>2652</v>
          </cell>
          <cell r="H665" t="str">
            <v>19860401</v>
          </cell>
          <cell r="I665">
            <v>26649289</v>
          </cell>
        </row>
        <row r="666">
          <cell r="A666" t="str">
            <v>9207652</v>
          </cell>
          <cell r="B666" t="str">
            <v>권　혁　전</v>
          </cell>
          <cell r="C666" t="str">
            <v>9207652권　혁　전</v>
          </cell>
          <cell r="D666" t="str">
            <v>CG34</v>
          </cell>
          <cell r="E666" t="str">
            <v>화물조업담당</v>
          </cell>
          <cell r="F666" t="str">
            <v>2140</v>
          </cell>
          <cell r="G666" t="str">
            <v>2652</v>
          </cell>
          <cell r="H666" t="str">
            <v>19921201</v>
          </cell>
          <cell r="I666">
            <v>10130315</v>
          </cell>
        </row>
        <row r="667">
          <cell r="A667" t="str">
            <v>8810897</v>
          </cell>
          <cell r="B667" t="str">
            <v>기　충　도</v>
          </cell>
          <cell r="C667" t="str">
            <v>8810897기　충　도</v>
          </cell>
          <cell r="D667" t="str">
            <v>CG34</v>
          </cell>
          <cell r="E667" t="str">
            <v>화물조업담당</v>
          </cell>
          <cell r="F667" t="str">
            <v>2140</v>
          </cell>
          <cell r="G667" t="str">
            <v>2652</v>
          </cell>
          <cell r="H667" t="str">
            <v>19880701</v>
          </cell>
          <cell r="I667">
            <v>23955643</v>
          </cell>
        </row>
        <row r="668">
          <cell r="A668" t="str">
            <v>8401263</v>
          </cell>
          <cell r="B668" t="str">
            <v>김　기　춘</v>
          </cell>
          <cell r="C668" t="str">
            <v>8401263김　기　춘</v>
          </cell>
          <cell r="D668" t="str">
            <v>CG34</v>
          </cell>
          <cell r="E668" t="str">
            <v>화물조업담당</v>
          </cell>
          <cell r="F668" t="str">
            <v>2140</v>
          </cell>
          <cell r="G668" t="e">
            <v>#N/A</v>
          </cell>
          <cell r="H668" t="str">
            <v>19840901</v>
          </cell>
          <cell r="I668">
            <v>20692705</v>
          </cell>
          <cell r="J668" t="str">
            <v>3 월</v>
          </cell>
          <cell r="K668">
            <v>21185248</v>
          </cell>
        </row>
        <row r="669">
          <cell r="A669" t="str">
            <v>9710807</v>
          </cell>
          <cell r="B669" t="str">
            <v>김　기　태</v>
          </cell>
          <cell r="C669" t="str">
            <v>9710807김　기　태</v>
          </cell>
          <cell r="D669" t="str">
            <v>CG34</v>
          </cell>
          <cell r="E669" t="str">
            <v>화물조업담당</v>
          </cell>
          <cell r="F669" t="str">
            <v>2140</v>
          </cell>
          <cell r="G669" t="str">
            <v>2652</v>
          </cell>
          <cell r="H669" t="str">
            <v>19970401</v>
          </cell>
          <cell r="I669">
            <v>4005605</v>
          </cell>
        </row>
        <row r="670">
          <cell r="A670" t="str">
            <v>8900122</v>
          </cell>
          <cell r="B670" t="str">
            <v>김　남　수</v>
          </cell>
          <cell r="C670" t="str">
            <v>8900122김　남　수</v>
          </cell>
          <cell r="D670" t="str">
            <v>CG34</v>
          </cell>
          <cell r="E670" t="str">
            <v>화물조업담당</v>
          </cell>
          <cell r="F670" t="str">
            <v>2140</v>
          </cell>
          <cell r="G670" t="str">
            <v>2652</v>
          </cell>
          <cell r="H670" t="str">
            <v>19880715</v>
          </cell>
          <cell r="I670">
            <v>15067833</v>
          </cell>
        </row>
        <row r="671">
          <cell r="A671" t="str">
            <v>8610704</v>
          </cell>
          <cell r="B671" t="str">
            <v>김　남　은</v>
          </cell>
          <cell r="C671" t="str">
            <v>8610704김　남　은</v>
          </cell>
          <cell r="D671" t="str">
            <v>CG34</v>
          </cell>
          <cell r="E671" t="str">
            <v>화물조업담당</v>
          </cell>
          <cell r="F671" t="str">
            <v>2140</v>
          </cell>
          <cell r="G671" t="str">
            <v>2652</v>
          </cell>
          <cell r="H671" t="str">
            <v>19860823</v>
          </cell>
          <cell r="I671">
            <v>24709195</v>
          </cell>
        </row>
        <row r="672">
          <cell r="A672" t="str">
            <v>9500308</v>
          </cell>
          <cell r="B672" t="str">
            <v>김　동　완</v>
          </cell>
          <cell r="C672" t="str">
            <v>9500308김　동　완</v>
          </cell>
          <cell r="D672" t="str">
            <v>CG34</v>
          </cell>
          <cell r="E672" t="str">
            <v>화물조업담당</v>
          </cell>
          <cell r="F672" t="str">
            <v>2140</v>
          </cell>
          <cell r="G672" t="str">
            <v>2652</v>
          </cell>
          <cell r="H672" t="str">
            <v>19950105</v>
          </cell>
          <cell r="I672">
            <v>6421671</v>
          </cell>
        </row>
        <row r="673">
          <cell r="A673" t="str">
            <v>8610401</v>
          </cell>
          <cell r="B673" t="str">
            <v>김　명　환</v>
          </cell>
          <cell r="C673" t="str">
            <v>8610401김　명　환</v>
          </cell>
          <cell r="D673" t="str">
            <v>CG34</v>
          </cell>
          <cell r="E673" t="str">
            <v>화물조업담당</v>
          </cell>
          <cell r="F673" t="str">
            <v>2140</v>
          </cell>
          <cell r="G673" t="str">
            <v>2652</v>
          </cell>
          <cell r="H673" t="str">
            <v>19860519</v>
          </cell>
          <cell r="I673">
            <v>25902764</v>
          </cell>
        </row>
        <row r="674">
          <cell r="A674" t="str">
            <v>9411491</v>
          </cell>
          <cell r="B674" t="str">
            <v>김　복　수</v>
          </cell>
          <cell r="C674" t="str">
            <v>9411491김　복　수</v>
          </cell>
          <cell r="D674" t="str">
            <v>CG34</v>
          </cell>
          <cell r="E674" t="str">
            <v>화물조업담당</v>
          </cell>
          <cell r="F674" t="str">
            <v>2140</v>
          </cell>
          <cell r="G674" t="str">
            <v>2652</v>
          </cell>
          <cell r="H674" t="str">
            <v>19940901</v>
          </cell>
          <cell r="I674">
            <v>5827613</v>
          </cell>
        </row>
        <row r="675">
          <cell r="A675" t="str">
            <v>9110856</v>
          </cell>
          <cell r="B675" t="str">
            <v>김　상　구</v>
          </cell>
          <cell r="C675" t="str">
            <v>9110856김　상　구</v>
          </cell>
          <cell r="D675" t="str">
            <v>CG34</v>
          </cell>
          <cell r="E675" t="str">
            <v>화물조업담당</v>
          </cell>
          <cell r="F675" t="str">
            <v>2140</v>
          </cell>
          <cell r="G675" t="str">
            <v>2652</v>
          </cell>
          <cell r="H675" t="str">
            <v>19910617</v>
          </cell>
          <cell r="I675">
            <v>11023249</v>
          </cell>
        </row>
        <row r="676">
          <cell r="A676" t="str">
            <v>8600703</v>
          </cell>
          <cell r="B676" t="str">
            <v>김　상　돌</v>
          </cell>
          <cell r="C676" t="str">
            <v>8600703김　상　돌</v>
          </cell>
          <cell r="D676" t="str">
            <v>CG34</v>
          </cell>
          <cell r="E676" t="str">
            <v>화물조업담당</v>
          </cell>
          <cell r="F676" t="str">
            <v>2140</v>
          </cell>
          <cell r="G676" t="str">
            <v>2652</v>
          </cell>
          <cell r="H676" t="str">
            <v>19860401</v>
          </cell>
          <cell r="I676">
            <v>26240331</v>
          </cell>
        </row>
        <row r="677">
          <cell r="A677" t="str">
            <v>8610726</v>
          </cell>
          <cell r="B677" t="str">
            <v>김　승　문</v>
          </cell>
          <cell r="C677" t="str">
            <v>8610726김　승　문</v>
          </cell>
          <cell r="D677" t="str">
            <v>CG34</v>
          </cell>
          <cell r="E677" t="str">
            <v>화물조업담당</v>
          </cell>
          <cell r="F677" t="str">
            <v>2140</v>
          </cell>
          <cell r="G677" t="str">
            <v>2652</v>
          </cell>
          <cell r="H677" t="str">
            <v>19860823</v>
          </cell>
          <cell r="I677">
            <v>25648727</v>
          </cell>
        </row>
        <row r="678">
          <cell r="A678" t="str">
            <v>9211893</v>
          </cell>
          <cell r="B678" t="str">
            <v>김　영　주</v>
          </cell>
          <cell r="C678" t="str">
            <v>9211893김　영　주</v>
          </cell>
          <cell r="D678" t="str">
            <v>CG34</v>
          </cell>
          <cell r="E678" t="str">
            <v>화물조업담당</v>
          </cell>
          <cell r="F678" t="str">
            <v>2140</v>
          </cell>
          <cell r="G678" t="str">
            <v>2652</v>
          </cell>
          <cell r="H678" t="str">
            <v>19921008</v>
          </cell>
          <cell r="I678">
            <v>9127214</v>
          </cell>
        </row>
        <row r="679">
          <cell r="A679" t="str">
            <v>8410072</v>
          </cell>
          <cell r="B679" t="str">
            <v>김　용　준</v>
          </cell>
          <cell r="C679" t="str">
            <v>8410072김　용　준</v>
          </cell>
          <cell r="D679" t="str">
            <v>CG34</v>
          </cell>
          <cell r="E679" t="str">
            <v>화물조업담당</v>
          </cell>
          <cell r="F679" t="str">
            <v>2140</v>
          </cell>
          <cell r="G679" t="str">
            <v>2652</v>
          </cell>
          <cell r="H679" t="str">
            <v>19840402</v>
          </cell>
          <cell r="I679">
            <v>33282041</v>
          </cell>
        </row>
        <row r="680">
          <cell r="A680" t="str">
            <v>9103410</v>
          </cell>
          <cell r="B680" t="str">
            <v>김　종　철</v>
          </cell>
          <cell r="C680" t="str">
            <v>9103410김　종　철</v>
          </cell>
          <cell r="D680" t="str">
            <v>CG34</v>
          </cell>
          <cell r="E680" t="str">
            <v>화물조업담당</v>
          </cell>
          <cell r="F680" t="str">
            <v>2140</v>
          </cell>
          <cell r="G680" t="str">
            <v>2652</v>
          </cell>
          <cell r="H680" t="str">
            <v>19910807</v>
          </cell>
          <cell r="I680">
            <v>11306168</v>
          </cell>
        </row>
        <row r="681">
          <cell r="A681" t="str">
            <v>8110563</v>
          </cell>
          <cell r="B681" t="str">
            <v>김　지　용</v>
          </cell>
          <cell r="C681" t="str">
            <v>8110563김　지　용</v>
          </cell>
          <cell r="D681" t="str">
            <v>CG34</v>
          </cell>
          <cell r="E681" t="str">
            <v>화물조업담당</v>
          </cell>
          <cell r="F681" t="str">
            <v>2140</v>
          </cell>
          <cell r="G681" t="str">
            <v>2652</v>
          </cell>
          <cell r="H681" t="str">
            <v>19810301</v>
          </cell>
          <cell r="I681">
            <v>46110205</v>
          </cell>
        </row>
        <row r="682">
          <cell r="A682" t="str">
            <v>8300237</v>
          </cell>
          <cell r="B682" t="str">
            <v>김　진　태</v>
          </cell>
          <cell r="C682" t="str">
            <v>8300237김　진　태</v>
          </cell>
          <cell r="D682" t="str">
            <v>CG34</v>
          </cell>
          <cell r="E682" t="str">
            <v>화물조업담당</v>
          </cell>
          <cell r="F682" t="str">
            <v>2140</v>
          </cell>
          <cell r="G682" t="e">
            <v>#N/A</v>
          </cell>
          <cell r="H682" t="str">
            <v>19830501</v>
          </cell>
          <cell r="I682">
            <v>28831423</v>
          </cell>
          <cell r="J682" t="str">
            <v>8 월</v>
          </cell>
          <cell r="K682">
            <v>34394298</v>
          </cell>
        </row>
        <row r="683">
          <cell r="A683" t="str">
            <v>8510253</v>
          </cell>
          <cell r="B683" t="str">
            <v>김　학　기</v>
          </cell>
          <cell r="C683" t="str">
            <v>8510253김　학　기</v>
          </cell>
          <cell r="D683" t="str">
            <v>CG34</v>
          </cell>
          <cell r="E683" t="str">
            <v>화물조업담당</v>
          </cell>
          <cell r="F683" t="str">
            <v>2140</v>
          </cell>
          <cell r="G683" t="str">
            <v>2652</v>
          </cell>
          <cell r="H683" t="str">
            <v>19851011</v>
          </cell>
          <cell r="I683">
            <v>29394026</v>
          </cell>
        </row>
        <row r="684">
          <cell r="A684" t="str">
            <v>8200585</v>
          </cell>
          <cell r="B684" t="str">
            <v>김　한　배</v>
          </cell>
          <cell r="C684" t="str">
            <v>8200585김　한　배</v>
          </cell>
          <cell r="D684" t="str">
            <v>CG34</v>
          </cell>
          <cell r="E684" t="str">
            <v>화물조업담당</v>
          </cell>
          <cell r="F684" t="str">
            <v>2140</v>
          </cell>
          <cell r="G684" t="str">
            <v>2652</v>
          </cell>
          <cell r="H684" t="str">
            <v>19820801</v>
          </cell>
          <cell r="I684">
            <v>30181046</v>
          </cell>
        </row>
        <row r="685">
          <cell r="A685" t="str">
            <v>9301768</v>
          </cell>
          <cell r="B685" t="str">
            <v>나　대　훈</v>
          </cell>
          <cell r="C685" t="str">
            <v>9301768나　대　훈</v>
          </cell>
          <cell r="D685" t="str">
            <v>CG34</v>
          </cell>
          <cell r="E685" t="str">
            <v>화물조업담당</v>
          </cell>
          <cell r="F685" t="str">
            <v>2140</v>
          </cell>
          <cell r="G685" t="str">
            <v>2652</v>
          </cell>
          <cell r="H685" t="str">
            <v>19930401</v>
          </cell>
          <cell r="I685">
            <v>8276291</v>
          </cell>
        </row>
        <row r="686">
          <cell r="A686" t="str">
            <v>8610906</v>
          </cell>
          <cell r="B686" t="str">
            <v>나　승　채</v>
          </cell>
          <cell r="C686" t="str">
            <v>8610906나　승　채</v>
          </cell>
          <cell r="D686" t="str">
            <v>CG34</v>
          </cell>
          <cell r="E686" t="str">
            <v>화물조업담당</v>
          </cell>
          <cell r="F686" t="str">
            <v>2140</v>
          </cell>
          <cell r="G686" t="str">
            <v>2652</v>
          </cell>
          <cell r="H686" t="str">
            <v>19860911</v>
          </cell>
          <cell r="I686">
            <v>22019653</v>
          </cell>
        </row>
        <row r="687">
          <cell r="A687" t="str">
            <v>8110552</v>
          </cell>
          <cell r="B687" t="str">
            <v>남　상　만</v>
          </cell>
          <cell r="C687" t="str">
            <v>8110552남　상　만</v>
          </cell>
          <cell r="D687" t="str">
            <v>CG34</v>
          </cell>
          <cell r="E687" t="str">
            <v>화물조업담당</v>
          </cell>
          <cell r="F687" t="str">
            <v>2140</v>
          </cell>
          <cell r="G687" t="str">
            <v>2652</v>
          </cell>
          <cell r="H687" t="str">
            <v>19810301</v>
          </cell>
          <cell r="I687">
            <v>37681347</v>
          </cell>
        </row>
        <row r="688">
          <cell r="A688" t="str">
            <v>9110248</v>
          </cell>
          <cell r="B688" t="str">
            <v>노　재　준</v>
          </cell>
          <cell r="C688" t="str">
            <v>9110248노　재　준</v>
          </cell>
          <cell r="D688" t="str">
            <v>CG34</v>
          </cell>
          <cell r="E688" t="str">
            <v>화물조업담당</v>
          </cell>
          <cell r="F688" t="str">
            <v>2140</v>
          </cell>
          <cell r="G688" t="str">
            <v>2652</v>
          </cell>
          <cell r="H688" t="str">
            <v>19910415</v>
          </cell>
          <cell r="I688">
            <v>14141717</v>
          </cell>
        </row>
        <row r="689">
          <cell r="A689" t="str">
            <v>8410230</v>
          </cell>
          <cell r="B689" t="str">
            <v>마　귀　성</v>
          </cell>
          <cell r="C689" t="str">
            <v>8410230마　귀　성</v>
          </cell>
          <cell r="D689" t="str">
            <v>CG34</v>
          </cell>
          <cell r="E689" t="str">
            <v>화물조업담당</v>
          </cell>
          <cell r="F689" t="str">
            <v>2140</v>
          </cell>
          <cell r="G689" t="str">
            <v>2652</v>
          </cell>
          <cell r="H689" t="str">
            <v>19840601</v>
          </cell>
          <cell r="I689">
            <v>33626772</v>
          </cell>
        </row>
        <row r="690">
          <cell r="A690" t="str">
            <v>7300405</v>
          </cell>
          <cell r="B690" t="str">
            <v>맹　육　천</v>
          </cell>
          <cell r="C690" t="str">
            <v>7300405맹　육　천</v>
          </cell>
          <cell r="D690" t="str">
            <v>CG34</v>
          </cell>
          <cell r="E690" t="str">
            <v>화물조업담당</v>
          </cell>
          <cell r="F690" t="str">
            <v>2140</v>
          </cell>
          <cell r="G690" t="str">
            <v>2652</v>
          </cell>
          <cell r="H690" t="str">
            <v>19731012</v>
          </cell>
          <cell r="I690">
            <v>45669791</v>
          </cell>
        </row>
        <row r="691">
          <cell r="A691" t="str">
            <v>8610502</v>
          </cell>
          <cell r="B691" t="str">
            <v>문　병　기</v>
          </cell>
          <cell r="C691" t="str">
            <v>8610502문　병　기</v>
          </cell>
          <cell r="D691" t="str">
            <v>CG34</v>
          </cell>
          <cell r="E691" t="str">
            <v>화물조업담당</v>
          </cell>
          <cell r="F691" t="str">
            <v>2140</v>
          </cell>
          <cell r="G691" t="str">
            <v>2652</v>
          </cell>
          <cell r="H691" t="str">
            <v>19860701</v>
          </cell>
          <cell r="I691">
            <v>25270343</v>
          </cell>
        </row>
        <row r="692">
          <cell r="A692" t="str">
            <v>9012418</v>
          </cell>
          <cell r="B692" t="str">
            <v>문　은　주</v>
          </cell>
          <cell r="C692" t="str">
            <v>9012418문　은　주</v>
          </cell>
          <cell r="D692" t="str">
            <v>CG34</v>
          </cell>
          <cell r="E692" t="str">
            <v>화물조업담당</v>
          </cell>
          <cell r="F692" t="str">
            <v>2140</v>
          </cell>
          <cell r="G692" t="str">
            <v>2652</v>
          </cell>
          <cell r="H692" t="str">
            <v>19900901</v>
          </cell>
          <cell r="I692">
            <v>14567904</v>
          </cell>
        </row>
        <row r="693">
          <cell r="A693" t="str">
            <v>8310047</v>
          </cell>
          <cell r="B693" t="str">
            <v>문　을　식</v>
          </cell>
          <cell r="C693" t="str">
            <v>8310047문　을　식</v>
          </cell>
          <cell r="D693" t="str">
            <v>CG34</v>
          </cell>
          <cell r="E693" t="str">
            <v>화물조업담당</v>
          </cell>
          <cell r="F693" t="str">
            <v>2140</v>
          </cell>
          <cell r="G693" t="str">
            <v>2652</v>
          </cell>
          <cell r="H693" t="str">
            <v>19830210</v>
          </cell>
          <cell r="I693">
            <v>32913798</v>
          </cell>
          <cell r="J693" t="str">
            <v>5 월</v>
          </cell>
          <cell r="K693">
            <v>31255380</v>
          </cell>
        </row>
        <row r="694">
          <cell r="A694" t="str">
            <v>9510840</v>
          </cell>
          <cell r="B694" t="str">
            <v>박　광　호</v>
          </cell>
          <cell r="C694" t="str">
            <v>9510840박　광　호</v>
          </cell>
          <cell r="D694" t="str">
            <v>CG34</v>
          </cell>
          <cell r="E694" t="str">
            <v>화물조업담당</v>
          </cell>
          <cell r="F694" t="str">
            <v>2140</v>
          </cell>
          <cell r="G694" t="e">
            <v>#N/A</v>
          </cell>
          <cell r="H694" t="str">
            <v>19950626</v>
          </cell>
          <cell r="I694">
            <v>6129832</v>
          </cell>
          <cell r="J694" t="str">
            <v>3 월</v>
          </cell>
          <cell r="K694">
            <v>6003949</v>
          </cell>
        </row>
        <row r="695">
          <cell r="A695" t="str">
            <v>8711403</v>
          </cell>
          <cell r="B695" t="str">
            <v>박　동　욱</v>
          </cell>
          <cell r="C695" t="str">
            <v>8711403박　동　욱</v>
          </cell>
          <cell r="D695" t="str">
            <v>CG34</v>
          </cell>
          <cell r="E695" t="str">
            <v>화물조업담당</v>
          </cell>
          <cell r="F695" t="str">
            <v>2140</v>
          </cell>
          <cell r="G695" t="str">
            <v>2652</v>
          </cell>
          <cell r="H695" t="str">
            <v>19871101</v>
          </cell>
          <cell r="I695">
            <v>24716599</v>
          </cell>
        </row>
        <row r="696">
          <cell r="A696" t="str">
            <v>8601761</v>
          </cell>
          <cell r="B696" t="str">
            <v>박　상　옥</v>
          </cell>
          <cell r="C696" t="str">
            <v>8601761박　상　옥</v>
          </cell>
          <cell r="D696" t="str">
            <v>CG34</v>
          </cell>
          <cell r="E696" t="str">
            <v>화물조업담당</v>
          </cell>
          <cell r="F696" t="str">
            <v>2140</v>
          </cell>
          <cell r="G696" t="e">
            <v>#N/A</v>
          </cell>
          <cell r="H696" t="str">
            <v>19860616</v>
          </cell>
          <cell r="I696">
            <v>21047087</v>
          </cell>
          <cell r="J696" t="str">
            <v>1 월</v>
          </cell>
          <cell r="K696">
            <v>21234064</v>
          </cell>
        </row>
        <row r="697">
          <cell r="A697" t="str">
            <v>9202342</v>
          </cell>
          <cell r="B697" t="str">
            <v>박　수　용</v>
          </cell>
          <cell r="C697" t="str">
            <v>9202342박　수　용</v>
          </cell>
          <cell r="D697" t="str">
            <v>CG34</v>
          </cell>
          <cell r="E697" t="str">
            <v>화물조업담당</v>
          </cell>
          <cell r="F697" t="str">
            <v>2140</v>
          </cell>
          <cell r="G697" t="str">
            <v>2652</v>
          </cell>
          <cell r="H697" t="str">
            <v>19920501</v>
          </cell>
          <cell r="I697">
            <v>10861782</v>
          </cell>
        </row>
        <row r="698">
          <cell r="A698" t="str">
            <v>9411884</v>
          </cell>
          <cell r="B698" t="str">
            <v>박　수　웅</v>
          </cell>
          <cell r="C698" t="str">
            <v>9411884박　수　웅</v>
          </cell>
          <cell r="D698" t="str">
            <v>CG34</v>
          </cell>
          <cell r="E698" t="str">
            <v>화물조업담당</v>
          </cell>
          <cell r="F698" t="str">
            <v>2140</v>
          </cell>
          <cell r="G698" t="str">
            <v>2652</v>
          </cell>
          <cell r="H698" t="str">
            <v>19940915</v>
          </cell>
          <cell r="I698">
            <v>7198570</v>
          </cell>
        </row>
        <row r="699">
          <cell r="A699" t="str">
            <v>8111147</v>
          </cell>
          <cell r="B699" t="str">
            <v>박　종　섭</v>
          </cell>
          <cell r="C699" t="str">
            <v>8111147박　종　섭</v>
          </cell>
          <cell r="D699" t="str">
            <v>CG34</v>
          </cell>
          <cell r="E699" t="str">
            <v>화물조업담당</v>
          </cell>
          <cell r="F699" t="str">
            <v>2140</v>
          </cell>
          <cell r="G699" t="str">
            <v>2652</v>
          </cell>
          <cell r="H699" t="str">
            <v>19811101</v>
          </cell>
          <cell r="I699">
            <v>33366894</v>
          </cell>
        </row>
        <row r="700">
          <cell r="A700" t="str">
            <v>8110967</v>
          </cell>
          <cell r="B700" t="str">
            <v>박　종　수</v>
          </cell>
          <cell r="C700" t="str">
            <v>8110967박　종　수</v>
          </cell>
          <cell r="D700" t="str">
            <v>CG34</v>
          </cell>
          <cell r="E700" t="str">
            <v>화물조업담당</v>
          </cell>
          <cell r="F700" t="str">
            <v>2140</v>
          </cell>
          <cell r="G700" t="str">
            <v>2652</v>
          </cell>
          <cell r="H700" t="str">
            <v>19810401</v>
          </cell>
          <cell r="I700">
            <v>39112916</v>
          </cell>
        </row>
        <row r="701">
          <cell r="A701" t="str">
            <v>9610468</v>
          </cell>
          <cell r="B701" t="str">
            <v>박　진　우</v>
          </cell>
          <cell r="C701" t="str">
            <v>9610468박　진　우</v>
          </cell>
          <cell r="D701" t="str">
            <v>CG34</v>
          </cell>
          <cell r="E701" t="str">
            <v>화물조업담당</v>
          </cell>
          <cell r="F701" t="str">
            <v>2140</v>
          </cell>
          <cell r="G701" t="str">
            <v>2652</v>
          </cell>
          <cell r="H701" t="str">
            <v>19960601</v>
          </cell>
          <cell r="I701">
            <v>4773254</v>
          </cell>
        </row>
        <row r="702">
          <cell r="A702" t="str">
            <v>8610568</v>
          </cell>
          <cell r="B702" t="str">
            <v>박　춘　수</v>
          </cell>
          <cell r="C702" t="str">
            <v>8610568박　춘　수</v>
          </cell>
          <cell r="D702" t="str">
            <v>CG34</v>
          </cell>
          <cell r="E702" t="str">
            <v>화물조업담당</v>
          </cell>
          <cell r="F702" t="str">
            <v>2140</v>
          </cell>
          <cell r="G702" t="str">
            <v>2652</v>
          </cell>
          <cell r="H702" t="str">
            <v>19860707</v>
          </cell>
          <cell r="I702">
            <v>22848533</v>
          </cell>
        </row>
        <row r="703">
          <cell r="A703" t="str">
            <v>9110272</v>
          </cell>
          <cell r="B703" t="str">
            <v>서　강　민</v>
          </cell>
          <cell r="C703" t="str">
            <v>9110272서　강　민</v>
          </cell>
          <cell r="D703" t="str">
            <v>CG34</v>
          </cell>
          <cell r="E703" t="str">
            <v>화물조업담당</v>
          </cell>
          <cell r="F703" t="str">
            <v>2140</v>
          </cell>
          <cell r="G703" t="str">
            <v>2652</v>
          </cell>
          <cell r="H703" t="str">
            <v>19910415</v>
          </cell>
          <cell r="I703">
            <v>13111029</v>
          </cell>
        </row>
        <row r="704">
          <cell r="A704" t="str">
            <v>8110956</v>
          </cell>
          <cell r="B704" t="str">
            <v>성　광　안</v>
          </cell>
          <cell r="C704" t="str">
            <v>8110956성　광　안</v>
          </cell>
          <cell r="D704" t="str">
            <v>CG34</v>
          </cell>
          <cell r="E704" t="str">
            <v>화물조업담당</v>
          </cell>
          <cell r="F704" t="str">
            <v>2140</v>
          </cell>
          <cell r="G704" t="str">
            <v>2652</v>
          </cell>
          <cell r="H704" t="str">
            <v>19810401</v>
          </cell>
          <cell r="I704">
            <v>41340745</v>
          </cell>
        </row>
        <row r="705">
          <cell r="A705" t="str">
            <v>8711482</v>
          </cell>
          <cell r="B705" t="str">
            <v>송　원　준</v>
          </cell>
          <cell r="C705" t="str">
            <v>8711482송　원　준</v>
          </cell>
          <cell r="D705" t="str">
            <v>CG34</v>
          </cell>
          <cell r="E705" t="str">
            <v>화물조업담당</v>
          </cell>
          <cell r="F705" t="str">
            <v>2140</v>
          </cell>
          <cell r="G705" t="str">
            <v>2652</v>
          </cell>
          <cell r="H705" t="str">
            <v>19871101</v>
          </cell>
          <cell r="I705">
            <v>25980615</v>
          </cell>
        </row>
        <row r="706">
          <cell r="A706" t="str">
            <v>9306022</v>
          </cell>
          <cell r="B706" t="str">
            <v>신　교　철</v>
          </cell>
          <cell r="C706" t="str">
            <v>9306022신　교　철</v>
          </cell>
          <cell r="D706" t="str">
            <v>CG34</v>
          </cell>
          <cell r="E706" t="str">
            <v>화물조업담당</v>
          </cell>
          <cell r="F706" t="str">
            <v>2140</v>
          </cell>
          <cell r="G706" t="str">
            <v>2652</v>
          </cell>
          <cell r="H706" t="str">
            <v>19930916</v>
          </cell>
          <cell r="I706">
            <v>6875211</v>
          </cell>
        </row>
        <row r="707">
          <cell r="A707" t="str">
            <v>9000911</v>
          </cell>
          <cell r="B707" t="str">
            <v>신　덕　영</v>
          </cell>
          <cell r="C707" t="str">
            <v>9000911신　덕　영</v>
          </cell>
          <cell r="D707" t="str">
            <v>CG34</v>
          </cell>
          <cell r="E707" t="str">
            <v>화물조업담당</v>
          </cell>
          <cell r="F707" t="str">
            <v>2140</v>
          </cell>
          <cell r="G707" t="str">
            <v>2652</v>
          </cell>
          <cell r="H707" t="str">
            <v>19890826</v>
          </cell>
          <cell r="I707">
            <v>13970153</v>
          </cell>
        </row>
        <row r="708">
          <cell r="A708" t="str">
            <v>8201395</v>
          </cell>
          <cell r="B708" t="str">
            <v>신　용　두</v>
          </cell>
          <cell r="C708" t="str">
            <v>8201395신　용　두</v>
          </cell>
          <cell r="D708" t="str">
            <v>CG34</v>
          </cell>
          <cell r="E708" t="str">
            <v>화물조업담당</v>
          </cell>
          <cell r="F708" t="str">
            <v>2140</v>
          </cell>
          <cell r="G708" t="str">
            <v>2652</v>
          </cell>
          <cell r="H708" t="str">
            <v>19821216</v>
          </cell>
          <cell r="I708">
            <v>26986010</v>
          </cell>
        </row>
        <row r="709">
          <cell r="A709" t="str">
            <v>8610186</v>
          </cell>
          <cell r="B709" t="str">
            <v>신　현　갑</v>
          </cell>
          <cell r="C709" t="str">
            <v>8610186신　현　갑</v>
          </cell>
          <cell r="D709" t="str">
            <v>CG34</v>
          </cell>
          <cell r="E709" t="str">
            <v>화물조업담당</v>
          </cell>
          <cell r="F709" t="str">
            <v>2140</v>
          </cell>
          <cell r="G709" t="str">
            <v>2652</v>
          </cell>
          <cell r="H709" t="str">
            <v>19860401</v>
          </cell>
          <cell r="I709">
            <v>27410691</v>
          </cell>
        </row>
        <row r="710">
          <cell r="A710" t="str">
            <v>9710864</v>
          </cell>
          <cell r="B710" t="str">
            <v>심　상　용</v>
          </cell>
          <cell r="C710" t="str">
            <v>9710864심　상　용</v>
          </cell>
          <cell r="D710" t="str">
            <v>CG34</v>
          </cell>
          <cell r="E710" t="str">
            <v>화물조업담당</v>
          </cell>
          <cell r="F710" t="str">
            <v>2140</v>
          </cell>
          <cell r="G710" t="str">
            <v>2652</v>
          </cell>
          <cell r="H710" t="str">
            <v>19970516</v>
          </cell>
          <cell r="I710">
            <v>3305002</v>
          </cell>
        </row>
        <row r="711">
          <cell r="A711" t="str">
            <v>8310194</v>
          </cell>
          <cell r="B711" t="str">
            <v>심　성　보</v>
          </cell>
          <cell r="C711" t="str">
            <v>8310194심　성　보</v>
          </cell>
          <cell r="D711" t="str">
            <v>CG34</v>
          </cell>
          <cell r="E711" t="str">
            <v>화물조업담당</v>
          </cell>
          <cell r="F711" t="str">
            <v>2140</v>
          </cell>
          <cell r="G711" t="str">
            <v>2652</v>
          </cell>
          <cell r="H711" t="str">
            <v>19830816</v>
          </cell>
          <cell r="I711">
            <v>32464029</v>
          </cell>
        </row>
        <row r="712">
          <cell r="A712" t="str">
            <v>8310137</v>
          </cell>
          <cell r="B712" t="str">
            <v>양　영　화</v>
          </cell>
          <cell r="C712" t="str">
            <v>8310137양　영　화</v>
          </cell>
          <cell r="D712" t="str">
            <v>CG34</v>
          </cell>
          <cell r="E712" t="str">
            <v>화물조업담당</v>
          </cell>
          <cell r="F712" t="str">
            <v>2140</v>
          </cell>
          <cell r="G712" t="str">
            <v>2652</v>
          </cell>
          <cell r="H712" t="str">
            <v>19830622</v>
          </cell>
          <cell r="I712">
            <v>33767175</v>
          </cell>
        </row>
        <row r="713">
          <cell r="A713" t="str">
            <v>8710356</v>
          </cell>
          <cell r="B713" t="str">
            <v>양　희　성</v>
          </cell>
          <cell r="C713" t="str">
            <v>8710356양　희　성</v>
          </cell>
          <cell r="D713" t="str">
            <v>CG34</v>
          </cell>
          <cell r="E713" t="str">
            <v>화물조업담당</v>
          </cell>
          <cell r="F713" t="str">
            <v>2140</v>
          </cell>
          <cell r="G713" t="str">
            <v>2652</v>
          </cell>
          <cell r="H713" t="str">
            <v>19870427</v>
          </cell>
          <cell r="I713">
            <v>27275265</v>
          </cell>
        </row>
        <row r="714">
          <cell r="A714" t="str">
            <v>8610603</v>
          </cell>
          <cell r="B714" t="str">
            <v>엄　상　운</v>
          </cell>
          <cell r="C714" t="str">
            <v>8610603엄　상　운</v>
          </cell>
          <cell r="D714" t="str">
            <v>CG34</v>
          </cell>
          <cell r="E714" t="str">
            <v>화물조업담당</v>
          </cell>
          <cell r="F714" t="str">
            <v>2140</v>
          </cell>
          <cell r="G714" t="str">
            <v>2652</v>
          </cell>
          <cell r="H714" t="str">
            <v>19860823</v>
          </cell>
          <cell r="I714">
            <v>21933309</v>
          </cell>
        </row>
        <row r="715">
          <cell r="A715" t="str">
            <v>9311308</v>
          </cell>
          <cell r="B715" t="str">
            <v>오　병　권</v>
          </cell>
          <cell r="C715" t="str">
            <v>9311308오　병　권</v>
          </cell>
          <cell r="D715" t="str">
            <v>CG34</v>
          </cell>
          <cell r="E715" t="str">
            <v>화물조업담당</v>
          </cell>
          <cell r="F715" t="str">
            <v>2140</v>
          </cell>
          <cell r="G715" t="str">
            <v>2652</v>
          </cell>
          <cell r="H715" t="str">
            <v>19930916</v>
          </cell>
          <cell r="I715">
            <v>9100540</v>
          </cell>
        </row>
        <row r="716">
          <cell r="A716" t="str">
            <v>8510084</v>
          </cell>
          <cell r="B716" t="str">
            <v>오　병　찬</v>
          </cell>
          <cell r="C716" t="str">
            <v>8510084오　병　찬</v>
          </cell>
          <cell r="D716" t="str">
            <v>CG34</v>
          </cell>
          <cell r="E716" t="str">
            <v>화물조업담당</v>
          </cell>
          <cell r="F716" t="str">
            <v>2140</v>
          </cell>
          <cell r="G716" t="str">
            <v>2652</v>
          </cell>
          <cell r="H716" t="str">
            <v>19850401</v>
          </cell>
          <cell r="I716">
            <v>34071605</v>
          </cell>
        </row>
        <row r="717">
          <cell r="A717" t="str">
            <v>8410037</v>
          </cell>
          <cell r="B717" t="str">
            <v>유　천　득</v>
          </cell>
          <cell r="C717" t="str">
            <v>8410037유　천　득</v>
          </cell>
          <cell r="D717" t="str">
            <v>CG34</v>
          </cell>
          <cell r="E717" t="str">
            <v>화물조업담당</v>
          </cell>
          <cell r="F717" t="str">
            <v>2140</v>
          </cell>
          <cell r="G717" t="str">
            <v>2652</v>
          </cell>
          <cell r="H717" t="str">
            <v>19840210</v>
          </cell>
          <cell r="I717">
            <v>33588333</v>
          </cell>
        </row>
        <row r="718">
          <cell r="A718" t="str">
            <v>9410231</v>
          </cell>
          <cell r="B718" t="str">
            <v>윤　상　일</v>
          </cell>
          <cell r="C718" t="str">
            <v>9410231윤　상　일</v>
          </cell>
          <cell r="D718" t="str">
            <v>CG34</v>
          </cell>
          <cell r="E718" t="str">
            <v>화물조업담당</v>
          </cell>
          <cell r="F718" t="str">
            <v>2140</v>
          </cell>
          <cell r="G718" t="str">
            <v>2652</v>
          </cell>
          <cell r="H718" t="str">
            <v>19940216</v>
          </cell>
          <cell r="I718">
            <v>8600981</v>
          </cell>
        </row>
        <row r="719">
          <cell r="A719" t="str">
            <v>9510963</v>
          </cell>
          <cell r="B719" t="str">
            <v>윤　상　호</v>
          </cell>
          <cell r="C719" t="str">
            <v>9510963윤　상　호</v>
          </cell>
          <cell r="D719" t="str">
            <v>CG34</v>
          </cell>
          <cell r="E719" t="str">
            <v>화물조업담당</v>
          </cell>
          <cell r="F719" t="str">
            <v>2140</v>
          </cell>
          <cell r="G719" t="str">
            <v>2652</v>
          </cell>
          <cell r="H719" t="str">
            <v>19950626</v>
          </cell>
          <cell r="I719">
            <v>5079949</v>
          </cell>
        </row>
        <row r="720">
          <cell r="A720" t="str">
            <v>9700525</v>
          </cell>
          <cell r="B720" t="str">
            <v>윤　선　업</v>
          </cell>
          <cell r="C720" t="str">
            <v>9700525윤　선　업</v>
          </cell>
          <cell r="D720" t="str">
            <v>CG34</v>
          </cell>
          <cell r="E720" t="str">
            <v>화물조업담당</v>
          </cell>
          <cell r="F720" t="str">
            <v>2140</v>
          </cell>
          <cell r="G720" t="str">
            <v>2652</v>
          </cell>
          <cell r="H720" t="str">
            <v>19970421</v>
          </cell>
          <cell r="I720">
            <v>3252668</v>
          </cell>
        </row>
        <row r="721">
          <cell r="A721" t="str">
            <v>8711493</v>
          </cell>
          <cell r="B721" t="str">
            <v>윤　영　호</v>
          </cell>
          <cell r="C721" t="str">
            <v>8711493윤　영　호</v>
          </cell>
          <cell r="D721" t="str">
            <v>CG34</v>
          </cell>
          <cell r="E721" t="str">
            <v>화물조업담당</v>
          </cell>
          <cell r="F721" t="str">
            <v>2140</v>
          </cell>
          <cell r="G721" t="e">
            <v>#N/A</v>
          </cell>
          <cell r="H721" t="str">
            <v>19871101</v>
          </cell>
          <cell r="I721">
            <v>20620180</v>
          </cell>
          <cell r="J721" t="str">
            <v>8 월</v>
          </cell>
          <cell r="K721">
            <v>24941825</v>
          </cell>
        </row>
        <row r="722">
          <cell r="A722" t="str">
            <v>8610107</v>
          </cell>
          <cell r="B722" t="str">
            <v>윤　인　홍</v>
          </cell>
          <cell r="C722" t="str">
            <v>8610107윤　인　홍</v>
          </cell>
          <cell r="D722" t="str">
            <v>CG34</v>
          </cell>
          <cell r="E722" t="str">
            <v>화물조업담당</v>
          </cell>
          <cell r="F722" t="str">
            <v>2140</v>
          </cell>
          <cell r="G722" t="str">
            <v>2652</v>
          </cell>
          <cell r="H722" t="str">
            <v>19860221</v>
          </cell>
          <cell r="I722">
            <v>26333007</v>
          </cell>
        </row>
        <row r="723">
          <cell r="A723" t="str">
            <v>8510354</v>
          </cell>
          <cell r="B723" t="str">
            <v>이　대　영</v>
          </cell>
          <cell r="C723" t="str">
            <v>8510354이　대　영</v>
          </cell>
          <cell r="D723" t="str">
            <v>CG34</v>
          </cell>
          <cell r="E723" t="str">
            <v>화물조업담당</v>
          </cell>
          <cell r="F723" t="str">
            <v>2140</v>
          </cell>
          <cell r="G723" t="str">
            <v>2652</v>
          </cell>
          <cell r="H723" t="str">
            <v>19851209</v>
          </cell>
          <cell r="I723">
            <v>29631809</v>
          </cell>
        </row>
        <row r="724">
          <cell r="A724" t="str">
            <v>9612797</v>
          </cell>
          <cell r="B724" t="str">
            <v>이　동　환</v>
          </cell>
          <cell r="C724" t="str">
            <v>9612797이　동　환</v>
          </cell>
          <cell r="D724" t="str">
            <v>CG34</v>
          </cell>
          <cell r="E724" t="str">
            <v>화물조업담당</v>
          </cell>
          <cell r="F724" t="str">
            <v>2140</v>
          </cell>
          <cell r="G724" t="str">
            <v>2652</v>
          </cell>
          <cell r="H724" t="str">
            <v>19961201</v>
          </cell>
          <cell r="I724">
            <v>3967014</v>
          </cell>
        </row>
        <row r="725">
          <cell r="A725" t="str">
            <v>8610660</v>
          </cell>
          <cell r="B725" t="str">
            <v>이　병　구</v>
          </cell>
          <cell r="C725" t="str">
            <v>8610660이　병　구</v>
          </cell>
          <cell r="D725" t="str">
            <v>CG34</v>
          </cell>
          <cell r="E725" t="str">
            <v>화물조업담당</v>
          </cell>
          <cell r="F725" t="str">
            <v>2140</v>
          </cell>
          <cell r="G725" t="str">
            <v>2652</v>
          </cell>
          <cell r="H725" t="str">
            <v>19860823</v>
          </cell>
          <cell r="I725">
            <v>25563497</v>
          </cell>
        </row>
        <row r="726">
          <cell r="A726" t="str">
            <v>9510096</v>
          </cell>
          <cell r="B726" t="str">
            <v>이　성　철</v>
          </cell>
          <cell r="C726" t="str">
            <v>9510096이　성　철</v>
          </cell>
          <cell r="D726" t="str">
            <v>CG34</v>
          </cell>
          <cell r="E726" t="str">
            <v>화물조업담당</v>
          </cell>
          <cell r="F726" t="str">
            <v>2140</v>
          </cell>
          <cell r="G726" t="str">
            <v>2652</v>
          </cell>
          <cell r="H726" t="str">
            <v>19950101</v>
          </cell>
          <cell r="I726">
            <v>6152710</v>
          </cell>
        </row>
        <row r="727">
          <cell r="A727" t="str">
            <v>8610557</v>
          </cell>
          <cell r="B727" t="str">
            <v>이　신　종</v>
          </cell>
          <cell r="C727" t="str">
            <v>8610557이　신　종</v>
          </cell>
          <cell r="D727" t="str">
            <v>CG34</v>
          </cell>
          <cell r="E727" t="str">
            <v>화물조업담당</v>
          </cell>
          <cell r="F727" t="str">
            <v>2140</v>
          </cell>
          <cell r="G727" t="str">
            <v>2652</v>
          </cell>
          <cell r="H727" t="str">
            <v>19860707</v>
          </cell>
          <cell r="I727">
            <v>29340007</v>
          </cell>
        </row>
        <row r="728">
          <cell r="A728" t="str">
            <v>9512100</v>
          </cell>
          <cell r="B728" t="str">
            <v>이　용　철</v>
          </cell>
          <cell r="C728" t="str">
            <v>9512100이　용　철</v>
          </cell>
          <cell r="D728" t="str">
            <v>CG34</v>
          </cell>
          <cell r="E728" t="str">
            <v>화물조업담당</v>
          </cell>
          <cell r="F728" t="str">
            <v>2140</v>
          </cell>
          <cell r="G728" t="str">
            <v>2652</v>
          </cell>
          <cell r="H728" t="str">
            <v>19951201</v>
          </cell>
          <cell r="I728">
            <v>6004439</v>
          </cell>
        </row>
        <row r="729">
          <cell r="A729" t="str">
            <v>9700727</v>
          </cell>
          <cell r="B729" t="str">
            <v>이　원　범</v>
          </cell>
          <cell r="C729" t="str">
            <v>9700727이　원　범</v>
          </cell>
          <cell r="D729" t="str">
            <v>CG34</v>
          </cell>
          <cell r="E729" t="str">
            <v>화물조업담당</v>
          </cell>
          <cell r="F729" t="str">
            <v>2140</v>
          </cell>
          <cell r="G729" t="str">
            <v>2652</v>
          </cell>
          <cell r="H729" t="str">
            <v>19970421</v>
          </cell>
          <cell r="I729">
            <v>3441222</v>
          </cell>
        </row>
        <row r="730">
          <cell r="A730" t="str">
            <v>8410206</v>
          </cell>
          <cell r="B730" t="str">
            <v>이　종　영</v>
          </cell>
          <cell r="C730" t="str">
            <v>8410206이　종　영</v>
          </cell>
          <cell r="D730" t="str">
            <v>CG34</v>
          </cell>
          <cell r="E730" t="str">
            <v>화물조업담당</v>
          </cell>
          <cell r="F730" t="str">
            <v>2140</v>
          </cell>
          <cell r="G730" t="str">
            <v>2652</v>
          </cell>
          <cell r="H730" t="str">
            <v>19840601</v>
          </cell>
          <cell r="I730">
            <v>34578081</v>
          </cell>
        </row>
        <row r="731">
          <cell r="A731" t="str">
            <v>9810167</v>
          </cell>
          <cell r="B731" t="str">
            <v>이　종　필</v>
          </cell>
          <cell r="C731" t="str">
            <v>9810167이　종　필</v>
          </cell>
          <cell r="D731" t="str">
            <v>CG34</v>
          </cell>
          <cell r="E731" t="str">
            <v>화물조업담당</v>
          </cell>
          <cell r="F731" t="str">
            <v>2140</v>
          </cell>
          <cell r="G731" t="str">
            <v>2652</v>
          </cell>
          <cell r="H731" t="str">
            <v>19980301</v>
          </cell>
          <cell r="I731">
            <v>2682052</v>
          </cell>
        </row>
        <row r="732">
          <cell r="A732" t="str">
            <v>8111136</v>
          </cell>
          <cell r="B732" t="str">
            <v>이　창　구</v>
          </cell>
          <cell r="C732" t="str">
            <v>8111136이　창　구</v>
          </cell>
          <cell r="D732" t="str">
            <v>CG34</v>
          </cell>
          <cell r="E732" t="str">
            <v>화물조업담당</v>
          </cell>
          <cell r="F732" t="str">
            <v>2140</v>
          </cell>
          <cell r="G732" t="str">
            <v>2652</v>
          </cell>
          <cell r="H732" t="str">
            <v>19811101</v>
          </cell>
          <cell r="I732">
            <v>32910028</v>
          </cell>
        </row>
        <row r="733">
          <cell r="A733" t="str">
            <v>8711346</v>
          </cell>
          <cell r="B733" t="str">
            <v>이　창　묵</v>
          </cell>
          <cell r="C733" t="str">
            <v>8711346이　창　묵</v>
          </cell>
          <cell r="D733" t="str">
            <v>CG34</v>
          </cell>
          <cell r="E733" t="str">
            <v>화물조업담당</v>
          </cell>
          <cell r="F733" t="str">
            <v>2140</v>
          </cell>
          <cell r="G733" t="str">
            <v>2652</v>
          </cell>
          <cell r="H733" t="str">
            <v>19871116</v>
          </cell>
          <cell r="I733">
            <v>21056544</v>
          </cell>
        </row>
        <row r="734">
          <cell r="A734" t="str">
            <v>8610851</v>
          </cell>
          <cell r="B734" t="str">
            <v>이　태　우</v>
          </cell>
          <cell r="C734" t="str">
            <v>8610851이　태　우</v>
          </cell>
          <cell r="D734" t="str">
            <v>CG34</v>
          </cell>
          <cell r="E734" t="str">
            <v>화물조업담당</v>
          </cell>
          <cell r="F734" t="str">
            <v>2140</v>
          </cell>
          <cell r="G734" t="str">
            <v>2652</v>
          </cell>
          <cell r="H734" t="str">
            <v>19860911</v>
          </cell>
          <cell r="I734">
            <v>26711990</v>
          </cell>
        </row>
        <row r="735">
          <cell r="A735" t="str">
            <v>9710875</v>
          </cell>
          <cell r="B735" t="str">
            <v>이　현　재</v>
          </cell>
          <cell r="C735" t="str">
            <v>9710875이　현　재</v>
          </cell>
          <cell r="D735" t="str">
            <v>CG34</v>
          </cell>
          <cell r="E735" t="str">
            <v>화물조업담당</v>
          </cell>
          <cell r="F735" t="str">
            <v>2140</v>
          </cell>
          <cell r="G735" t="str">
            <v>2652</v>
          </cell>
          <cell r="H735" t="str">
            <v>19970516</v>
          </cell>
          <cell r="I735">
            <v>2852561</v>
          </cell>
        </row>
        <row r="736">
          <cell r="A736" t="str">
            <v>9310465</v>
          </cell>
          <cell r="B736" t="str">
            <v>이　환　수</v>
          </cell>
          <cell r="C736" t="str">
            <v>9310465이　환　수</v>
          </cell>
          <cell r="D736" t="str">
            <v>CG34</v>
          </cell>
          <cell r="E736" t="str">
            <v>화물조업담당</v>
          </cell>
          <cell r="F736" t="str">
            <v>2140</v>
          </cell>
          <cell r="G736" t="str">
            <v>2652</v>
          </cell>
          <cell r="H736" t="str">
            <v>19930510</v>
          </cell>
          <cell r="I736">
            <v>8970674</v>
          </cell>
        </row>
        <row r="737">
          <cell r="A737" t="str">
            <v>8310216</v>
          </cell>
          <cell r="B737" t="str">
            <v>임　성　현</v>
          </cell>
          <cell r="C737" t="str">
            <v>8310216임　성　현</v>
          </cell>
          <cell r="D737" t="str">
            <v>CG34</v>
          </cell>
          <cell r="E737" t="str">
            <v>화물조업담당</v>
          </cell>
          <cell r="F737" t="str">
            <v>2140</v>
          </cell>
          <cell r="G737" t="str">
            <v>2652</v>
          </cell>
          <cell r="H737" t="str">
            <v>19830901</v>
          </cell>
          <cell r="I737">
            <v>31786206</v>
          </cell>
        </row>
        <row r="738">
          <cell r="A738" t="str">
            <v>8711201</v>
          </cell>
          <cell r="B738" t="str">
            <v>임　학　수</v>
          </cell>
          <cell r="C738" t="str">
            <v>8711201임　학　수</v>
          </cell>
          <cell r="D738" t="str">
            <v>CG34</v>
          </cell>
          <cell r="E738" t="str">
            <v>화물조업담당</v>
          </cell>
          <cell r="F738" t="str">
            <v>2140</v>
          </cell>
          <cell r="G738" t="str">
            <v>2652</v>
          </cell>
          <cell r="H738" t="str">
            <v>19870928</v>
          </cell>
          <cell r="I738">
            <v>20951799</v>
          </cell>
        </row>
        <row r="739">
          <cell r="A739" t="str">
            <v>9610637</v>
          </cell>
          <cell r="B739" t="str">
            <v>전　기　수</v>
          </cell>
          <cell r="C739" t="str">
            <v>9610637전　기　수</v>
          </cell>
          <cell r="D739" t="str">
            <v>CG34</v>
          </cell>
          <cell r="E739" t="str">
            <v>화물조업담당</v>
          </cell>
          <cell r="F739" t="str">
            <v>2140</v>
          </cell>
          <cell r="G739" t="str">
            <v>2652</v>
          </cell>
          <cell r="H739" t="str">
            <v>19960601</v>
          </cell>
          <cell r="I739">
            <v>4525361</v>
          </cell>
        </row>
        <row r="740">
          <cell r="A740" t="str">
            <v>9211656</v>
          </cell>
          <cell r="B740" t="str">
            <v>전　용　익</v>
          </cell>
          <cell r="C740" t="str">
            <v>9211656전　용　익</v>
          </cell>
          <cell r="D740" t="str">
            <v>CG34</v>
          </cell>
          <cell r="E740" t="str">
            <v>화물조업담당</v>
          </cell>
          <cell r="F740" t="str">
            <v>2140</v>
          </cell>
          <cell r="G740" t="e">
            <v>#N/A</v>
          </cell>
          <cell r="H740" t="str">
            <v>19920706</v>
          </cell>
          <cell r="I740">
            <v>9250644</v>
          </cell>
          <cell r="J740" t="str">
            <v>7 월</v>
          </cell>
          <cell r="K740">
            <v>10111501</v>
          </cell>
        </row>
        <row r="741">
          <cell r="A741" t="str">
            <v>9610571</v>
          </cell>
          <cell r="B741" t="str">
            <v>정　진　표</v>
          </cell>
          <cell r="C741" t="str">
            <v>9610571정　진　표</v>
          </cell>
          <cell r="D741" t="str">
            <v>CG34</v>
          </cell>
          <cell r="E741" t="str">
            <v>화물조업담당</v>
          </cell>
          <cell r="F741" t="str">
            <v>2140</v>
          </cell>
          <cell r="G741" t="str">
            <v>2652</v>
          </cell>
          <cell r="H741" t="str">
            <v>19960601</v>
          </cell>
          <cell r="I741">
            <v>4957224</v>
          </cell>
        </row>
        <row r="742">
          <cell r="A742" t="str">
            <v>8710986</v>
          </cell>
          <cell r="B742" t="str">
            <v>조　계　환</v>
          </cell>
          <cell r="C742" t="str">
            <v>8710986조　계　환</v>
          </cell>
          <cell r="D742" t="str">
            <v>CG34</v>
          </cell>
          <cell r="E742" t="str">
            <v>화물조업담당</v>
          </cell>
          <cell r="F742" t="str">
            <v>2140</v>
          </cell>
          <cell r="G742" t="str">
            <v>2652</v>
          </cell>
          <cell r="H742" t="str">
            <v>19870907</v>
          </cell>
          <cell r="I742">
            <v>22097825</v>
          </cell>
        </row>
        <row r="743">
          <cell r="A743" t="str">
            <v>9110430</v>
          </cell>
          <cell r="B743" t="str">
            <v>조　병　덕</v>
          </cell>
          <cell r="C743" t="str">
            <v>9110430조　병　덕</v>
          </cell>
          <cell r="D743" t="str">
            <v>CG34</v>
          </cell>
          <cell r="E743" t="str">
            <v>화물조업담당</v>
          </cell>
          <cell r="F743" t="str">
            <v>2140</v>
          </cell>
          <cell r="G743" t="str">
            <v>2652</v>
          </cell>
          <cell r="H743" t="str">
            <v>19910415</v>
          </cell>
          <cell r="I743">
            <v>15660166</v>
          </cell>
        </row>
        <row r="744">
          <cell r="A744" t="str">
            <v>9412187</v>
          </cell>
          <cell r="B744" t="str">
            <v>조　상　연</v>
          </cell>
          <cell r="C744" t="str">
            <v>9412187조　상　연</v>
          </cell>
          <cell r="D744" t="str">
            <v>CG34</v>
          </cell>
          <cell r="E744" t="str">
            <v>화물조업담당</v>
          </cell>
          <cell r="F744" t="str">
            <v>2140</v>
          </cell>
          <cell r="G744" t="str">
            <v>2652</v>
          </cell>
          <cell r="H744" t="str">
            <v>19941101</v>
          </cell>
          <cell r="I744">
            <v>6997860</v>
          </cell>
        </row>
        <row r="745">
          <cell r="A745" t="str">
            <v>8610592</v>
          </cell>
          <cell r="B745" t="str">
            <v>조　상　현</v>
          </cell>
          <cell r="C745" t="str">
            <v>8610592조　상　현</v>
          </cell>
          <cell r="D745" t="str">
            <v>CG34</v>
          </cell>
          <cell r="E745" t="str">
            <v>화물조업담당</v>
          </cell>
          <cell r="F745" t="str">
            <v>2140</v>
          </cell>
          <cell r="G745" t="e">
            <v>#N/A</v>
          </cell>
          <cell r="H745" t="str">
            <v>19860823</v>
          </cell>
          <cell r="I745">
            <v>20875351</v>
          </cell>
          <cell r="J745" t="str">
            <v>3 월</v>
          </cell>
          <cell r="K745">
            <v>20653649</v>
          </cell>
        </row>
        <row r="746">
          <cell r="A746" t="str">
            <v>9411445</v>
          </cell>
          <cell r="B746" t="str">
            <v>조　정　용</v>
          </cell>
          <cell r="C746" t="str">
            <v>9411445조　정　용</v>
          </cell>
          <cell r="D746" t="str">
            <v>CG34</v>
          </cell>
          <cell r="E746" t="str">
            <v>화물조업담당</v>
          </cell>
          <cell r="F746" t="str">
            <v>2140</v>
          </cell>
          <cell r="G746" t="str">
            <v>2652</v>
          </cell>
          <cell r="H746" t="str">
            <v>19940816</v>
          </cell>
          <cell r="I746">
            <v>7356727</v>
          </cell>
        </row>
        <row r="747">
          <cell r="A747" t="str">
            <v>8501422</v>
          </cell>
          <cell r="B747" t="str">
            <v>지　경　종</v>
          </cell>
          <cell r="C747" t="str">
            <v>8501422지　경　종</v>
          </cell>
          <cell r="D747" t="str">
            <v>CG34</v>
          </cell>
          <cell r="E747" t="str">
            <v>화물조업담당</v>
          </cell>
          <cell r="F747" t="str">
            <v>2140</v>
          </cell>
          <cell r="G747" t="str">
            <v>2652</v>
          </cell>
          <cell r="H747" t="str">
            <v>19850601</v>
          </cell>
          <cell r="I747">
            <v>24831673</v>
          </cell>
        </row>
        <row r="748">
          <cell r="A748" t="str">
            <v>8410320</v>
          </cell>
          <cell r="B748" t="str">
            <v>최　만　호</v>
          </cell>
          <cell r="C748" t="str">
            <v>8410320최　만　호</v>
          </cell>
          <cell r="D748" t="str">
            <v>CG34</v>
          </cell>
          <cell r="E748" t="str">
            <v>화물조업담당</v>
          </cell>
          <cell r="F748" t="str">
            <v>2140</v>
          </cell>
          <cell r="G748" t="str">
            <v>2652</v>
          </cell>
          <cell r="H748" t="str">
            <v>19851001</v>
          </cell>
          <cell r="I748">
            <v>25387671</v>
          </cell>
        </row>
        <row r="749">
          <cell r="A749" t="str">
            <v>8410274</v>
          </cell>
          <cell r="B749" t="str">
            <v>최　명　호</v>
          </cell>
          <cell r="C749" t="str">
            <v>8410274최　명　호</v>
          </cell>
          <cell r="D749" t="str">
            <v>CG34</v>
          </cell>
          <cell r="E749" t="str">
            <v>화물조업담당</v>
          </cell>
          <cell r="F749" t="str">
            <v>2140</v>
          </cell>
          <cell r="G749" t="str">
            <v>2652</v>
          </cell>
          <cell r="H749" t="str">
            <v>19840716</v>
          </cell>
          <cell r="I749">
            <v>30352786</v>
          </cell>
        </row>
        <row r="750">
          <cell r="A750" t="str">
            <v>9111947</v>
          </cell>
          <cell r="B750" t="str">
            <v>최　병　국</v>
          </cell>
          <cell r="C750" t="str">
            <v>9111947최　병　국</v>
          </cell>
          <cell r="D750" t="str">
            <v>CG34</v>
          </cell>
          <cell r="E750" t="str">
            <v>화물조업담당</v>
          </cell>
          <cell r="F750" t="str">
            <v>2140</v>
          </cell>
          <cell r="G750" t="str">
            <v>2652</v>
          </cell>
          <cell r="H750" t="str">
            <v>19911202</v>
          </cell>
          <cell r="I750">
            <v>13388103</v>
          </cell>
        </row>
        <row r="751">
          <cell r="A751" t="str">
            <v>7900380</v>
          </cell>
          <cell r="B751" t="str">
            <v>최　성　준</v>
          </cell>
          <cell r="C751" t="str">
            <v>7900380최　성　준</v>
          </cell>
          <cell r="D751" t="str">
            <v>CG34</v>
          </cell>
          <cell r="E751" t="str">
            <v>화물조업담당</v>
          </cell>
          <cell r="F751" t="str">
            <v>2140</v>
          </cell>
          <cell r="G751" t="str">
            <v>2652</v>
          </cell>
          <cell r="H751" t="str">
            <v>19790510</v>
          </cell>
          <cell r="I751">
            <v>36284819</v>
          </cell>
        </row>
        <row r="752">
          <cell r="A752" t="str">
            <v>9410725</v>
          </cell>
          <cell r="B752" t="str">
            <v>최　점　돌</v>
          </cell>
          <cell r="C752" t="str">
            <v>9410725최　점　돌</v>
          </cell>
          <cell r="D752" t="str">
            <v>CG34</v>
          </cell>
          <cell r="E752" t="str">
            <v>화물조업담당</v>
          </cell>
          <cell r="F752" t="str">
            <v>2140</v>
          </cell>
          <cell r="G752" t="str">
            <v>2652</v>
          </cell>
          <cell r="H752" t="str">
            <v>19940601</v>
          </cell>
          <cell r="I752">
            <v>7810172</v>
          </cell>
        </row>
        <row r="753">
          <cell r="A753" t="str">
            <v>8710380</v>
          </cell>
          <cell r="B753" t="str">
            <v>최　창　식</v>
          </cell>
          <cell r="C753" t="str">
            <v>8710380최　창　식</v>
          </cell>
          <cell r="D753" t="str">
            <v>CG34</v>
          </cell>
          <cell r="E753" t="str">
            <v>화물조업담당</v>
          </cell>
          <cell r="F753" t="str">
            <v>2140</v>
          </cell>
          <cell r="G753" t="str">
            <v>2652</v>
          </cell>
          <cell r="H753" t="str">
            <v>19870427</v>
          </cell>
          <cell r="I753">
            <v>21685604</v>
          </cell>
        </row>
        <row r="754">
          <cell r="A754" t="str">
            <v>8610873</v>
          </cell>
          <cell r="B754" t="str">
            <v>한　만　섭</v>
          </cell>
          <cell r="C754" t="str">
            <v>8610873한　만　섭</v>
          </cell>
          <cell r="D754" t="str">
            <v>CG34</v>
          </cell>
          <cell r="E754" t="str">
            <v>화물조업담당</v>
          </cell>
          <cell r="F754" t="str">
            <v>2140</v>
          </cell>
          <cell r="G754" t="str">
            <v>2652</v>
          </cell>
          <cell r="H754" t="str">
            <v>19860911</v>
          </cell>
          <cell r="I754">
            <v>25483134</v>
          </cell>
        </row>
        <row r="755">
          <cell r="A755" t="str">
            <v>9110373</v>
          </cell>
          <cell r="B755" t="str">
            <v>한　장　우</v>
          </cell>
          <cell r="C755" t="str">
            <v>9110373한　장　우</v>
          </cell>
          <cell r="D755" t="str">
            <v>CG34</v>
          </cell>
          <cell r="E755" t="str">
            <v>화물조업담당</v>
          </cell>
          <cell r="F755" t="str">
            <v>2140</v>
          </cell>
          <cell r="G755" t="str">
            <v>2652</v>
          </cell>
          <cell r="H755" t="str">
            <v>19910415</v>
          </cell>
          <cell r="I755">
            <v>14095074</v>
          </cell>
        </row>
        <row r="756">
          <cell r="A756" t="str">
            <v>8610524</v>
          </cell>
          <cell r="B756" t="str">
            <v>한　정　곤</v>
          </cell>
          <cell r="C756" t="str">
            <v>8610524한　정　곤</v>
          </cell>
          <cell r="D756" t="str">
            <v>CG34</v>
          </cell>
          <cell r="E756" t="str">
            <v>화물조업담당</v>
          </cell>
          <cell r="F756" t="str">
            <v>2140</v>
          </cell>
          <cell r="G756" t="str">
            <v>2652</v>
          </cell>
          <cell r="H756" t="str">
            <v>19860707</v>
          </cell>
          <cell r="I756">
            <v>26174292</v>
          </cell>
        </row>
        <row r="757">
          <cell r="A757" t="str">
            <v>8410173</v>
          </cell>
          <cell r="B757" t="str">
            <v>한　태　진</v>
          </cell>
          <cell r="C757" t="str">
            <v>8410173한　태　진</v>
          </cell>
          <cell r="D757" t="str">
            <v>CG34</v>
          </cell>
          <cell r="E757" t="str">
            <v>화물조업담당</v>
          </cell>
          <cell r="F757" t="str">
            <v>2140</v>
          </cell>
          <cell r="G757" t="str">
            <v>2652</v>
          </cell>
          <cell r="H757" t="str">
            <v>19840601</v>
          </cell>
          <cell r="I757">
            <v>32923658</v>
          </cell>
        </row>
        <row r="758">
          <cell r="A758" t="str">
            <v>8701615</v>
          </cell>
          <cell r="B758" t="str">
            <v>허　　　원</v>
          </cell>
          <cell r="C758" t="str">
            <v>8701615허　　　원</v>
          </cell>
          <cell r="D758" t="str">
            <v>CG34</v>
          </cell>
          <cell r="E758" t="str">
            <v>화물조업담당</v>
          </cell>
          <cell r="F758" t="str">
            <v>2140</v>
          </cell>
          <cell r="G758" t="str">
            <v>2652</v>
          </cell>
          <cell r="H758" t="str">
            <v>19870801</v>
          </cell>
          <cell r="I758">
            <v>18372344</v>
          </cell>
        </row>
        <row r="759">
          <cell r="A759" t="str">
            <v>9200711</v>
          </cell>
          <cell r="B759" t="str">
            <v>허　병　환</v>
          </cell>
          <cell r="C759" t="str">
            <v>9200711허　병　환</v>
          </cell>
          <cell r="D759" t="str">
            <v>CG34</v>
          </cell>
          <cell r="E759" t="str">
            <v>화물조업담당</v>
          </cell>
          <cell r="F759" t="str">
            <v>2140</v>
          </cell>
          <cell r="G759" t="str">
            <v>2652</v>
          </cell>
          <cell r="H759" t="str">
            <v>19920210</v>
          </cell>
          <cell r="I759">
            <v>9018829</v>
          </cell>
        </row>
        <row r="760">
          <cell r="A760" t="str">
            <v>9101327</v>
          </cell>
          <cell r="B760" t="str">
            <v>현　정　훈</v>
          </cell>
          <cell r="C760" t="str">
            <v>9101327현　정　훈</v>
          </cell>
          <cell r="D760" t="str">
            <v>CG34</v>
          </cell>
          <cell r="E760" t="str">
            <v>화물조업담당</v>
          </cell>
          <cell r="F760" t="str">
            <v>2140</v>
          </cell>
          <cell r="G760" t="str">
            <v>2652</v>
          </cell>
          <cell r="H760" t="str">
            <v>19910411</v>
          </cell>
          <cell r="I760">
            <v>10134620</v>
          </cell>
        </row>
        <row r="761">
          <cell r="A761" t="str">
            <v>9411614</v>
          </cell>
          <cell r="B761" t="str">
            <v>홍　선　표</v>
          </cell>
          <cell r="C761" t="str">
            <v>9411614홍　선　표</v>
          </cell>
          <cell r="D761" t="str">
            <v>CG34</v>
          </cell>
          <cell r="E761" t="str">
            <v>화물조업담당</v>
          </cell>
          <cell r="F761" t="str">
            <v>2140</v>
          </cell>
          <cell r="G761" t="str">
            <v>2652</v>
          </cell>
          <cell r="H761" t="str">
            <v>19940901</v>
          </cell>
          <cell r="I761">
            <v>7265783</v>
          </cell>
        </row>
        <row r="762">
          <cell r="A762" t="str">
            <v>8110157</v>
          </cell>
          <cell r="B762" t="str">
            <v>황　규　원</v>
          </cell>
          <cell r="C762" t="str">
            <v>8110157황　규　원</v>
          </cell>
          <cell r="D762" t="str">
            <v>CG34</v>
          </cell>
          <cell r="E762" t="str">
            <v>화물조업담당</v>
          </cell>
          <cell r="F762" t="str">
            <v>2140</v>
          </cell>
          <cell r="G762" t="str">
            <v>2652</v>
          </cell>
          <cell r="H762" t="str">
            <v>19810301</v>
          </cell>
          <cell r="I762">
            <v>40998640</v>
          </cell>
        </row>
        <row r="763">
          <cell r="A763" t="str">
            <v>9711167</v>
          </cell>
          <cell r="B763" t="str">
            <v>강　종　구</v>
          </cell>
          <cell r="C763" t="str">
            <v>9711167강　종　구</v>
          </cell>
          <cell r="D763" t="str">
            <v>CG42</v>
          </cell>
          <cell r="E763" t="str">
            <v>화물조업담당</v>
          </cell>
          <cell r="F763" t="str">
            <v>2140</v>
          </cell>
          <cell r="G763" t="str">
            <v>2652</v>
          </cell>
          <cell r="H763" t="str">
            <v>19970710</v>
          </cell>
          <cell r="I763">
            <v>3140323</v>
          </cell>
        </row>
        <row r="764">
          <cell r="A764" t="str">
            <v>9612718</v>
          </cell>
          <cell r="B764" t="str">
            <v>김　흥　수</v>
          </cell>
          <cell r="C764" t="str">
            <v>9612718김　흥　수</v>
          </cell>
          <cell r="D764" t="str">
            <v>CG42</v>
          </cell>
          <cell r="E764" t="str">
            <v>화물조업담당</v>
          </cell>
          <cell r="F764" t="str">
            <v>2140</v>
          </cell>
          <cell r="G764" t="str">
            <v>2652</v>
          </cell>
          <cell r="H764" t="str">
            <v>19961201</v>
          </cell>
          <cell r="I764">
            <v>3392014</v>
          </cell>
        </row>
        <row r="765">
          <cell r="A765" t="str">
            <v>9710548</v>
          </cell>
          <cell r="B765" t="str">
            <v>엄　금　용</v>
          </cell>
          <cell r="C765" t="str">
            <v>9710548엄　금　용</v>
          </cell>
          <cell r="D765" t="str">
            <v>CG44</v>
          </cell>
          <cell r="E765" t="str">
            <v>화물조업담당</v>
          </cell>
          <cell r="F765" t="str">
            <v>2140</v>
          </cell>
          <cell r="G765" t="str">
            <v>2652</v>
          </cell>
          <cell r="H765" t="str">
            <v>19970317</v>
          </cell>
          <cell r="I765">
            <v>3121705</v>
          </cell>
        </row>
        <row r="766">
          <cell r="A766" t="str">
            <v>9510197</v>
          </cell>
          <cell r="B766" t="str">
            <v>김　근　수</v>
          </cell>
          <cell r="C766" t="str">
            <v>9510197김　근　수</v>
          </cell>
          <cell r="D766" t="str">
            <v>CG46</v>
          </cell>
          <cell r="E766" t="str">
            <v>화물조업담당</v>
          </cell>
          <cell r="F766" t="str">
            <v>2140</v>
          </cell>
          <cell r="G766" t="str">
            <v>2652</v>
          </cell>
          <cell r="H766" t="str">
            <v>19950101</v>
          </cell>
          <cell r="I766">
            <v>6527565</v>
          </cell>
        </row>
        <row r="767">
          <cell r="A767" t="str">
            <v>8210147</v>
          </cell>
          <cell r="B767" t="str">
            <v>고　의　상</v>
          </cell>
          <cell r="C767" t="str">
            <v>8210147고　의　상</v>
          </cell>
          <cell r="D767" t="str">
            <v>BC30</v>
          </cell>
          <cell r="E767" t="str">
            <v>국제 2담당</v>
          </cell>
          <cell r="F767" t="str">
            <v>2210</v>
          </cell>
          <cell r="G767" t="str">
            <v>2220</v>
          </cell>
          <cell r="H767" t="str">
            <v>19820910</v>
          </cell>
          <cell r="I767">
            <v>33772253</v>
          </cell>
        </row>
        <row r="768">
          <cell r="A768" t="str">
            <v>8501343</v>
          </cell>
          <cell r="B768" t="str">
            <v>조　병　국</v>
          </cell>
          <cell r="C768" t="str">
            <v>8501343조　병　국</v>
          </cell>
          <cell r="D768" t="str">
            <v>CA20</v>
          </cell>
          <cell r="E768" t="str">
            <v>국제 2담당</v>
          </cell>
          <cell r="F768" t="str">
            <v>2210</v>
          </cell>
          <cell r="G768" t="str">
            <v>1120</v>
          </cell>
          <cell r="H768" t="str">
            <v>19970720</v>
          </cell>
          <cell r="I768">
            <v>5144629</v>
          </cell>
        </row>
        <row r="769">
          <cell r="A769" t="str">
            <v>8901167</v>
          </cell>
          <cell r="B769" t="str">
            <v>이　병　천</v>
          </cell>
          <cell r="C769" t="str">
            <v>8901167이　병　천</v>
          </cell>
          <cell r="D769" t="str">
            <v>CD13</v>
          </cell>
          <cell r="E769" t="str">
            <v>국제 2담당</v>
          </cell>
          <cell r="F769" t="str">
            <v>2210</v>
          </cell>
          <cell r="G769" t="str">
            <v>2220</v>
          </cell>
          <cell r="H769" t="str">
            <v>19880914</v>
          </cell>
          <cell r="I769">
            <v>17099866</v>
          </cell>
        </row>
        <row r="770">
          <cell r="A770" t="str">
            <v>9600592</v>
          </cell>
          <cell r="B770" t="str">
            <v>강　문　철</v>
          </cell>
          <cell r="C770" t="str">
            <v>9600592강　문　철</v>
          </cell>
          <cell r="D770" t="str">
            <v>CD20</v>
          </cell>
          <cell r="E770" t="str">
            <v>국제 2담당</v>
          </cell>
          <cell r="F770" t="str">
            <v>2210</v>
          </cell>
          <cell r="G770" t="str">
            <v>2220</v>
          </cell>
          <cell r="H770" t="str">
            <v>19960501</v>
          </cell>
          <cell r="I770">
            <v>4692586</v>
          </cell>
        </row>
        <row r="771">
          <cell r="A771" t="str">
            <v>9503212</v>
          </cell>
          <cell r="B771" t="str">
            <v>강　성　민</v>
          </cell>
          <cell r="C771" t="str">
            <v>9503212강　성　민</v>
          </cell>
          <cell r="D771" t="str">
            <v>CD20</v>
          </cell>
          <cell r="E771" t="str">
            <v>국제 2담당</v>
          </cell>
          <cell r="F771" t="str">
            <v>2210</v>
          </cell>
          <cell r="G771" t="str">
            <v>2220</v>
          </cell>
          <cell r="H771" t="str">
            <v>19951106</v>
          </cell>
          <cell r="I771">
            <v>4948784</v>
          </cell>
        </row>
        <row r="772">
          <cell r="A772" t="str">
            <v>8604437</v>
          </cell>
          <cell r="B772" t="str">
            <v>강　용　구</v>
          </cell>
          <cell r="C772" t="str">
            <v>8604437강　용　구</v>
          </cell>
          <cell r="D772" t="str">
            <v>CD20</v>
          </cell>
          <cell r="E772" t="str">
            <v>국제 2담당</v>
          </cell>
          <cell r="F772" t="str">
            <v>2210</v>
          </cell>
          <cell r="G772" t="str">
            <v>2220</v>
          </cell>
          <cell r="H772" t="str">
            <v>19861020</v>
          </cell>
          <cell r="I772">
            <v>23481506</v>
          </cell>
        </row>
        <row r="773">
          <cell r="A773" t="str">
            <v>9105693</v>
          </cell>
          <cell r="B773" t="str">
            <v>강　종　철</v>
          </cell>
          <cell r="C773" t="str">
            <v>9105693강　종　철</v>
          </cell>
          <cell r="D773" t="str">
            <v>CD20</v>
          </cell>
          <cell r="E773" t="str">
            <v>국제 2담당</v>
          </cell>
          <cell r="F773" t="str">
            <v>2210</v>
          </cell>
          <cell r="G773" t="str">
            <v>2220</v>
          </cell>
          <cell r="H773" t="str">
            <v>19911201</v>
          </cell>
          <cell r="I773">
            <v>11446916</v>
          </cell>
        </row>
        <row r="774">
          <cell r="A774" t="str">
            <v>8800288</v>
          </cell>
          <cell r="B774" t="str">
            <v>고　성　구</v>
          </cell>
          <cell r="C774" t="str">
            <v>8800288고　성　구</v>
          </cell>
          <cell r="D774" t="str">
            <v>CD20</v>
          </cell>
          <cell r="E774" t="str">
            <v>국제 2담당</v>
          </cell>
          <cell r="F774" t="str">
            <v>2210</v>
          </cell>
          <cell r="G774" t="str">
            <v>2220</v>
          </cell>
          <cell r="H774" t="str">
            <v>19880406</v>
          </cell>
          <cell r="I774">
            <v>18892851</v>
          </cell>
        </row>
        <row r="775">
          <cell r="A775" t="str">
            <v>9100541</v>
          </cell>
          <cell r="B775" t="str">
            <v>고　재　환</v>
          </cell>
          <cell r="C775" t="str">
            <v>9100541고　재　환</v>
          </cell>
          <cell r="D775" t="str">
            <v>CD20</v>
          </cell>
          <cell r="E775" t="str">
            <v>국제 2담당</v>
          </cell>
          <cell r="F775" t="str">
            <v>2210</v>
          </cell>
          <cell r="G775" t="str">
            <v>2220</v>
          </cell>
          <cell r="H775" t="str">
            <v>19910211</v>
          </cell>
          <cell r="I775">
            <v>13842881</v>
          </cell>
        </row>
        <row r="776">
          <cell r="A776" t="str">
            <v>9702224</v>
          </cell>
          <cell r="B776" t="str">
            <v>고　준　호</v>
          </cell>
          <cell r="C776" t="str">
            <v>9702224고　준　호</v>
          </cell>
          <cell r="D776" t="str">
            <v>CD20</v>
          </cell>
          <cell r="E776" t="str">
            <v>국제 2담당</v>
          </cell>
          <cell r="F776" t="str">
            <v>2210</v>
          </cell>
          <cell r="G776" t="str">
            <v>2220</v>
          </cell>
          <cell r="H776" t="str">
            <v>19970821</v>
          </cell>
          <cell r="I776">
            <v>2880471</v>
          </cell>
        </row>
        <row r="777">
          <cell r="A777" t="str">
            <v>9500692</v>
          </cell>
          <cell r="B777" t="str">
            <v>고　희　종</v>
          </cell>
          <cell r="C777" t="str">
            <v>9500692고　희　종</v>
          </cell>
          <cell r="D777" t="str">
            <v>CD20</v>
          </cell>
          <cell r="E777" t="str">
            <v>국제 2담당</v>
          </cell>
          <cell r="F777" t="str">
            <v>2210</v>
          </cell>
          <cell r="G777" t="str">
            <v>2220</v>
          </cell>
          <cell r="H777" t="str">
            <v>19950417</v>
          </cell>
          <cell r="I777">
            <v>5823023</v>
          </cell>
        </row>
        <row r="778">
          <cell r="A778" t="str">
            <v>9101283</v>
          </cell>
          <cell r="B778" t="str">
            <v>곽　동　균</v>
          </cell>
          <cell r="C778" t="str">
            <v>9101283곽　동　균</v>
          </cell>
          <cell r="D778" t="str">
            <v>CD20</v>
          </cell>
          <cell r="E778" t="str">
            <v>국제 2담당</v>
          </cell>
          <cell r="F778" t="str">
            <v>2210</v>
          </cell>
          <cell r="G778" t="str">
            <v>2220</v>
          </cell>
          <cell r="H778" t="str">
            <v>19910411</v>
          </cell>
          <cell r="I778">
            <v>12546984</v>
          </cell>
        </row>
        <row r="779">
          <cell r="A779" t="str">
            <v>8400780</v>
          </cell>
          <cell r="B779" t="str">
            <v>구　본　철</v>
          </cell>
          <cell r="C779" t="str">
            <v>8400780구　본　철</v>
          </cell>
          <cell r="D779" t="str">
            <v>CD20</v>
          </cell>
          <cell r="E779" t="str">
            <v>국제 2담당</v>
          </cell>
          <cell r="F779" t="str">
            <v>2210</v>
          </cell>
          <cell r="G779" t="str">
            <v>2220</v>
          </cell>
          <cell r="H779" t="str">
            <v>19840813</v>
          </cell>
          <cell r="I779">
            <v>26649502</v>
          </cell>
        </row>
        <row r="780">
          <cell r="A780" t="str">
            <v>8502344</v>
          </cell>
          <cell r="B780" t="str">
            <v>구　재　국</v>
          </cell>
          <cell r="C780" t="str">
            <v>8502344구　재　국</v>
          </cell>
          <cell r="D780" t="str">
            <v>CD20</v>
          </cell>
          <cell r="E780" t="str">
            <v>국제 2담당</v>
          </cell>
          <cell r="F780" t="str">
            <v>2210</v>
          </cell>
          <cell r="G780" t="str">
            <v>2220</v>
          </cell>
          <cell r="H780" t="str">
            <v>19851101</v>
          </cell>
          <cell r="I780">
            <v>20904916</v>
          </cell>
        </row>
        <row r="781">
          <cell r="A781" t="str">
            <v>8800604</v>
          </cell>
          <cell r="B781" t="str">
            <v>권　태　필</v>
          </cell>
          <cell r="C781" t="str">
            <v>8800604권　태　필</v>
          </cell>
          <cell r="D781" t="str">
            <v>CD20</v>
          </cell>
          <cell r="E781" t="str">
            <v>국제 2담당</v>
          </cell>
          <cell r="F781" t="str">
            <v>2210</v>
          </cell>
          <cell r="G781" t="str">
            <v>2220</v>
          </cell>
          <cell r="H781" t="str">
            <v>19880430</v>
          </cell>
          <cell r="I781">
            <v>18607110</v>
          </cell>
        </row>
        <row r="782">
          <cell r="A782" t="str">
            <v>9301217</v>
          </cell>
          <cell r="B782" t="str">
            <v>권　혁　　</v>
          </cell>
          <cell r="C782" t="str">
            <v>9301217권　혁　　</v>
          </cell>
          <cell r="D782" t="str">
            <v>CD20</v>
          </cell>
          <cell r="E782" t="str">
            <v>국제 2담당</v>
          </cell>
          <cell r="F782" t="str">
            <v>2210</v>
          </cell>
          <cell r="G782" t="str">
            <v>2220</v>
          </cell>
          <cell r="H782" t="str">
            <v>19930301</v>
          </cell>
          <cell r="I782">
            <v>9202197</v>
          </cell>
        </row>
        <row r="783">
          <cell r="A783" t="str">
            <v>7800480</v>
          </cell>
          <cell r="B783" t="str">
            <v>김　경　석</v>
          </cell>
          <cell r="C783" t="str">
            <v>7800480김　경　석</v>
          </cell>
          <cell r="D783" t="str">
            <v>CD20</v>
          </cell>
          <cell r="E783" t="str">
            <v>국제 2담당</v>
          </cell>
          <cell r="F783" t="str">
            <v>2210</v>
          </cell>
          <cell r="G783" t="str">
            <v>2220</v>
          </cell>
          <cell r="H783" t="str">
            <v>19780608</v>
          </cell>
          <cell r="I783">
            <v>43152402</v>
          </cell>
        </row>
        <row r="784">
          <cell r="A784" t="str">
            <v>8701378</v>
          </cell>
          <cell r="B784" t="str">
            <v>김　광　웅</v>
          </cell>
          <cell r="C784" t="str">
            <v>8701378김　광　웅</v>
          </cell>
          <cell r="D784" t="str">
            <v>CD20</v>
          </cell>
          <cell r="E784" t="str">
            <v>국제 2담당</v>
          </cell>
          <cell r="F784" t="str">
            <v>2210</v>
          </cell>
          <cell r="G784" t="str">
            <v>2220</v>
          </cell>
          <cell r="H784" t="str">
            <v>19870801</v>
          </cell>
          <cell r="I784">
            <v>20404121</v>
          </cell>
        </row>
        <row r="785">
          <cell r="A785" t="str">
            <v>9101305</v>
          </cell>
          <cell r="B785" t="str">
            <v>김　기　식</v>
          </cell>
          <cell r="C785" t="str">
            <v>9101305김　기　식</v>
          </cell>
          <cell r="D785" t="str">
            <v>CD20</v>
          </cell>
          <cell r="E785" t="str">
            <v>국제 2담당</v>
          </cell>
          <cell r="F785" t="str">
            <v>2210</v>
          </cell>
          <cell r="G785" t="str">
            <v>2220</v>
          </cell>
          <cell r="H785" t="str">
            <v>19910411</v>
          </cell>
          <cell r="I785">
            <v>10990362</v>
          </cell>
        </row>
        <row r="786">
          <cell r="A786" t="str">
            <v>8200170</v>
          </cell>
          <cell r="B786" t="str">
            <v>김　덕　삼</v>
          </cell>
          <cell r="C786" t="str">
            <v>8200170김　덕　삼</v>
          </cell>
          <cell r="D786" t="str">
            <v>CD20</v>
          </cell>
          <cell r="E786" t="str">
            <v>국제 2담당</v>
          </cell>
          <cell r="F786" t="str">
            <v>2210</v>
          </cell>
          <cell r="G786" t="str">
            <v>2220</v>
          </cell>
          <cell r="H786" t="str">
            <v>19981201</v>
          </cell>
          <cell r="I786">
            <v>1810353</v>
          </cell>
        </row>
        <row r="787">
          <cell r="A787" t="str">
            <v>9500174</v>
          </cell>
          <cell r="B787" t="str">
            <v>김　동　일</v>
          </cell>
          <cell r="C787" t="str">
            <v>9500174김　동　일</v>
          </cell>
          <cell r="D787" t="str">
            <v>CD20</v>
          </cell>
          <cell r="E787" t="str">
            <v>국제 2담당</v>
          </cell>
          <cell r="F787" t="str">
            <v>2210</v>
          </cell>
          <cell r="G787" t="e">
            <v>#N/A</v>
          </cell>
          <cell r="H787" t="str">
            <v>19950105</v>
          </cell>
          <cell r="I787">
            <v>6682980</v>
          </cell>
          <cell r="J787" t="str">
            <v>3 월</v>
          </cell>
          <cell r="K787">
            <v>6814090</v>
          </cell>
        </row>
        <row r="788">
          <cell r="A788" t="str">
            <v>8401588</v>
          </cell>
          <cell r="B788" t="str">
            <v>김　명　종</v>
          </cell>
          <cell r="C788" t="str">
            <v>8401588김　명　종</v>
          </cell>
          <cell r="D788" t="str">
            <v>CD20</v>
          </cell>
          <cell r="E788" t="str">
            <v>국제 2담당</v>
          </cell>
          <cell r="F788" t="str">
            <v>2210</v>
          </cell>
          <cell r="G788" t="str">
            <v>2220</v>
          </cell>
          <cell r="H788" t="str">
            <v>19841126</v>
          </cell>
          <cell r="I788">
            <v>26583591</v>
          </cell>
        </row>
        <row r="789">
          <cell r="A789" t="str">
            <v>7300146</v>
          </cell>
          <cell r="B789" t="str">
            <v>김　상　준</v>
          </cell>
          <cell r="C789" t="str">
            <v>7300146김　상　준</v>
          </cell>
          <cell r="D789" t="str">
            <v>CD20</v>
          </cell>
          <cell r="E789" t="str">
            <v>국제 2담당</v>
          </cell>
          <cell r="F789" t="str">
            <v>2210</v>
          </cell>
          <cell r="G789" t="str">
            <v>2220</v>
          </cell>
          <cell r="H789" t="str">
            <v>19731121</v>
          </cell>
          <cell r="I789">
            <v>55008771</v>
          </cell>
        </row>
        <row r="790">
          <cell r="A790" t="str">
            <v>8601186</v>
          </cell>
          <cell r="B790" t="str">
            <v>김　성　호</v>
          </cell>
          <cell r="C790" t="str">
            <v>8601186김　성　호</v>
          </cell>
          <cell r="D790" t="str">
            <v>CD20</v>
          </cell>
          <cell r="E790" t="str">
            <v>국제 2담당</v>
          </cell>
          <cell r="F790" t="str">
            <v>2210</v>
          </cell>
          <cell r="G790" t="str">
            <v>2220</v>
          </cell>
          <cell r="H790" t="str">
            <v>19860507</v>
          </cell>
          <cell r="I790">
            <v>24735134</v>
          </cell>
        </row>
        <row r="791">
          <cell r="A791" t="str">
            <v>8400205</v>
          </cell>
          <cell r="B791" t="str">
            <v>김　수　연</v>
          </cell>
          <cell r="C791" t="str">
            <v>8400205김　수　연</v>
          </cell>
          <cell r="D791" t="str">
            <v>CD20</v>
          </cell>
          <cell r="E791" t="str">
            <v>국제 2담당</v>
          </cell>
          <cell r="F791" t="str">
            <v>2210</v>
          </cell>
          <cell r="G791" t="str">
            <v>2220</v>
          </cell>
          <cell r="H791" t="str">
            <v>19971001</v>
          </cell>
          <cell r="I791">
            <v>3939004</v>
          </cell>
        </row>
        <row r="792">
          <cell r="A792" t="str">
            <v>8604314</v>
          </cell>
          <cell r="B792" t="str">
            <v>김　시　영</v>
          </cell>
          <cell r="C792" t="str">
            <v>8604314김　시　영</v>
          </cell>
          <cell r="D792" t="str">
            <v>CD20</v>
          </cell>
          <cell r="E792" t="str">
            <v>국제 2담당</v>
          </cell>
          <cell r="F792" t="str">
            <v>2210</v>
          </cell>
          <cell r="G792" t="str">
            <v>2220</v>
          </cell>
          <cell r="H792" t="str">
            <v>19861020</v>
          </cell>
          <cell r="I792">
            <v>23336662</v>
          </cell>
        </row>
        <row r="793">
          <cell r="A793" t="str">
            <v>8500577</v>
          </cell>
          <cell r="B793" t="str">
            <v>김　영　설</v>
          </cell>
          <cell r="C793" t="str">
            <v>8500577김　영　설</v>
          </cell>
          <cell r="D793" t="str">
            <v>CD20</v>
          </cell>
          <cell r="E793" t="str">
            <v>국제 2담당</v>
          </cell>
          <cell r="F793" t="str">
            <v>2210</v>
          </cell>
          <cell r="G793" t="str">
            <v>2220</v>
          </cell>
          <cell r="H793" t="str">
            <v>19850305</v>
          </cell>
          <cell r="I793">
            <v>26662183</v>
          </cell>
        </row>
        <row r="794">
          <cell r="A794" t="str">
            <v>9402963</v>
          </cell>
          <cell r="B794" t="str">
            <v>김　옥　식</v>
          </cell>
          <cell r="C794" t="str">
            <v>9402963김　옥　식</v>
          </cell>
          <cell r="D794" t="str">
            <v>CD20</v>
          </cell>
          <cell r="E794" t="str">
            <v>국제 2담당</v>
          </cell>
          <cell r="F794" t="str">
            <v>2210</v>
          </cell>
          <cell r="G794" t="str">
            <v>2220</v>
          </cell>
          <cell r="H794" t="str">
            <v>19940418</v>
          </cell>
          <cell r="I794">
            <v>7683549</v>
          </cell>
        </row>
        <row r="795">
          <cell r="A795" t="str">
            <v>8700546</v>
          </cell>
          <cell r="B795" t="str">
            <v>김　운　기</v>
          </cell>
          <cell r="C795" t="str">
            <v>8700546김　운　기</v>
          </cell>
          <cell r="D795" t="str">
            <v>CD20</v>
          </cell>
          <cell r="E795" t="str">
            <v>국제 2담당</v>
          </cell>
          <cell r="F795" t="str">
            <v>2210</v>
          </cell>
          <cell r="G795" t="str">
            <v>2220</v>
          </cell>
          <cell r="H795" t="str">
            <v>19870521</v>
          </cell>
          <cell r="I795">
            <v>21577450</v>
          </cell>
        </row>
        <row r="796">
          <cell r="A796" t="str">
            <v>9701201</v>
          </cell>
          <cell r="B796" t="str">
            <v>김　인　수</v>
          </cell>
          <cell r="C796" t="str">
            <v>9701201김　인　수</v>
          </cell>
          <cell r="D796" t="str">
            <v>CD20</v>
          </cell>
          <cell r="E796" t="str">
            <v>국제 2담당</v>
          </cell>
          <cell r="F796" t="str">
            <v>2210</v>
          </cell>
          <cell r="G796" t="e">
            <v>#N/A</v>
          </cell>
          <cell r="H796" t="str">
            <v>19970601</v>
          </cell>
          <cell r="I796">
            <v>3238978</v>
          </cell>
          <cell r="J796" t="str">
            <v>8 월</v>
          </cell>
          <cell r="K796">
            <v>4429356</v>
          </cell>
        </row>
        <row r="797">
          <cell r="A797" t="str">
            <v>8100448</v>
          </cell>
          <cell r="B797" t="str">
            <v>김　정　기</v>
          </cell>
          <cell r="C797" t="str">
            <v>8100448김　정　기</v>
          </cell>
          <cell r="D797" t="str">
            <v>CD20</v>
          </cell>
          <cell r="E797" t="str">
            <v>국제 2담당</v>
          </cell>
          <cell r="F797" t="str">
            <v>2210</v>
          </cell>
          <cell r="G797" t="str">
            <v>2220</v>
          </cell>
          <cell r="H797" t="str">
            <v>19811001</v>
          </cell>
          <cell r="I797">
            <v>35365111</v>
          </cell>
        </row>
        <row r="798">
          <cell r="A798" t="str">
            <v>7800693</v>
          </cell>
          <cell r="B798" t="str">
            <v>김　종　근</v>
          </cell>
          <cell r="C798" t="str">
            <v>7800693김　종　근</v>
          </cell>
          <cell r="D798" t="str">
            <v>CD20</v>
          </cell>
          <cell r="E798" t="str">
            <v>국제 2담당</v>
          </cell>
          <cell r="F798" t="str">
            <v>2210</v>
          </cell>
          <cell r="G798" t="str">
            <v>2220</v>
          </cell>
          <cell r="H798" t="str">
            <v>19981201</v>
          </cell>
          <cell r="I798">
            <v>2314569</v>
          </cell>
        </row>
        <row r="799">
          <cell r="A799" t="str">
            <v>9400735</v>
          </cell>
          <cell r="B799" t="str">
            <v>김　종　준</v>
          </cell>
          <cell r="C799" t="str">
            <v>9400735김　종　준</v>
          </cell>
          <cell r="D799" t="str">
            <v>CD20</v>
          </cell>
          <cell r="E799" t="str">
            <v>국제 2담당</v>
          </cell>
          <cell r="F799" t="str">
            <v>2210</v>
          </cell>
          <cell r="G799" t="str">
            <v>2220</v>
          </cell>
          <cell r="H799" t="str">
            <v>19940201</v>
          </cell>
          <cell r="I799">
            <v>7741622</v>
          </cell>
        </row>
        <row r="800">
          <cell r="A800" t="str">
            <v>9700198</v>
          </cell>
          <cell r="B800" t="str">
            <v>김　종　현</v>
          </cell>
          <cell r="C800" t="str">
            <v>9700198김　종　현</v>
          </cell>
          <cell r="D800" t="str">
            <v>CD20</v>
          </cell>
          <cell r="E800" t="str">
            <v>국제 2담당</v>
          </cell>
          <cell r="F800" t="str">
            <v>2210</v>
          </cell>
          <cell r="G800" t="str">
            <v>2220</v>
          </cell>
          <cell r="H800" t="str">
            <v>19970221</v>
          </cell>
          <cell r="I800">
            <v>3007889</v>
          </cell>
        </row>
        <row r="801">
          <cell r="A801" t="str">
            <v>7400057</v>
          </cell>
          <cell r="B801" t="str">
            <v>김　진　권</v>
          </cell>
          <cell r="C801" t="str">
            <v>7400057김　진　권</v>
          </cell>
          <cell r="D801" t="str">
            <v>CD20</v>
          </cell>
          <cell r="E801" t="str">
            <v>국제 2담당</v>
          </cell>
          <cell r="F801" t="str">
            <v>2210</v>
          </cell>
          <cell r="G801" t="str">
            <v>2220</v>
          </cell>
          <cell r="H801" t="str">
            <v>19740710</v>
          </cell>
          <cell r="I801">
            <v>54110066</v>
          </cell>
        </row>
        <row r="802">
          <cell r="A802" t="str">
            <v>8700592</v>
          </cell>
          <cell r="B802" t="str">
            <v>김　현　복</v>
          </cell>
          <cell r="C802" t="str">
            <v>8700592김　현　복</v>
          </cell>
          <cell r="D802" t="str">
            <v>CD20</v>
          </cell>
          <cell r="E802" t="str">
            <v>국제 2담당</v>
          </cell>
          <cell r="F802" t="str">
            <v>2210</v>
          </cell>
          <cell r="G802" t="str">
            <v>2220</v>
          </cell>
          <cell r="H802" t="str">
            <v>19870521</v>
          </cell>
          <cell r="I802">
            <v>21269925</v>
          </cell>
        </row>
        <row r="803">
          <cell r="A803" t="str">
            <v>9503122</v>
          </cell>
          <cell r="B803" t="str">
            <v>나　원　균</v>
          </cell>
          <cell r="C803" t="str">
            <v>9503122나　원　균</v>
          </cell>
          <cell r="D803" t="str">
            <v>CD20</v>
          </cell>
          <cell r="E803" t="str">
            <v>국제 2담당</v>
          </cell>
          <cell r="F803" t="str">
            <v>2210</v>
          </cell>
          <cell r="G803" t="e">
            <v>#N/A</v>
          </cell>
          <cell r="H803" t="str">
            <v>19951106</v>
          </cell>
          <cell r="I803">
            <v>4832725</v>
          </cell>
          <cell r="J803" t="str">
            <v>3 월</v>
          </cell>
          <cell r="K803">
            <v>5076610</v>
          </cell>
        </row>
        <row r="804">
          <cell r="A804" t="str">
            <v>9701346</v>
          </cell>
          <cell r="B804" t="str">
            <v>나　종　순</v>
          </cell>
          <cell r="C804" t="str">
            <v>9701346나　종　순</v>
          </cell>
          <cell r="D804" t="str">
            <v>CD20</v>
          </cell>
          <cell r="E804" t="str">
            <v>국제 2담당</v>
          </cell>
          <cell r="F804" t="str">
            <v>2210</v>
          </cell>
          <cell r="G804" t="str">
            <v>2220</v>
          </cell>
          <cell r="H804" t="str">
            <v>19970601</v>
          </cell>
          <cell r="I804">
            <v>2893247</v>
          </cell>
        </row>
        <row r="805">
          <cell r="A805" t="str">
            <v>7900885</v>
          </cell>
          <cell r="B805" t="str">
            <v>남　기　연</v>
          </cell>
          <cell r="C805" t="str">
            <v>7900885남　기　연</v>
          </cell>
          <cell r="D805" t="str">
            <v>CD20</v>
          </cell>
          <cell r="E805" t="str">
            <v>국제 2담당</v>
          </cell>
          <cell r="F805" t="str">
            <v>2210</v>
          </cell>
          <cell r="G805" t="str">
            <v>2220</v>
          </cell>
          <cell r="H805" t="str">
            <v>19791203</v>
          </cell>
          <cell r="I805">
            <v>38371612</v>
          </cell>
          <cell r="J805" t="str">
            <v>2 월</v>
          </cell>
          <cell r="K805">
            <v>38194284</v>
          </cell>
        </row>
        <row r="806">
          <cell r="A806" t="str">
            <v>9701155</v>
          </cell>
          <cell r="B806" t="str">
            <v>남　돈　희</v>
          </cell>
          <cell r="C806" t="str">
            <v>9701155남　돈　희</v>
          </cell>
          <cell r="D806" t="str">
            <v>CD20</v>
          </cell>
          <cell r="E806" t="str">
            <v>국제 2담당</v>
          </cell>
          <cell r="F806" t="str">
            <v>2210</v>
          </cell>
          <cell r="G806" t="str">
            <v>2220</v>
          </cell>
          <cell r="H806" t="str">
            <v>19970601</v>
          </cell>
          <cell r="I806">
            <v>3209013</v>
          </cell>
        </row>
        <row r="807">
          <cell r="A807" t="str">
            <v>9403200</v>
          </cell>
          <cell r="B807" t="str">
            <v>남　상　섭</v>
          </cell>
          <cell r="C807" t="str">
            <v>9403200남　상　섭</v>
          </cell>
          <cell r="D807" t="str">
            <v>CD20</v>
          </cell>
          <cell r="E807" t="str">
            <v>국제 2담당</v>
          </cell>
          <cell r="F807" t="str">
            <v>2210</v>
          </cell>
          <cell r="G807" t="str">
            <v>2220</v>
          </cell>
          <cell r="H807" t="str">
            <v>19940519</v>
          </cell>
          <cell r="I807">
            <v>7549677</v>
          </cell>
        </row>
        <row r="808">
          <cell r="A808" t="str">
            <v>7700130</v>
          </cell>
          <cell r="B808" t="str">
            <v>노　병　진</v>
          </cell>
          <cell r="C808" t="str">
            <v>7700130노　병　진</v>
          </cell>
          <cell r="D808" t="str">
            <v>CD20</v>
          </cell>
          <cell r="E808" t="str">
            <v>국제 2담당</v>
          </cell>
          <cell r="F808" t="str">
            <v>2210</v>
          </cell>
          <cell r="G808" t="str">
            <v>2220</v>
          </cell>
          <cell r="H808" t="str">
            <v>19900401</v>
          </cell>
          <cell r="I808">
            <v>17943047</v>
          </cell>
        </row>
        <row r="809">
          <cell r="A809" t="str">
            <v>9400860</v>
          </cell>
          <cell r="B809" t="str">
            <v>노　영　　</v>
          </cell>
          <cell r="C809" t="str">
            <v>9400860노　영　　</v>
          </cell>
          <cell r="D809" t="str">
            <v>CD20</v>
          </cell>
          <cell r="E809" t="str">
            <v>국제 2담당</v>
          </cell>
          <cell r="F809" t="str">
            <v>2210</v>
          </cell>
          <cell r="G809" t="str">
            <v>2220</v>
          </cell>
          <cell r="H809" t="str">
            <v>19940201</v>
          </cell>
          <cell r="I809">
            <v>7812993</v>
          </cell>
        </row>
        <row r="810">
          <cell r="A810" t="str">
            <v>9208135</v>
          </cell>
          <cell r="B810" t="str">
            <v>류　우　종</v>
          </cell>
          <cell r="C810" t="str">
            <v>9208135류　우　종</v>
          </cell>
          <cell r="D810" t="str">
            <v>CD20</v>
          </cell>
          <cell r="E810" t="str">
            <v>국제 2담당</v>
          </cell>
          <cell r="F810" t="str">
            <v>2210</v>
          </cell>
          <cell r="G810" t="str">
            <v>2220</v>
          </cell>
          <cell r="H810" t="str">
            <v>19921216</v>
          </cell>
          <cell r="I810">
            <v>8688020</v>
          </cell>
        </row>
        <row r="811">
          <cell r="A811" t="str">
            <v>8900594</v>
          </cell>
          <cell r="B811" t="str">
            <v>문　영　진</v>
          </cell>
          <cell r="C811" t="str">
            <v>8900594문　영　진</v>
          </cell>
          <cell r="D811" t="str">
            <v>CD20</v>
          </cell>
          <cell r="E811" t="str">
            <v>국제 2담당</v>
          </cell>
          <cell r="F811" t="str">
            <v>2210</v>
          </cell>
          <cell r="G811" t="str">
            <v>2220</v>
          </cell>
          <cell r="H811" t="str">
            <v>19881205</v>
          </cell>
          <cell r="I811">
            <v>17320321</v>
          </cell>
        </row>
        <row r="812">
          <cell r="A812" t="str">
            <v>9203220</v>
          </cell>
          <cell r="B812" t="str">
            <v>민　선　기</v>
          </cell>
          <cell r="C812" t="str">
            <v>9203220민　선　기</v>
          </cell>
          <cell r="D812" t="str">
            <v>CD20</v>
          </cell>
          <cell r="E812" t="str">
            <v>국제 2담당</v>
          </cell>
          <cell r="F812" t="str">
            <v>2210</v>
          </cell>
          <cell r="G812" t="str">
            <v>2220</v>
          </cell>
          <cell r="H812" t="str">
            <v>19920601</v>
          </cell>
          <cell r="I812">
            <v>9151968</v>
          </cell>
        </row>
        <row r="813">
          <cell r="A813" t="str">
            <v>8110282</v>
          </cell>
          <cell r="B813" t="str">
            <v>민　혁　기</v>
          </cell>
          <cell r="C813" t="str">
            <v>8110282민　혁　기</v>
          </cell>
          <cell r="D813" t="str">
            <v>CD20</v>
          </cell>
          <cell r="E813" t="str">
            <v>국제 2담당</v>
          </cell>
          <cell r="F813" t="str">
            <v>2210</v>
          </cell>
          <cell r="G813" t="str">
            <v>2220</v>
          </cell>
          <cell r="H813" t="str">
            <v>19810301</v>
          </cell>
          <cell r="I813">
            <v>35473272</v>
          </cell>
        </row>
        <row r="814">
          <cell r="A814" t="str">
            <v>8701907</v>
          </cell>
          <cell r="B814" t="str">
            <v>박　경　식</v>
          </cell>
          <cell r="C814" t="str">
            <v>8701907박　경　식</v>
          </cell>
          <cell r="D814" t="str">
            <v>CD20</v>
          </cell>
          <cell r="E814" t="str">
            <v>국제 2담당</v>
          </cell>
          <cell r="F814" t="str">
            <v>2210</v>
          </cell>
          <cell r="G814" t="str">
            <v>2220</v>
          </cell>
          <cell r="H814" t="str">
            <v>19870901</v>
          </cell>
          <cell r="I814">
            <v>19509620</v>
          </cell>
        </row>
        <row r="815">
          <cell r="A815" t="str">
            <v>9700615</v>
          </cell>
          <cell r="B815" t="str">
            <v>박　경　용</v>
          </cell>
          <cell r="C815" t="str">
            <v>9700615박　경　용</v>
          </cell>
          <cell r="D815" t="str">
            <v>CD20</v>
          </cell>
          <cell r="E815" t="str">
            <v>국제 2담당</v>
          </cell>
          <cell r="F815" t="str">
            <v>2210</v>
          </cell>
          <cell r="G815" t="str">
            <v>2220</v>
          </cell>
          <cell r="H815" t="str">
            <v>19970421</v>
          </cell>
          <cell r="I815">
            <v>3106817</v>
          </cell>
        </row>
        <row r="816">
          <cell r="A816" t="str">
            <v>8604022</v>
          </cell>
          <cell r="B816" t="str">
            <v>박　근　용</v>
          </cell>
          <cell r="C816" t="str">
            <v>8604022박　근　용</v>
          </cell>
          <cell r="D816" t="str">
            <v>CD20</v>
          </cell>
          <cell r="E816" t="str">
            <v>국제 2담당</v>
          </cell>
          <cell r="F816" t="str">
            <v>2210</v>
          </cell>
          <cell r="G816" t="str">
            <v>2220</v>
          </cell>
          <cell r="H816" t="str">
            <v>19861006</v>
          </cell>
          <cell r="I816">
            <v>21674459</v>
          </cell>
        </row>
        <row r="817">
          <cell r="A817" t="str">
            <v>8500105</v>
          </cell>
          <cell r="B817" t="str">
            <v>박　종　빈</v>
          </cell>
          <cell r="C817" t="str">
            <v>8500105박　종　빈</v>
          </cell>
          <cell r="D817" t="str">
            <v>CD20</v>
          </cell>
          <cell r="E817" t="str">
            <v>국제 2담당</v>
          </cell>
          <cell r="F817" t="str">
            <v>2210</v>
          </cell>
          <cell r="G817" t="str">
            <v>2220</v>
          </cell>
          <cell r="H817" t="str">
            <v>19851001</v>
          </cell>
          <cell r="I817">
            <v>27999222</v>
          </cell>
        </row>
        <row r="818">
          <cell r="A818" t="str">
            <v>9600603</v>
          </cell>
          <cell r="B818" t="str">
            <v>박　창　래</v>
          </cell>
          <cell r="C818" t="str">
            <v>9600603박　창　래</v>
          </cell>
          <cell r="D818" t="str">
            <v>CD20</v>
          </cell>
          <cell r="E818" t="str">
            <v>국제 2담당</v>
          </cell>
          <cell r="F818" t="str">
            <v>2210</v>
          </cell>
          <cell r="G818" t="str">
            <v>2220</v>
          </cell>
          <cell r="H818" t="str">
            <v>19960501</v>
          </cell>
          <cell r="I818">
            <v>4735510</v>
          </cell>
        </row>
        <row r="819">
          <cell r="A819" t="str">
            <v>9702461</v>
          </cell>
          <cell r="B819" t="str">
            <v>박　현　식</v>
          </cell>
          <cell r="C819" t="str">
            <v>9702461박　현　식</v>
          </cell>
          <cell r="D819" t="str">
            <v>CD20</v>
          </cell>
          <cell r="E819" t="str">
            <v>국제 2담당</v>
          </cell>
          <cell r="F819" t="str">
            <v>2210</v>
          </cell>
          <cell r="G819" t="str">
            <v>2220</v>
          </cell>
          <cell r="H819" t="str">
            <v>19970821</v>
          </cell>
          <cell r="I819">
            <v>2730511</v>
          </cell>
        </row>
        <row r="820">
          <cell r="A820" t="str">
            <v>9701313</v>
          </cell>
          <cell r="B820" t="str">
            <v>백　승　기</v>
          </cell>
          <cell r="C820" t="str">
            <v>9701313백　승　기</v>
          </cell>
          <cell r="D820" t="str">
            <v>CD20</v>
          </cell>
          <cell r="E820" t="str">
            <v>국제 2담당</v>
          </cell>
          <cell r="F820" t="str">
            <v>2210</v>
          </cell>
          <cell r="G820" t="str">
            <v>2220</v>
          </cell>
          <cell r="H820" t="str">
            <v>19970601</v>
          </cell>
          <cell r="I820">
            <v>2951291</v>
          </cell>
        </row>
        <row r="821">
          <cell r="A821" t="str">
            <v>9502784</v>
          </cell>
          <cell r="B821" t="str">
            <v>서　기　원</v>
          </cell>
          <cell r="C821" t="str">
            <v>9502784서　기　원</v>
          </cell>
          <cell r="D821" t="str">
            <v>CD20</v>
          </cell>
          <cell r="E821" t="str">
            <v>국제 2담당</v>
          </cell>
          <cell r="F821" t="str">
            <v>2210</v>
          </cell>
          <cell r="G821" t="str">
            <v>2220</v>
          </cell>
          <cell r="H821" t="str">
            <v>19951023</v>
          </cell>
          <cell r="I821">
            <v>5422035</v>
          </cell>
        </row>
        <row r="822">
          <cell r="A822" t="str">
            <v>8702335</v>
          </cell>
          <cell r="B822" t="str">
            <v>서　세　옥</v>
          </cell>
          <cell r="C822" t="str">
            <v>8702335서　세　옥</v>
          </cell>
          <cell r="D822" t="str">
            <v>CD20</v>
          </cell>
          <cell r="E822" t="str">
            <v>국제 2담당</v>
          </cell>
          <cell r="F822" t="str">
            <v>2210</v>
          </cell>
          <cell r="G822" t="str">
            <v>2220</v>
          </cell>
          <cell r="H822" t="str">
            <v>19871020</v>
          </cell>
          <cell r="I822">
            <v>20249108</v>
          </cell>
        </row>
        <row r="823">
          <cell r="A823" t="str">
            <v>9001484</v>
          </cell>
          <cell r="B823" t="str">
            <v>서　정　학</v>
          </cell>
          <cell r="C823" t="str">
            <v>9001484서　정　학</v>
          </cell>
          <cell r="D823" t="str">
            <v>CD20</v>
          </cell>
          <cell r="E823" t="str">
            <v>국제 2담당</v>
          </cell>
          <cell r="F823" t="str">
            <v>2210</v>
          </cell>
          <cell r="G823" t="str">
            <v>2220</v>
          </cell>
          <cell r="H823" t="str">
            <v>19891101</v>
          </cell>
          <cell r="I823">
            <v>13735935</v>
          </cell>
        </row>
        <row r="824">
          <cell r="A824" t="str">
            <v>7900244</v>
          </cell>
          <cell r="B824" t="str">
            <v>석　헌　홍</v>
          </cell>
          <cell r="C824" t="str">
            <v>7900244석　헌　홍</v>
          </cell>
          <cell r="D824" t="str">
            <v>CD20</v>
          </cell>
          <cell r="E824" t="str">
            <v>국제 2담당</v>
          </cell>
          <cell r="F824" t="str">
            <v>2210</v>
          </cell>
          <cell r="G824" t="e">
            <v>#N/A</v>
          </cell>
          <cell r="H824" t="str">
            <v>19790515</v>
          </cell>
          <cell r="I824">
            <v>44013888</v>
          </cell>
          <cell r="J824" t="str">
            <v>12 월</v>
          </cell>
          <cell r="K824">
            <v>54897328</v>
          </cell>
        </row>
        <row r="825">
          <cell r="A825" t="str">
            <v>9203152</v>
          </cell>
          <cell r="B825" t="str">
            <v>손　진　해</v>
          </cell>
          <cell r="C825" t="str">
            <v>9203152손　진　해</v>
          </cell>
          <cell r="D825" t="str">
            <v>CD20</v>
          </cell>
          <cell r="E825" t="str">
            <v>국제 2담당</v>
          </cell>
          <cell r="F825" t="str">
            <v>2210</v>
          </cell>
          <cell r="G825" t="str">
            <v>2220</v>
          </cell>
          <cell r="H825" t="str">
            <v>19920601</v>
          </cell>
          <cell r="I825">
            <v>10499537</v>
          </cell>
        </row>
        <row r="826">
          <cell r="A826" t="str">
            <v>9207516</v>
          </cell>
          <cell r="B826" t="str">
            <v>송　재　영</v>
          </cell>
          <cell r="C826" t="str">
            <v>9207516송　재　영</v>
          </cell>
          <cell r="D826" t="str">
            <v>CD20</v>
          </cell>
          <cell r="E826" t="str">
            <v>국제 2담당</v>
          </cell>
          <cell r="F826" t="str">
            <v>2210</v>
          </cell>
          <cell r="G826" t="str">
            <v>2220</v>
          </cell>
          <cell r="H826" t="str">
            <v>19921201</v>
          </cell>
          <cell r="I826">
            <v>9730274</v>
          </cell>
        </row>
        <row r="827">
          <cell r="A827" t="str">
            <v>8900583</v>
          </cell>
          <cell r="B827" t="str">
            <v>신　교　관</v>
          </cell>
          <cell r="C827" t="str">
            <v>8900583신　교　관</v>
          </cell>
          <cell r="D827" t="str">
            <v>CD20</v>
          </cell>
          <cell r="E827" t="str">
            <v>국제 2담당</v>
          </cell>
          <cell r="F827" t="str">
            <v>2210</v>
          </cell>
          <cell r="G827" t="str">
            <v>2220</v>
          </cell>
          <cell r="H827" t="str">
            <v>19880824</v>
          </cell>
          <cell r="I827">
            <v>17618057</v>
          </cell>
        </row>
        <row r="828">
          <cell r="A828" t="str">
            <v>8000280</v>
          </cell>
          <cell r="B828" t="str">
            <v>신　동　기</v>
          </cell>
          <cell r="C828" t="str">
            <v>8000280신　동　기</v>
          </cell>
          <cell r="D828" t="str">
            <v>CD20</v>
          </cell>
          <cell r="E828" t="str">
            <v>국제 2담당</v>
          </cell>
          <cell r="F828" t="str">
            <v>2210</v>
          </cell>
          <cell r="G828" t="str">
            <v>2653</v>
          </cell>
          <cell r="H828" t="str">
            <v>19801101</v>
          </cell>
          <cell r="I828">
            <v>32328860</v>
          </cell>
        </row>
        <row r="829">
          <cell r="A829" t="str">
            <v>8600523</v>
          </cell>
          <cell r="B829" t="str">
            <v>신　동　만</v>
          </cell>
          <cell r="C829" t="str">
            <v>8600523신　동　만</v>
          </cell>
          <cell r="D829" t="str">
            <v>CD20</v>
          </cell>
          <cell r="E829" t="str">
            <v>국제 2담당</v>
          </cell>
          <cell r="F829" t="str">
            <v>2210</v>
          </cell>
          <cell r="G829" t="str">
            <v>2220</v>
          </cell>
          <cell r="H829" t="str">
            <v>19860912</v>
          </cell>
          <cell r="I829">
            <v>23174757</v>
          </cell>
        </row>
        <row r="830">
          <cell r="A830" t="str">
            <v>7200235</v>
          </cell>
          <cell r="B830" t="str">
            <v>신　정　식</v>
          </cell>
          <cell r="C830" t="str">
            <v>7200235신　정　식</v>
          </cell>
          <cell r="D830" t="str">
            <v>CD20</v>
          </cell>
          <cell r="E830" t="str">
            <v>국제 2담당</v>
          </cell>
          <cell r="F830" t="str">
            <v>2210</v>
          </cell>
          <cell r="G830" t="str">
            <v>2220</v>
          </cell>
          <cell r="H830" t="str">
            <v>19870907</v>
          </cell>
          <cell r="I830">
            <v>23470274</v>
          </cell>
        </row>
        <row r="831">
          <cell r="A831" t="str">
            <v>9000202</v>
          </cell>
          <cell r="B831" t="str">
            <v>신　태　하</v>
          </cell>
          <cell r="C831" t="str">
            <v>9000202신　태　하</v>
          </cell>
          <cell r="D831" t="str">
            <v>CD20</v>
          </cell>
          <cell r="E831" t="str">
            <v>국제 2담당</v>
          </cell>
          <cell r="F831" t="str">
            <v>2210</v>
          </cell>
          <cell r="G831" t="str">
            <v>2220</v>
          </cell>
          <cell r="H831" t="str">
            <v>19890403</v>
          </cell>
          <cell r="I831">
            <v>14449390</v>
          </cell>
        </row>
        <row r="832">
          <cell r="A832" t="str">
            <v>9000584</v>
          </cell>
          <cell r="B832" t="str">
            <v>심　민　섭</v>
          </cell>
          <cell r="C832" t="str">
            <v>9000584심　민　섭</v>
          </cell>
          <cell r="D832" t="str">
            <v>CD20</v>
          </cell>
          <cell r="E832" t="str">
            <v>국제 2담당</v>
          </cell>
          <cell r="F832" t="str">
            <v>2210</v>
          </cell>
          <cell r="G832" t="str">
            <v>2220</v>
          </cell>
          <cell r="H832" t="str">
            <v>19890718</v>
          </cell>
          <cell r="I832">
            <v>16693652</v>
          </cell>
        </row>
        <row r="833">
          <cell r="A833" t="str">
            <v>8901145</v>
          </cell>
          <cell r="B833" t="str">
            <v>안　광　일</v>
          </cell>
          <cell r="C833" t="str">
            <v>8901145안　광　일</v>
          </cell>
          <cell r="D833" t="str">
            <v>CD20</v>
          </cell>
          <cell r="E833" t="str">
            <v>국제 2담당</v>
          </cell>
          <cell r="F833" t="str">
            <v>2210</v>
          </cell>
          <cell r="G833" t="str">
            <v>2220</v>
          </cell>
          <cell r="H833" t="str">
            <v>19880824</v>
          </cell>
          <cell r="I833">
            <v>17795985</v>
          </cell>
        </row>
        <row r="834">
          <cell r="A834" t="str">
            <v>8600512</v>
          </cell>
          <cell r="B834" t="str">
            <v>안　중　호</v>
          </cell>
          <cell r="C834" t="str">
            <v>8600512안　중　호</v>
          </cell>
          <cell r="D834" t="str">
            <v>CD20</v>
          </cell>
          <cell r="E834" t="str">
            <v>국제 2담당</v>
          </cell>
          <cell r="F834" t="str">
            <v>2210</v>
          </cell>
          <cell r="G834" t="str">
            <v>2220</v>
          </cell>
          <cell r="H834" t="str">
            <v>19860912</v>
          </cell>
          <cell r="I834">
            <v>24688617</v>
          </cell>
        </row>
        <row r="835">
          <cell r="A835" t="str">
            <v>9304165</v>
          </cell>
          <cell r="B835" t="str">
            <v>엄　명　섭</v>
          </cell>
          <cell r="C835" t="str">
            <v>9304165엄　명　섭</v>
          </cell>
          <cell r="D835" t="str">
            <v>CD20</v>
          </cell>
          <cell r="E835" t="str">
            <v>국제 2담당</v>
          </cell>
          <cell r="F835" t="str">
            <v>2210</v>
          </cell>
          <cell r="G835" t="str">
            <v>2220</v>
          </cell>
          <cell r="H835" t="str">
            <v>19930716</v>
          </cell>
          <cell r="I835">
            <v>8338045</v>
          </cell>
        </row>
        <row r="836">
          <cell r="A836" t="str">
            <v>8701784</v>
          </cell>
          <cell r="B836" t="str">
            <v>엄　상　오</v>
          </cell>
          <cell r="C836" t="str">
            <v>8701784엄　상　오</v>
          </cell>
          <cell r="D836" t="str">
            <v>CD20</v>
          </cell>
          <cell r="E836" t="str">
            <v>국제 2담당</v>
          </cell>
          <cell r="F836" t="str">
            <v>2210</v>
          </cell>
          <cell r="G836" t="str">
            <v>2220</v>
          </cell>
          <cell r="H836" t="str">
            <v>19870810</v>
          </cell>
          <cell r="I836">
            <v>20669278</v>
          </cell>
        </row>
        <row r="837">
          <cell r="A837" t="str">
            <v>9206065</v>
          </cell>
          <cell r="B837" t="str">
            <v>엄　영　섭</v>
          </cell>
          <cell r="C837" t="str">
            <v>9206065엄　영　섭</v>
          </cell>
          <cell r="D837" t="str">
            <v>CD20</v>
          </cell>
          <cell r="E837" t="str">
            <v>국제 2담당</v>
          </cell>
          <cell r="F837" t="str">
            <v>2210</v>
          </cell>
          <cell r="G837" t="str">
            <v>2220</v>
          </cell>
          <cell r="H837" t="str">
            <v>19921005</v>
          </cell>
          <cell r="I837">
            <v>10537240</v>
          </cell>
        </row>
        <row r="838">
          <cell r="A838" t="str">
            <v>8701773</v>
          </cell>
          <cell r="B838" t="str">
            <v>연　인　호</v>
          </cell>
          <cell r="C838" t="str">
            <v>8701773연　인　호</v>
          </cell>
          <cell r="D838" t="str">
            <v>CD20</v>
          </cell>
          <cell r="E838" t="str">
            <v>국제 2담당</v>
          </cell>
          <cell r="F838" t="str">
            <v>2210</v>
          </cell>
          <cell r="G838" t="str">
            <v>2220</v>
          </cell>
          <cell r="H838" t="str">
            <v>19870810</v>
          </cell>
          <cell r="I838">
            <v>18632775</v>
          </cell>
        </row>
        <row r="839">
          <cell r="A839" t="str">
            <v>8400791</v>
          </cell>
          <cell r="B839" t="str">
            <v>오　수　인</v>
          </cell>
          <cell r="C839" t="str">
            <v>8400791오　수　인</v>
          </cell>
          <cell r="D839" t="str">
            <v>CD20</v>
          </cell>
          <cell r="E839" t="str">
            <v>국제 2담당</v>
          </cell>
          <cell r="F839" t="str">
            <v>2210</v>
          </cell>
          <cell r="G839" t="str">
            <v>2220</v>
          </cell>
          <cell r="H839" t="str">
            <v>19840813</v>
          </cell>
          <cell r="I839">
            <v>26212916</v>
          </cell>
        </row>
        <row r="840">
          <cell r="A840" t="str">
            <v>9400904</v>
          </cell>
          <cell r="B840" t="str">
            <v>오　현　기</v>
          </cell>
          <cell r="C840" t="str">
            <v>9400904오　현　기</v>
          </cell>
          <cell r="D840" t="str">
            <v>CD20</v>
          </cell>
          <cell r="E840" t="str">
            <v>국제 2담당</v>
          </cell>
          <cell r="F840" t="str">
            <v>2210</v>
          </cell>
          <cell r="G840" t="str">
            <v>2220</v>
          </cell>
          <cell r="H840" t="str">
            <v>19940201</v>
          </cell>
          <cell r="I840">
            <v>7890651</v>
          </cell>
        </row>
        <row r="841">
          <cell r="A841" t="str">
            <v>9701098</v>
          </cell>
          <cell r="B841" t="str">
            <v>우　창　성</v>
          </cell>
          <cell r="C841" t="str">
            <v>9701098우　창　성</v>
          </cell>
          <cell r="D841" t="str">
            <v>CD20</v>
          </cell>
          <cell r="E841" t="str">
            <v>국제 2담당</v>
          </cell>
          <cell r="F841" t="str">
            <v>2210</v>
          </cell>
          <cell r="G841" t="str">
            <v>2220</v>
          </cell>
          <cell r="H841" t="str">
            <v>19970601</v>
          </cell>
          <cell r="I841">
            <v>3067636</v>
          </cell>
        </row>
        <row r="842">
          <cell r="A842" t="str">
            <v>9203332</v>
          </cell>
          <cell r="B842" t="str">
            <v>유　년　상</v>
          </cell>
          <cell r="C842" t="str">
            <v>9203332유　년　상</v>
          </cell>
          <cell r="D842" t="str">
            <v>CD20</v>
          </cell>
          <cell r="E842" t="str">
            <v>국제 2담당</v>
          </cell>
          <cell r="F842" t="str">
            <v>2210</v>
          </cell>
          <cell r="G842" t="str">
            <v>2520</v>
          </cell>
          <cell r="H842" t="str">
            <v>19920601</v>
          </cell>
          <cell r="I842">
            <v>8678810</v>
          </cell>
        </row>
        <row r="843">
          <cell r="A843" t="str">
            <v>9700593</v>
          </cell>
          <cell r="B843" t="str">
            <v>유　병　환</v>
          </cell>
          <cell r="C843" t="str">
            <v>9700593유　병　환</v>
          </cell>
          <cell r="D843" t="str">
            <v>CD20</v>
          </cell>
          <cell r="E843" t="str">
            <v>국제 2담당</v>
          </cell>
          <cell r="F843" t="str">
            <v>2210</v>
          </cell>
          <cell r="G843" t="e">
            <v>#N/A</v>
          </cell>
          <cell r="H843" t="str">
            <v>19970421</v>
          </cell>
          <cell r="I843">
            <v>2817084</v>
          </cell>
          <cell r="J843" t="str">
            <v>3 월</v>
          </cell>
          <cell r="K843">
            <v>3081989</v>
          </cell>
        </row>
        <row r="844">
          <cell r="A844" t="str">
            <v>9102813</v>
          </cell>
          <cell r="B844" t="str">
            <v>유　은　환</v>
          </cell>
          <cell r="C844" t="str">
            <v>9102813유　은　환</v>
          </cell>
          <cell r="D844" t="str">
            <v>CD20</v>
          </cell>
          <cell r="E844" t="str">
            <v>국제 2담당</v>
          </cell>
          <cell r="F844" t="str">
            <v>2210</v>
          </cell>
          <cell r="G844" t="str">
            <v>2220</v>
          </cell>
          <cell r="H844" t="str">
            <v>19910722</v>
          </cell>
          <cell r="I844">
            <v>11166349</v>
          </cell>
        </row>
        <row r="845">
          <cell r="A845" t="str">
            <v>9701190</v>
          </cell>
          <cell r="B845" t="str">
            <v>유　인　석</v>
          </cell>
          <cell r="C845" t="str">
            <v>9701190유　인　석</v>
          </cell>
          <cell r="D845" t="str">
            <v>CD20</v>
          </cell>
          <cell r="E845" t="str">
            <v>국제 2담당</v>
          </cell>
          <cell r="F845" t="str">
            <v>2210</v>
          </cell>
          <cell r="G845" t="str">
            <v>2220</v>
          </cell>
          <cell r="H845" t="str">
            <v>19970601</v>
          </cell>
          <cell r="I845">
            <v>2926530</v>
          </cell>
        </row>
        <row r="846">
          <cell r="A846" t="str">
            <v>8900627</v>
          </cell>
          <cell r="B846" t="str">
            <v>유　진　수</v>
          </cell>
          <cell r="C846" t="str">
            <v>8900627유　진　수</v>
          </cell>
          <cell r="D846" t="str">
            <v>CD20</v>
          </cell>
          <cell r="E846" t="str">
            <v>국제 2담당</v>
          </cell>
          <cell r="F846" t="str">
            <v>2210</v>
          </cell>
          <cell r="G846" t="str">
            <v>2220</v>
          </cell>
          <cell r="H846" t="str">
            <v>19880824</v>
          </cell>
          <cell r="I846">
            <v>17539416</v>
          </cell>
        </row>
        <row r="847">
          <cell r="A847" t="str">
            <v>8701817</v>
          </cell>
          <cell r="B847" t="str">
            <v>유　해　웅</v>
          </cell>
          <cell r="C847" t="str">
            <v>8701817유　해　웅</v>
          </cell>
          <cell r="D847" t="str">
            <v>CD20</v>
          </cell>
          <cell r="E847" t="str">
            <v>국제 2담당</v>
          </cell>
          <cell r="F847" t="str">
            <v>2210</v>
          </cell>
          <cell r="G847" t="str">
            <v>2220</v>
          </cell>
          <cell r="H847" t="str">
            <v>19870810</v>
          </cell>
          <cell r="I847">
            <v>20156952</v>
          </cell>
        </row>
        <row r="848">
          <cell r="A848" t="str">
            <v>8701525</v>
          </cell>
          <cell r="B848" t="str">
            <v>윤　경　노</v>
          </cell>
          <cell r="C848" t="str">
            <v>8701525윤　경　노</v>
          </cell>
          <cell r="D848" t="str">
            <v>CD20</v>
          </cell>
          <cell r="E848" t="str">
            <v>국제 2담당</v>
          </cell>
          <cell r="F848" t="str">
            <v>2210</v>
          </cell>
          <cell r="G848" t="str">
            <v>2220</v>
          </cell>
          <cell r="H848" t="str">
            <v>19870801</v>
          </cell>
          <cell r="I848">
            <v>20458405</v>
          </cell>
        </row>
        <row r="849">
          <cell r="A849" t="str">
            <v>9204390</v>
          </cell>
          <cell r="B849" t="str">
            <v>윤　광　천</v>
          </cell>
          <cell r="C849" t="str">
            <v>9204390윤　광　천</v>
          </cell>
          <cell r="D849" t="str">
            <v>CD20</v>
          </cell>
          <cell r="E849" t="str">
            <v>국제 2담당</v>
          </cell>
          <cell r="F849" t="str">
            <v>2210</v>
          </cell>
          <cell r="G849" t="e">
            <v>#N/A</v>
          </cell>
          <cell r="H849" t="str">
            <v>19920722</v>
          </cell>
          <cell r="I849">
            <v>8545387</v>
          </cell>
          <cell r="J849" t="str">
            <v>3 월</v>
          </cell>
          <cell r="K849">
            <v>8644234</v>
          </cell>
        </row>
        <row r="850">
          <cell r="A850" t="str">
            <v>8900111</v>
          </cell>
          <cell r="B850" t="str">
            <v>윤　광　호</v>
          </cell>
          <cell r="C850" t="str">
            <v>8900111윤　광　호</v>
          </cell>
          <cell r="D850" t="str">
            <v>CD20</v>
          </cell>
          <cell r="E850" t="str">
            <v>국제 2담당</v>
          </cell>
          <cell r="F850" t="str">
            <v>2210</v>
          </cell>
          <cell r="G850" t="str">
            <v>2220</v>
          </cell>
          <cell r="H850" t="str">
            <v>19880715</v>
          </cell>
          <cell r="I850">
            <v>16105914</v>
          </cell>
        </row>
        <row r="851">
          <cell r="A851" t="str">
            <v>9500073</v>
          </cell>
          <cell r="B851" t="str">
            <v>윤　기　학</v>
          </cell>
          <cell r="C851" t="str">
            <v>9500073윤　기　학</v>
          </cell>
          <cell r="D851" t="str">
            <v>CD20</v>
          </cell>
          <cell r="E851" t="str">
            <v>국제 2담당</v>
          </cell>
          <cell r="F851" t="str">
            <v>2210</v>
          </cell>
          <cell r="G851" t="str">
            <v>2220</v>
          </cell>
          <cell r="H851" t="str">
            <v>19950105</v>
          </cell>
          <cell r="I851">
            <v>6812629</v>
          </cell>
        </row>
        <row r="852">
          <cell r="A852" t="str">
            <v>9501052</v>
          </cell>
          <cell r="B852" t="str">
            <v>윤　준　무</v>
          </cell>
          <cell r="C852" t="str">
            <v>9501052윤　준　무</v>
          </cell>
          <cell r="D852" t="str">
            <v>CD20</v>
          </cell>
          <cell r="E852" t="str">
            <v>국제 2담당</v>
          </cell>
          <cell r="F852" t="str">
            <v>2210</v>
          </cell>
          <cell r="G852" t="str">
            <v>2220</v>
          </cell>
          <cell r="H852" t="str">
            <v>19950615</v>
          </cell>
          <cell r="I852">
            <v>6031847</v>
          </cell>
        </row>
        <row r="853">
          <cell r="A853" t="str">
            <v>9405843</v>
          </cell>
          <cell r="B853" t="str">
            <v>이　광　영</v>
          </cell>
          <cell r="C853" t="str">
            <v>9405843이　광　영</v>
          </cell>
          <cell r="D853" t="str">
            <v>CD20</v>
          </cell>
          <cell r="E853" t="str">
            <v>국제 2담당</v>
          </cell>
          <cell r="F853" t="str">
            <v>2210</v>
          </cell>
          <cell r="G853" t="e">
            <v>#N/A</v>
          </cell>
          <cell r="H853" t="str">
            <v>19940901</v>
          </cell>
          <cell r="I853">
            <v>7268535</v>
          </cell>
          <cell r="J853" t="str">
            <v>5 월</v>
          </cell>
          <cell r="K853">
            <v>7697826</v>
          </cell>
        </row>
        <row r="854">
          <cell r="A854" t="str">
            <v>7700815</v>
          </cell>
          <cell r="B854" t="str">
            <v>이　광　철</v>
          </cell>
          <cell r="C854" t="str">
            <v>7700815이　광　철</v>
          </cell>
          <cell r="D854" t="str">
            <v>CD20</v>
          </cell>
          <cell r="E854" t="str">
            <v>국제 2담당</v>
          </cell>
          <cell r="F854" t="str">
            <v>2210</v>
          </cell>
          <cell r="G854" t="str">
            <v>2220</v>
          </cell>
          <cell r="H854" t="str">
            <v>19771228</v>
          </cell>
          <cell r="I854">
            <v>52186633</v>
          </cell>
        </row>
        <row r="855">
          <cell r="A855" t="str">
            <v>7900290</v>
          </cell>
          <cell r="B855" t="str">
            <v>이　기　옥</v>
          </cell>
          <cell r="C855" t="str">
            <v>7900290이　기　옥</v>
          </cell>
          <cell r="D855" t="str">
            <v>CD20</v>
          </cell>
          <cell r="E855" t="str">
            <v>국제 2담당</v>
          </cell>
          <cell r="F855" t="str">
            <v>2210</v>
          </cell>
          <cell r="G855" t="str">
            <v>2220</v>
          </cell>
          <cell r="H855" t="str">
            <v>19790510</v>
          </cell>
          <cell r="I855">
            <v>37379600</v>
          </cell>
        </row>
        <row r="856">
          <cell r="A856" t="str">
            <v>8700107</v>
          </cell>
          <cell r="B856" t="str">
            <v>이　기　화</v>
          </cell>
          <cell r="C856" t="str">
            <v>8700107이　기　화</v>
          </cell>
          <cell r="D856" t="str">
            <v>CD20</v>
          </cell>
          <cell r="E856" t="str">
            <v>국제 2담당</v>
          </cell>
          <cell r="F856" t="str">
            <v>2210</v>
          </cell>
          <cell r="G856" t="str">
            <v>2220</v>
          </cell>
          <cell r="H856" t="str">
            <v>19870205</v>
          </cell>
          <cell r="I856">
            <v>22127305</v>
          </cell>
        </row>
        <row r="857">
          <cell r="A857" t="str">
            <v>9207551</v>
          </cell>
          <cell r="B857" t="str">
            <v>이　길　상</v>
          </cell>
          <cell r="C857" t="str">
            <v>9207551이　길　상</v>
          </cell>
          <cell r="D857" t="str">
            <v>CD20</v>
          </cell>
          <cell r="E857" t="str">
            <v>국제 2담당</v>
          </cell>
          <cell r="F857" t="str">
            <v>2210</v>
          </cell>
          <cell r="G857" t="str">
            <v>2220</v>
          </cell>
          <cell r="H857" t="str">
            <v>19921201</v>
          </cell>
          <cell r="I857">
            <v>9190525</v>
          </cell>
        </row>
        <row r="858">
          <cell r="A858" t="str">
            <v>9204816</v>
          </cell>
          <cell r="B858" t="str">
            <v>이　문　효</v>
          </cell>
          <cell r="C858" t="str">
            <v>9204816이　문　효</v>
          </cell>
          <cell r="D858" t="str">
            <v>CD20</v>
          </cell>
          <cell r="E858" t="str">
            <v>국제 2담당</v>
          </cell>
          <cell r="F858" t="str">
            <v>2210</v>
          </cell>
          <cell r="G858" t="str">
            <v>2220</v>
          </cell>
          <cell r="H858" t="str">
            <v>19920810</v>
          </cell>
          <cell r="I858">
            <v>9916638</v>
          </cell>
        </row>
        <row r="859">
          <cell r="A859" t="str">
            <v>9501715</v>
          </cell>
          <cell r="B859" t="str">
            <v>이　병　철</v>
          </cell>
          <cell r="C859" t="str">
            <v>9501715이　병　철</v>
          </cell>
          <cell r="D859" t="str">
            <v>CD20</v>
          </cell>
          <cell r="E859" t="str">
            <v>국제 2담당</v>
          </cell>
          <cell r="F859" t="str">
            <v>2210</v>
          </cell>
          <cell r="G859" t="str">
            <v>2220</v>
          </cell>
          <cell r="H859" t="str">
            <v>19950720</v>
          </cell>
          <cell r="I859">
            <v>5765611</v>
          </cell>
        </row>
        <row r="860">
          <cell r="A860" t="str">
            <v>9207055</v>
          </cell>
          <cell r="B860" t="str">
            <v>이　병　희</v>
          </cell>
          <cell r="C860" t="str">
            <v>9207055이　병　희</v>
          </cell>
          <cell r="D860" t="str">
            <v>CD20</v>
          </cell>
          <cell r="E860" t="str">
            <v>국제 2담당</v>
          </cell>
          <cell r="F860" t="str">
            <v>2210</v>
          </cell>
          <cell r="G860" t="e">
            <v>#N/A</v>
          </cell>
          <cell r="H860" t="str">
            <v>19921101</v>
          </cell>
          <cell r="I860">
            <v>8852085</v>
          </cell>
          <cell r="J860" t="str">
            <v>11 월</v>
          </cell>
          <cell r="K860">
            <v>9085738</v>
          </cell>
        </row>
        <row r="861">
          <cell r="A861" t="str">
            <v>8501681</v>
          </cell>
          <cell r="B861" t="str">
            <v>이　상　식</v>
          </cell>
          <cell r="C861" t="str">
            <v>8501681이　상　식</v>
          </cell>
          <cell r="D861" t="str">
            <v>CD20</v>
          </cell>
          <cell r="E861" t="str">
            <v>국제 2담당</v>
          </cell>
          <cell r="F861" t="str">
            <v>2210</v>
          </cell>
          <cell r="G861" t="str">
            <v>2220</v>
          </cell>
          <cell r="H861" t="str">
            <v>19850701</v>
          </cell>
          <cell r="I861">
            <v>23137331</v>
          </cell>
        </row>
        <row r="862">
          <cell r="A862" t="str">
            <v>7800322</v>
          </cell>
          <cell r="B862" t="str">
            <v>이　상　연</v>
          </cell>
          <cell r="C862" t="str">
            <v>7800322이　상　연</v>
          </cell>
          <cell r="D862" t="str">
            <v>CD20</v>
          </cell>
          <cell r="E862" t="str">
            <v>국제 2담당</v>
          </cell>
          <cell r="F862" t="str">
            <v>2210</v>
          </cell>
          <cell r="G862" t="e">
            <v>#N/A</v>
          </cell>
          <cell r="H862" t="str">
            <v>19780601</v>
          </cell>
          <cell r="I862">
            <v>44141414</v>
          </cell>
          <cell r="J862" t="str">
            <v>5 월</v>
          </cell>
          <cell r="K862">
            <v>58755058</v>
          </cell>
        </row>
        <row r="863">
          <cell r="A863" t="str">
            <v>8900537</v>
          </cell>
          <cell r="B863" t="str">
            <v>이　상　오</v>
          </cell>
          <cell r="C863" t="str">
            <v>8900537이　상　오</v>
          </cell>
          <cell r="D863" t="str">
            <v>CD20</v>
          </cell>
          <cell r="E863" t="str">
            <v>국제 2담당</v>
          </cell>
          <cell r="F863" t="str">
            <v>2210</v>
          </cell>
          <cell r="G863" t="str">
            <v>2220</v>
          </cell>
          <cell r="H863" t="str">
            <v>19880824</v>
          </cell>
          <cell r="I863">
            <v>19263295</v>
          </cell>
        </row>
        <row r="864">
          <cell r="A864" t="str">
            <v>9402614</v>
          </cell>
          <cell r="B864" t="str">
            <v>이　설　규</v>
          </cell>
          <cell r="C864" t="str">
            <v>9402614이　설　규</v>
          </cell>
          <cell r="D864" t="str">
            <v>CD20</v>
          </cell>
          <cell r="E864" t="str">
            <v>국제 2담당</v>
          </cell>
          <cell r="F864" t="str">
            <v>2210</v>
          </cell>
          <cell r="G864" t="str">
            <v>2220</v>
          </cell>
          <cell r="H864" t="str">
            <v>19940502</v>
          </cell>
          <cell r="I864">
            <v>7526099</v>
          </cell>
        </row>
        <row r="865">
          <cell r="A865" t="str">
            <v>8700445</v>
          </cell>
          <cell r="B865" t="str">
            <v>이　성　형</v>
          </cell>
          <cell r="C865" t="str">
            <v>8700445이　성　형</v>
          </cell>
          <cell r="D865" t="str">
            <v>CD20</v>
          </cell>
          <cell r="E865" t="str">
            <v>국제 2담당</v>
          </cell>
          <cell r="F865" t="str">
            <v>2210</v>
          </cell>
          <cell r="G865" t="str">
            <v>2220</v>
          </cell>
          <cell r="H865" t="str">
            <v>19870521</v>
          </cell>
          <cell r="I865">
            <v>22164491</v>
          </cell>
        </row>
        <row r="866">
          <cell r="A866" t="str">
            <v>8900324</v>
          </cell>
          <cell r="B866" t="str">
            <v>이　승　렬</v>
          </cell>
          <cell r="C866" t="str">
            <v>8900324이　승　렬</v>
          </cell>
          <cell r="D866" t="str">
            <v>CD20</v>
          </cell>
          <cell r="E866" t="str">
            <v>국제 2담당</v>
          </cell>
          <cell r="F866" t="str">
            <v>2210</v>
          </cell>
          <cell r="G866" t="str">
            <v>2220</v>
          </cell>
          <cell r="H866" t="str">
            <v>19880824</v>
          </cell>
          <cell r="I866">
            <v>16490101</v>
          </cell>
        </row>
        <row r="867">
          <cell r="A867" t="str">
            <v>9700042</v>
          </cell>
          <cell r="B867" t="str">
            <v>이　승　원</v>
          </cell>
          <cell r="C867" t="str">
            <v>9700042이　승　원</v>
          </cell>
          <cell r="D867" t="str">
            <v>CD20</v>
          </cell>
          <cell r="E867" t="str">
            <v>국제 2담당</v>
          </cell>
          <cell r="F867" t="str">
            <v>2210</v>
          </cell>
          <cell r="G867" t="str">
            <v>2220</v>
          </cell>
          <cell r="H867" t="str">
            <v>19970205</v>
          </cell>
          <cell r="I867">
            <v>3433967</v>
          </cell>
        </row>
        <row r="868">
          <cell r="A868" t="str">
            <v>9702191</v>
          </cell>
          <cell r="B868" t="str">
            <v>이　용　국</v>
          </cell>
          <cell r="C868" t="str">
            <v>9702191이　용　국</v>
          </cell>
          <cell r="D868" t="str">
            <v>CD20</v>
          </cell>
          <cell r="E868" t="str">
            <v>국제 2담당</v>
          </cell>
          <cell r="F868" t="str">
            <v>2210</v>
          </cell>
          <cell r="G868" t="str">
            <v>2220</v>
          </cell>
          <cell r="H868" t="str">
            <v>19970821</v>
          </cell>
          <cell r="I868">
            <v>2800612</v>
          </cell>
        </row>
        <row r="869">
          <cell r="A869" t="str">
            <v>8601052</v>
          </cell>
          <cell r="B869" t="str">
            <v>이　원　형</v>
          </cell>
          <cell r="C869" t="str">
            <v>8601052이　원　형</v>
          </cell>
          <cell r="D869" t="str">
            <v>CD20</v>
          </cell>
          <cell r="E869" t="str">
            <v>국제 2담당</v>
          </cell>
          <cell r="F869" t="str">
            <v>2210</v>
          </cell>
          <cell r="G869" t="str">
            <v>2220</v>
          </cell>
          <cell r="H869" t="str">
            <v>19860507</v>
          </cell>
          <cell r="I869">
            <v>23503466</v>
          </cell>
        </row>
        <row r="870">
          <cell r="A870" t="str">
            <v>9307563</v>
          </cell>
          <cell r="B870" t="str">
            <v>이　윤　재</v>
          </cell>
          <cell r="C870" t="str">
            <v>9307563이　윤　재</v>
          </cell>
          <cell r="D870" t="str">
            <v>CD20</v>
          </cell>
          <cell r="E870" t="str">
            <v>국제 2담당</v>
          </cell>
          <cell r="F870" t="str">
            <v>2210</v>
          </cell>
          <cell r="G870" t="str">
            <v>2220</v>
          </cell>
          <cell r="H870" t="str">
            <v>19931201</v>
          </cell>
          <cell r="I870">
            <v>7997231</v>
          </cell>
        </row>
        <row r="871">
          <cell r="A871" t="str">
            <v>9701212</v>
          </cell>
          <cell r="B871" t="str">
            <v>이　재　욱</v>
          </cell>
          <cell r="C871" t="str">
            <v>9701212이　재　욱</v>
          </cell>
          <cell r="D871" t="str">
            <v>CD20</v>
          </cell>
          <cell r="E871" t="str">
            <v>국제 2담당</v>
          </cell>
          <cell r="F871" t="str">
            <v>2210</v>
          </cell>
          <cell r="G871" t="e">
            <v>#N/A</v>
          </cell>
          <cell r="H871" t="str">
            <v>19970601</v>
          </cell>
          <cell r="I871">
            <v>2932442</v>
          </cell>
          <cell r="J871" t="str">
            <v>3 월</v>
          </cell>
          <cell r="K871">
            <v>3184842</v>
          </cell>
        </row>
        <row r="872">
          <cell r="A872" t="str">
            <v>8601862</v>
          </cell>
          <cell r="B872" t="str">
            <v>이　재　원</v>
          </cell>
          <cell r="C872" t="str">
            <v>8601862이　재　원</v>
          </cell>
          <cell r="D872" t="str">
            <v>CD20</v>
          </cell>
          <cell r="E872" t="str">
            <v>국제 2담당</v>
          </cell>
          <cell r="F872" t="str">
            <v>2210</v>
          </cell>
          <cell r="G872" t="str">
            <v>2220</v>
          </cell>
          <cell r="H872" t="str">
            <v>19860616</v>
          </cell>
          <cell r="I872">
            <v>22386179</v>
          </cell>
          <cell r="J872" t="str">
            <v>2 월</v>
          </cell>
          <cell r="K872">
            <v>22522589</v>
          </cell>
        </row>
        <row r="873">
          <cell r="A873" t="str">
            <v>8800738</v>
          </cell>
          <cell r="B873" t="str">
            <v>이　종　구</v>
          </cell>
          <cell r="C873" t="str">
            <v>8800738이　종　구</v>
          </cell>
          <cell r="D873" t="str">
            <v>CD20</v>
          </cell>
          <cell r="E873" t="str">
            <v>국제 2담당</v>
          </cell>
          <cell r="F873" t="str">
            <v>2210</v>
          </cell>
          <cell r="G873" t="str">
            <v>2220</v>
          </cell>
          <cell r="H873" t="str">
            <v>19880430</v>
          </cell>
          <cell r="I873">
            <v>18216770</v>
          </cell>
        </row>
        <row r="874">
          <cell r="A874" t="str">
            <v>9005490</v>
          </cell>
          <cell r="B874" t="str">
            <v>이　종　윤</v>
          </cell>
          <cell r="C874" t="str">
            <v>9005490이　종　윤</v>
          </cell>
          <cell r="D874" t="str">
            <v>CD20</v>
          </cell>
          <cell r="E874" t="str">
            <v>국제 2담당</v>
          </cell>
          <cell r="F874" t="str">
            <v>2210</v>
          </cell>
          <cell r="G874" t="str">
            <v>2520</v>
          </cell>
          <cell r="H874" t="str">
            <v>19901224</v>
          </cell>
          <cell r="I874">
            <v>11418730</v>
          </cell>
        </row>
        <row r="875">
          <cell r="A875" t="str">
            <v>9502031</v>
          </cell>
          <cell r="B875" t="str">
            <v>이　종　일</v>
          </cell>
          <cell r="C875" t="str">
            <v>9502031이　종　일</v>
          </cell>
          <cell r="D875" t="str">
            <v>CD20</v>
          </cell>
          <cell r="E875" t="str">
            <v>국제 2담당</v>
          </cell>
          <cell r="F875" t="str">
            <v>2210</v>
          </cell>
          <cell r="G875" t="str">
            <v>2220</v>
          </cell>
          <cell r="H875" t="str">
            <v>19950816</v>
          </cell>
          <cell r="I875">
            <v>5622481</v>
          </cell>
        </row>
        <row r="876">
          <cell r="A876" t="str">
            <v>9405281</v>
          </cell>
          <cell r="B876" t="str">
            <v>이　지　선</v>
          </cell>
          <cell r="C876" t="str">
            <v>9405281이　지　선</v>
          </cell>
          <cell r="D876" t="str">
            <v>CD20</v>
          </cell>
          <cell r="E876" t="str">
            <v>국제 2담당</v>
          </cell>
          <cell r="F876" t="str">
            <v>2210</v>
          </cell>
          <cell r="G876" t="str">
            <v>2220</v>
          </cell>
          <cell r="H876" t="str">
            <v>19940816</v>
          </cell>
          <cell r="I876">
            <v>7021715</v>
          </cell>
        </row>
        <row r="877">
          <cell r="A877" t="str">
            <v>9702281</v>
          </cell>
          <cell r="B877" t="str">
            <v>이　지　호</v>
          </cell>
          <cell r="C877" t="str">
            <v>9702281이　지　호</v>
          </cell>
          <cell r="D877" t="str">
            <v>CD20</v>
          </cell>
          <cell r="E877" t="str">
            <v>국제 2담당</v>
          </cell>
          <cell r="F877" t="str">
            <v>2210</v>
          </cell>
          <cell r="G877" t="str">
            <v>2220</v>
          </cell>
          <cell r="H877" t="str">
            <v>19970821</v>
          </cell>
          <cell r="I877">
            <v>2672841</v>
          </cell>
        </row>
        <row r="878">
          <cell r="A878" t="str">
            <v>9700558</v>
          </cell>
          <cell r="B878" t="str">
            <v>이　찬　모</v>
          </cell>
          <cell r="C878" t="str">
            <v>9700558이　찬　모</v>
          </cell>
          <cell r="D878" t="str">
            <v>CD20</v>
          </cell>
          <cell r="E878" t="str">
            <v>국제 2담당</v>
          </cell>
          <cell r="F878" t="str">
            <v>2210</v>
          </cell>
          <cell r="G878" t="str">
            <v>2220</v>
          </cell>
          <cell r="H878" t="str">
            <v>19970421</v>
          </cell>
          <cell r="I878">
            <v>3531493</v>
          </cell>
        </row>
        <row r="879">
          <cell r="A879" t="str">
            <v>9701335</v>
          </cell>
          <cell r="B879" t="str">
            <v>이　철　호</v>
          </cell>
          <cell r="C879" t="str">
            <v>9701335이　철　호</v>
          </cell>
          <cell r="D879" t="str">
            <v>CD20</v>
          </cell>
          <cell r="E879" t="str">
            <v>국제 2담당</v>
          </cell>
          <cell r="F879" t="str">
            <v>2210</v>
          </cell>
          <cell r="G879" t="str">
            <v>2220</v>
          </cell>
          <cell r="H879" t="str">
            <v>19970601</v>
          </cell>
          <cell r="I879">
            <v>2961773</v>
          </cell>
        </row>
        <row r="880">
          <cell r="A880" t="str">
            <v>7500161</v>
          </cell>
          <cell r="B880" t="str">
            <v>이　춘　우</v>
          </cell>
          <cell r="C880" t="str">
            <v>7500161이　춘　우</v>
          </cell>
          <cell r="D880" t="str">
            <v>CD20</v>
          </cell>
          <cell r="E880" t="str">
            <v>국제 2담당</v>
          </cell>
          <cell r="F880" t="str">
            <v>2210</v>
          </cell>
          <cell r="G880" t="str">
            <v>2220</v>
          </cell>
          <cell r="H880" t="str">
            <v>19981001</v>
          </cell>
          <cell r="I880">
            <v>2526321</v>
          </cell>
        </row>
        <row r="881">
          <cell r="A881" t="str">
            <v>9501298</v>
          </cell>
          <cell r="B881" t="str">
            <v>이　학　춘</v>
          </cell>
          <cell r="C881" t="str">
            <v>9501298이　학　춘</v>
          </cell>
          <cell r="D881" t="str">
            <v>CD20</v>
          </cell>
          <cell r="E881" t="str">
            <v>국제 2담당</v>
          </cell>
          <cell r="F881" t="str">
            <v>2210</v>
          </cell>
          <cell r="G881" t="str">
            <v>2230</v>
          </cell>
          <cell r="H881" t="str">
            <v>19950615</v>
          </cell>
          <cell r="I881">
            <v>5323498</v>
          </cell>
        </row>
        <row r="882">
          <cell r="A882" t="str">
            <v>9500152</v>
          </cell>
          <cell r="B882" t="str">
            <v>임　광　재</v>
          </cell>
          <cell r="C882" t="str">
            <v>9500152임　광　재</v>
          </cell>
          <cell r="D882" t="str">
            <v>CD20</v>
          </cell>
          <cell r="E882" t="str">
            <v>국제 2담당</v>
          </cell>
          <cell r="F882" t="str">
            <v>2210</v>
          </cell>
          <cell r="G882" t="str">
            <v>2220</v>
          </cell>
          <cell r="H882" t="str">
            <v>19950105</v>
          </cell>
          <cell r="I882">
            <v>6630909</v>
          </cell>
        </row>
        <row r="883">
          <cell r="A883" t="str">
            <v>8700366</v>
          </cell>
          <cell r="B883" t="str">
            <v>임　민　택</v>
          </cell>
          <cell r="C883" t="str">
            <v>8700366임　민　택</v>
          </cell>
          <cell r="D883" t="str">
            <v>CD20</v>
          </cell>
          <cell r="E883" t="str">
            <v>국제 2담당</v>
          </cell>
          <cell r="F883" t="str">
            <v>2210</v>
          </cell>
          <cell r="G883" t="str">
            <v>2220</v>
          </cell>
          <cell r="H883" t="str">
            <v>19870410</v>
          </cell>
          <cell r="I883">
            <v>20885671</v>
          </cell>
        </row>
        <row r="884">
          <cell r="A884" t="str">
            <v>9204434</v>
          </cell>
          <cell r="B884" t="str">
            <v>임　병　일</v>
          </cell>
          <cell r="C884" t="str">
            <v>9204434임　병　일</v>
          </cell>
          <cell r="D884" t="str">
            <v>CD20</v>
          </cell>
          <cell r="E884" t="str">
            <v>국제 2담당</v>
          </cell>
          <cell r="F884" t="str">
            <v>2210</v>
          </cell>
          <cell r="G884" t="str">
            <v>2653</v>
          </cell>
          <cell r="H884" t="str">
            <v>19920722</v>
          </cell>
          <cell r="I884">
            <v>8502346</v>
          </cell>
        </row>
        <row r="885">
          <cell r="A885" t="str">
            <v>8000346</v>
          </cell>
          <cell r="B885" t="str">
            <v>임　수　덕</v>
          </cell>
          <cell r="C885" t="str">
            <v>8000346임　수　덕</v>
          </cell>
          <cell r="D885" t="str">
            <v>CD20</v>
          </cell>
          <cell r="E885" t="str">
            <v>국제 2담당</v>
          </cell>
          <cell r="F885" t="str">
            <v>2210</v>
          </cell>
          <cell r="G885" t="str">
            <v>2220</v>
          </cell>
          <cell r="H885" t="str">
            <v>19981201</v>
          </cell>
          <cell r="I885">
            <v>2033346</v>
          </cell>
        </row>
        <row r="886">
          <cell r="A886" t="str">
            <v>9503471</v>
          </cell>
          <cell r="B886" t="str">
            <v>임　홍　락</v>
          </cell>
          <cell r="C886" t="str">
            <v>9503471임　홍　락</v>
          </cell>
          <cell r="D886" t="str">
            <v>CD20</v>
          </cell>
          <cell r="E886" t="str">
            <v>국제 2담당</v>
          </cell>
          <cell r="F886" t="str">
            <v>2210</v>
          </cell>
          <cell r="G886" t="str">
            <v>2220</v>
          </cell>
          <cell r="H886" t="str">
            <v>19951113</v>
          </cell>
          <cell r="I886">
            <v>5350886</v>
          </cell>
        </row>
        <row r="887">
          <cell r="A887" t="str">
            <v>8902855</v>
          </cell>
          <cell r="B887" t="str">
            <v>장　기　석</v>
          </cell>
          <cell r="C887" t="str">
            <v>8902855장　기　석</v>
          </cell>
          <cell r="D887" t="str">
            <v>CD20</v>
          </cell>
          <cell r="E887" t="str">
            <v>국제 2담당</v>
          </cell>
          <cell r="F887" t="str">
            <v>2210</v>
          </cell>
          <cell r="G887" t="str">
            <v>2220</v>
          </cell>
          <cell r="H887" t="str">
            <v>19890313</v>
          </cell>
          <cell r="I887">
            <v>16013170</v>
          </cell>
        </row>
        <row r="888">
          <cell r="A888" t="str">
            <v>9600614</v>
          </cell>
          <cell r="B888" t="str">
            <v>장　봉　석</v>
          </cell>
          <cell r="C888" t="str">
            <v>9600614장　봉　석</v>
          </cell>
          <cell r="D888" t="str">
            <v>CD20</v>
          </cell>
          <cell r="E888" t="str">
            <v>국제 2담당</v>
          </cell>
          <cell r="F888" t="str">
            <v>2210</v>
          </cell>
          <cell r="G888" t="str">
            <v>2220</v>
          </cell>
          <cell r="H888" t="str">
            <v>19960501</v>
          </cell>
          <cell r="I888">
            <v>4638263</v>
          </cell>
        </row>
        <row r="889">
          <cell r="A889" t="str">
            <v>7900391</v>
          </cell>
          <cell r="B889" t="str">
            <v>장　용　기</v>
          </cell>
          <cell r="C889" t="str">
            <v>7900391장　용　기</v>
          </cell>
          <cell r="D889" t="str">
            <v>CD20</v>
          </cell>
          <cell r="E889" t="str">
            <v>국제 2담당</v>
          </cell>
          <cell r="F889" t="str">
            <v>2210</v>
          </cell>
          <cell r="G889" t="str">
            <v>2220</v>
          </cell>
          <cell r="H889" t="str">
            <v>19790510</v>
          </cell>
          <cell r="I889">
            <v>37822653</v>
          </cell>
        </row>
        <row r="890">
          <cell r="A890" t="str">
            <v>8700704</v>
          </cell>
          <cell r="B890" t="str">
            <v>장　재　영</v>
          </cell>
          <cell r="C890" t="str">
            <v>8700704장　재　영</v>
          </cell>
          <cell r="D890" t="str">
            <v>CD20</v>
          </cell>
          <cell r="E890" t="str">
            <v>국제 2담당</v>
          </cell>
          <cell r="F890" t="str">
            <v>2210</v>
          </cell>
          <cell r="G890" t="str">
            <v>2220</v>
          </cell>
          <cell r="H890" t="str">
            <v>19870521</v>
          </cell>
          <cell r="I890">
            <v>20932878</v>
          </cell>
        </row>
        <row r="891">
          <cell r="A891" t="str">
            <v>9307574</v>
          </cell>
          <cell r="B891" t="str">
            <v>장　진　태</v>
          </cell>
          <cell r="C891" t="str">
            <v>9307574장　진　태</v>
          </cell>
          <cell r="D891" t="str">
            <v>CD20</v>
          </cell>
          <cell r="E891" t="str">
            <v>국제 2담당</v>
          </cell>
          <cell r="F891" t="str">
            <v>2210</v>
          </cell>
          <cell r="G891" t="str">
            <v>2220</v>
          </cell>
          <cell r="H891" t="str">
            <v>19931201</v>
          </cell>
          <cell r="I891">
            <v>8733894</v>
          </cell>
        </row>
        <row r="892">
          <cell r="A892" t="str">
            <v>7800333</v>
          </cell>
          <cell r="B892" t="str">
            <v>전　병　욱</v>
          </cell>
          <cell r="C892" t="str">
            <v>7800333전　병　욱</v>
          </cell>
          <cell r="D892" t="str">
            <v>CD20</v>
          </cell>
          <cell r="E892" t="str">
            <v>국제 2담당</v>
          </cell>
          <cell r="F892" t="str">
            <v>2210</v>
          </cell>
          <cell r="G892" t="str">
            <v>2220</v>
          </cell>
          <cell r="H892" t="str">
            <v>19780601</v>
          </cell>
          <cell r="I892">
            <v>41536854</v>
          </cell>
        </row>
        <row r="893">
          <cell r="A893" t="str">
            <v>9500681</v>
          </cell>
          <cell r="B893" t="str">
            <v>전　선　봉</v>
          </cell>
          <cell r="C893" t="str">
            <v>9500681전　선　봉</v>
          </cell>
          <cell r="D893" t="str">
            <v>CD20</v>
          </cell>
          <cell r="E893" t="str">
            <v>국제 2담당</v>
          </cell>
          <cell r="F893" t="str">
            <v>2210</v>
          </cell>
          <cell r="G893" t="str">
            <v>2220</v>
          </cell>
          <cell r="H893" t="str">
            <v>19950417</v>
          </cell>
          <cell r="I893">
            <v>6307560</v>
          </cell>
        </row>
        <row r="894">
          <cell r="A894" t="str">
            <v>9406304</v>
          </cell>
          <cell r="B894" t="str">
            <v>전　호　찬</v>
          </cell>
          <cell r="C894" t="str">
            <v>9406304전　호　찬</v>
          </cell>
          <cell r="D894" t="str">
            <v>CD20</v>
          </cell>
          <cell r="E894" t="str">
            <v>국제 2담당</v>
          </cell>
          <cell r="F894" t="str">
            <v>2210</v>
          </cell>
          <cell r="G894" t="str">
            <v>2220</v>
          </cell>
          <cell r="H894" t="str">
            <v>19941208</v>
          </cell>
          <cell r="I894">
            <v>6122734</v>
          </cell>
        </row>
        <row r="895">
          <cell r="A895" t="str">
            <v>9305561</v>
          </cell>
          <cell r="B895" t="str">
            <v>정　민　호</v>
          </cell>
          <cell r="C895" t="str">
            <v>9305561정　민　호</v>
          </cell>
          <cell r="D895" t="str">
            <v>CD20</v>
          </cell>
          <cell r="E895" t="str">
            <v>국제 2담당</v>
          </cell>
          <cell r="F895" t="str">
            <v>2210</v>
          </cell>
          <cell r="G895" t="str">
            <v>2220</v>
          </cell>
          <cell r="H895" t="str">
            <v>19930901</v>
          </cell>
          <cell r="I895">
            <v>9363784</v>
          </cell>
        </row>
        <row r="896">
          <cell r="A896" t="str">
            <v>9401444</v>
          </cell>
          <cell r="B896" t="str">
            <v>정　수　환</v>
          </cell>
          <cell r="C896" t="str">
            <v>9401444정　수　환</v>
          </cell>
          <cell r="D896" t="str">
            <v>CD20</v>
          </cell>
          <cell r="E896" t="str">
            <v>국제 2담당</v>
          </cell>
          <cell r="F896" t="str">
            <v>2210</v>
          </cell>
          <cell r="G896" t="str">
            <v>2220</v>
          </cell>
          <cell r="H896" t="str">
            <v>19940314</v>
          </cell>
          <cell r="I896">
            <v>7813399</v>
          </cell>
        </row>
        <row r="897">
          <cell r="A897" t="str">
            <v>8400161</v>
          </cell>
          <cell r="B897" t="str">
            <v>정　연　종</v>
          </cell>
          <cell r="C897" t="str">
            <v>8400161정　연　종</v>
          </cell>
          <cell r="D897" t="str">
            <v>CD20</v>
          </cell>
          <cell r="E897" t="str">
            <v>국제 2담당</v>
          </cell>
          <cell r="F897" t="str">
            <v>2210</v>
          </cell>
          <cell r="G897" t="str">
            <v>2220</v>
          </cell>
          <cell r="H897" t="str">
            <v>19840401</v>
          </cell>
          <cell r="I897">
            <v>27792809</v>
          </cell>
        </row>
        <row r="898">
          <cell r="A898" t="str">
            <v>9700176</v>
          </cell>
          <cell r="B898" t="str">
            <v>정　영　섭</v>
          </cell>
          <cell r="C898" t="str">
            <v>9700176정　영　섭</v>
          </cell>
          <cell r="D898" t="str">
            <v>CD20</v>
          </cell>
          <cell r="E898" t="str">
            <v>국제 2담당</v>
          </cell>
          <cell r="F898" t="str">
            <v>2210</v>
          </cell>
          <cell r="G898" t="str">
            <v>2220</v>
          </cell>
          <cell r="H898" t="str">
            <v>19970221</v>
          </cell>
          <cell r="I898">
            <v>3620046</v>
          </cell>
        </row>
        <row r="899">
          <cell r="A899" t="str">
            <v>7700736</v>
          </cell>
          <cell r="B899" t="str">
            <v>정　용　복</v>
          </cell>
          <cell r="C899" t="str">
            <v>7700736정　용　복</v>
          </cell>
          <cell r="D899" t="str">
            <v>CD20</v>
          </cell>
          <cell r="E899" t="str">
            <v>국제 2담당</v>
          </cell>
          <cell r="F899" t="str">
            <v>2210</v>
          </cell>
          <cell r="G899" t="str">
            <v>2220</v>
          </cell>
          <cell r="H899" t="str">
            <v>19981211</v>
          </cell>
          <cell r="I899">
            <v>2677434</v>
          </cell>
        </row>
        <row r="900">
          <cell r="A900" t="str">
            <v>9004296</v>
          </cell>
          <cell r="B900" t="str">
            <v>정　우　기</v>
          </cell>
          <cell r="C900" t="str">
            <v>9004296정　우　기</v>
          </cell>
          <cell r="D900" t="str">
            <v>CD20</v>
          </cell>
          <cell r="E900" t="str">
            <v>국제 2담당</v>
          </cell>
          <cell r="F900" t="str">
            <v>2210</v>
          </cell>
          <cell r="G900" t="str">
            <v>2220</v>
          </cell>
          <cell r="H900" t="str">
            <v>19900924</v>
          </cell>
          <cell r="I900">
            <v>14472760</v>
          </cell>
        </row>
        <row r="901">
          <cell r="A901" t="str">
            <v>8900471</v>
          </cell>
          <cell r="B901" t="str">
            <v>정　원　채</v>
          </cell>
          <cell r="C901" t="str">
            <v>8900471정　원　채</v>
          </cell>
          <cell r="D901" t="str">
            <v>CD20</v>
          </cell>
          <cell r="E901" t="str">
            <v>국제 2담당</v>
          </cell>
          <cell r="F901" t="str">
            <v>2210</v>
          </cell>
          <cell r="G901" t="str">
            <v>2220</v>
          </cell>
          <cell r="H901" t="str">
            <v>19981201</v>
          </cell>
          <cell r="I901">
            <v>1697603</v>
          </cell>
        </row>
        <row r="902">
          <cell r="A902" t="str">
            <v>9301274</v>
          </cell>
          <cell r="B902" t="str">
            <v>정　재　하</v>
          </cell>
          <cell r="C902" t="str">
            <v>9301274정　재　하</v>
          </cell>
          <cell r="D902" t="str">
            <v>CD20</v>
          </cell>
          <cell r="E902" t="str">
            <v>국제 2담당</v>
          </cell>
          <cell r="F902" t="str">
            <v>2210</v>
          </cell>
          <cell r="G902" t="str">
            <v>2220</v>
          </cell>
          <cell r="H902" t="str">
            <v>19930301</v>
          </cell>
          <cell r="I902">
            <v>9364662</v>
          </cell>
        </row>
        <row r="903">
          <cell r="A903" t="str">
            <v>8300834</v>
          </cell>
          <cell r="B903" t="str">
            <v>정　종　열</v>
          </cell>
          <cell r="C903" t="str">
            <v>8300834정　종　열</v>
          </cell>
          <cell r="D903" t="str">
            <v>CD20</v>
          </cell>
          <cell r="E903" t="str">
            <v>국제 2담당</v>
          </cell>
          <cell r="F903" t="str">
            <v>2210</v>
          </cell>
          <cell r="G903" t="str">
            <v>2220</v>
          </cell>
          <cell r="H903" t="str">
            <v>19981001</v>
          </cell>
          <cell r="I903">
            <v>2235890</v>
          </cell>
        </row>
        <row r="904">
          <cell r="A904" t="str">
            <v>9206638</v>
          </cell>
          <cell r="B904" t="str">
            <v>정　진　섭</v>
          </cell>
          <cell r="C904" t="str">
            <v>9206638정　진　섭</v>
          </cell>
          <cell r="D904" t="str">
            <v>CD20</v>
          </cell>
          <cell r="E904" t="str">
            <v>국제 2담당</v>
          </cell>
          <cell r="F904" t="str">
            <v>2210</v>
          </cell>
          <cell r="G904" t="str">
            <v>2230</v>
          </cell>
          <cell r="H904" t="str">
            <v>19921101</v>
          </cell>
          <cell r="I904">
            <v>8766438</v>
          </cell>
        </row>
        <row r="905">
          <cell r="A905" t="str">
            <v>9403143</v>
          </cell>
          <cell r="B905" t="str">
            <v>조　규　호</v>
          </cell>
          <cell r="C905" t="str">
            <v>9403143조　규　호</v>
          </cell>
          <cell r="D905" t="str">
            <v>CD20</v>
          </cell>
          <cell r="E905" t="str">
            <v>국제 2담당</v>
          </cell>
          <cell r="F905" t="str">
            <v>2210</v>
          </cell>
          <cell r="G905" t="str">
            <v>2220</v>
          </cell>
          <cell r="H905" t="str">
            <v>19940519</v>
          </cell>
          <cell r="I905">
            <v>6612782</v>
          </cell>
        </row>
        <row r="906">
          <cell r="A906" t="str">
            <v>9000562</v>
          </cell>
          <cell r="B906" t="str">
            <v>조　동　현</v>
          </cell>
          <cell r="C906" t="str">
            <v>9000562조　동　현</v>
          </cell>
          <cell r="D906" t="str">
            <v>CD20</v>
          </cell>
          <cell r="E906" t="str">
            <v>국제 2담당</v>
          </cell>
          <cell r="F906" t="str">
            <v>2210</v>
          </cell>
          <cell r="G906" t="str">
            <v>2220</v>
          </cell>
          <cell r="H906" t="str">
            <v>19890710</v>
          </cell>
          <cell r="I906">
            <v>16182813</v>
          </cell>
        </row>
        <row r="907">
          <cell r="A907" t="str">
            <v>8401533</v>
          </cell>
          <cell r="B907" t="str">
            <v>조　병　성</v>
          </cell>
          <cell r="C907" t="str">
            <v>8401533조　병　성</v>
          </cell>
          <cell r="D907" t="str">
            <v>CD20</v>
          </cell>
          <cell r="E907" t="str">
            <v>국제 2담당</v>
          </cell>
          <cell r="F907" t="str">
            <v>2210</v>
          </cell>
          <cell r="G907" t="str">
            <v>2220</v>
          </cell>
          <cell r="H907" t="str">
            <v>19841126</v>
          </cell>
          <cell r="I907">
            <v>26260828</v>
          </cell>
        </row>
        <row r="908">
          <cell r="A908" t="str">
            <v>7600375</v>
          </cell>
          <cell r="B908" t="str">
            <v>조　성　찬</v>
          </cell>
          <cell r="C908" t="str">
            <v>7600375조　성　찬</v>
          </cell>
          <cell r="D908" t="str">
            <v>CD20</v>
          </cell>
          <cell r="E908" t="str">
            <v>국제 2담당</v>
          </cell>
          <cell r="F908" t="str">
            <v>2210</v>
          </cell>
          <cell r="G908" t="str">
            <v>2220</v>
          </cell>
          <cell r="H908" t="str">
            <v>19761106</v>
          </cell>
          <cell r="I908">
            <v>53376297</v>
          </cell>
        </row>
        <row r="909">
          <cell r="A909" t="str">
            <v>9101103</v>
          </cell>
          <cell r="B909" t="str">
            <v>조　용　희</v>
          </cell>
          <cell r="C909" t="str">
            <v>9101103조　용　희</v>
          </cell>
          <cell r="D909" t="str">
            <v>CD20</v>
          </cell>
          <cell r="E909" t="str">
            <v>국제 2담당</v>
          </cell>
          <cell r="F909" t="str">
            <v>2210</v>
          </cell>
          <cell r="G909" t="str">
            <v>2220</v>
          </cell>
          <cell r="H909" t="str">
            <v>19910325</v>
          </cell>
          <cell r="I909">
            <v>11038132</v>
          </cell>
        </row>
        <row r="910">
          <cell r="A910" t="str">
            <v>9200160</v>
          </cell>
          <cell r="B910" t="str">
            <v>조　진　휘</v>
          </cell>
          <cell r="C910" t="str">
            <v>9200160조　진　휘</v>
          </cell>
          <cell r="D910" t="str">
            <v>CD20</v>
          </cell>
          <cell r="E910" t="str">
            <v>국제 2담당</v>
          </cell>
          <cell r="F910" t="str">
            <v>2210</v>
          </cell>
          <cell r="G910" t="e">
            <v>#N/A</v>
          </cell>
          <cell r="H910" t="str">
            <v>19920106</v>
          </cell>
          <cell r="I910">
            <v>11818893</v>
          </cell>
          <cell r="J910" t="str">
            <v>3 월</v>
          </cell>
          <cell r="K910">
            <v>12042403</v>
          </cell>
        </row>
        <row r="911">
          <cell r="A911" t="str">
            <v>9200417</v>
          </cell>
          <cell r="B911" t="str">
            <v>조　현　균</v>
          </cell>
          <cell r="C911" t="str">
            <v>9200417조　현　균</v>
          </cell>
          <cell r="D911" t="str">
            <v>CD20</v>
          </cell>
          <cell r="E911" t="str">
            <v>국제 2담당</v>
          </cell>
          <cell r="F911" t="str">
            <v>2210</v>
          </cell>
          <cell r="G911" t="str">
            <v>2220</v>
          </cell>
          <cell r="H911" t="str">
            <v>19920107</v>
          </cell>
          <cell r="I911">
            <v>14292412</v>
          </cell>
        </row>
        <row r="912">
          <cell r="A912" t="str">
            <v>9501142</v>
          </cell>
          <cell r="B912" t="str">
            <v>주　동　호</v>
          </cell>
          <cell r="C912" t="str">
            <v>9501142주　동　호</v>
          </cell>
          <cell r="D912" t="str">
            <v>CD20</v>
          </cell>
          <cell r="E912" t="str">
            <v>국제 2담당</v>
          </cell>
          <cell r="F912" t="str">
            <v>2210</v>
          </cell>
          <cell r="G912" t="str">
            <v>2220</v>
          </cell>
          <cell r="H912" t="str">
            <v>19950615</v>
          </cell>
          <cell r="I912">
            <v>5214708</v>
          </cell>
        </row>
        <row r="913">
          <cell r="A913" t="str">
            <v>9701111</v>
          </cell>
          <cell r="B913" t="str">
            <v>주　태　권</v>
          </cell>
          <cell r="C913" t="str">
            <v>9701111주　태　권</v>
          </cell>
          <cell r="D913" t="str">
            <v>CD20</v>
          </cell>
          <cell r="E913" t="str">
            <v>국제 2담당</v>
          </cell>
          <cell r="F913" t="str">
            <v>2210</v>
          </cell>
          <cell r="G913" t="str">
            <v>2220</v>
          </cell>
          <cell r="H913" t="str">
            <v>19970601</v>
          </cell>
          <cell r="I913">
            <v>3185623</v>
          </cell>
        </row>
        <row r="914">
          <cell r="A914" t="str">
            <v>9401962</v>
          </cell>
          <cell r="B914" t="str">
            <v>채　한　명</v>
          </cell>
          <cell r="C914" t="str">
            <v>9401962채　한　명</v>
          </cell>
          <cell r="D914" t="str">
            <v>CD20</v>
          </cell>
          <cell r="E914" t="str">
            <v>국제 2담당</v>
          </cell>
          <cell r="F914" t="str">
            <v>2210</v>
          </cell>
          <cell r="G914" t="str">
            <v>2220</v>
          </cell>
          <cell r="H914" t="str">
            <v>19940401</v>
          </cell>
          <cell r="I914">
            <v>7092141</v>
          </cell>
        </row>
        <row r="915">
          <cell r="A915" t="str">
            <v>9700457</v>
          </cell>
          <cell r="B915" t="str">
            <v>천　용　진</v>
          </cell>
          <cell r="C915" t="str">
            <v>9700457천　용　진</v>
          </cell>
          <cell r="D915" t="str">
            <v>CD20</v>
          </cell>
          <cell r="E915" t="str">
            <v>국제 2담당</v>
          </cell>
          <cell r="F915" t="str">
            <v>2210</v>
          </cell>
          <cell r="G915" t="str">
            <v>2220</v>
          </cell>
          <cell r="H915" t="str">
            <v>19970421</v>
          </cell>
          <cell r="I915">
            <v>3332517</v>
          </cell>
        </row>
        <row r="916">
          <cell r="A916" t="str">
            <v>9102126</v>
          </cell>
          <cell r="B916" t="str">
            <v>최　재　육</v>
          </cell>
          <cell r="C916" t="str">
            <v>9102126최　재　육</v>
          </cell>
          <cell r="D916" t="str">
            <v>CD20</v>
          </cell>
          <cell r="E916" t="str">
            <v>국제 2담당</v>
          </cell>
          <cell r="F916" t="str">
            <v>2210</v>
          </cell>
          <cell r="G916" t="str">
            <v>2220</v>
          </cell>
          <cell r="H916" t="str">
            <v>19910621</v>
          </cell>
          <cell r="I916">
            <v>10858313</v>
          </cell>
        </row>
        <row r="917">
          <cell r="A917" t="str">
            <v>9305482</v>
          </cell>
          <cell r="B917" t="str">
            <v>최　종　우</v>
          </cell>
          <cell r="C917" t="str">
            <v>9305482최　종　우</v>
          </cell>
          <cell r="D917" t="str">
            <v>CD20</v>
          </cell>
          <cell r="E917" t="str">
            <v>국제 2담당</v>
          </cell>
          <cell r="F917" t="str">
            <v>2210</v>
          </cell>
          <cell r="G917" t="str">
            <v>2220</v>
          </cell>
          <cell r="H917" t="str">
            <v>19930901</v>
          </cell>
          <cell r="I917">
            <v>11015167</v>
          </cell>
        </row>
        <row r="918">
          <cell r="A918" t="str">
            <v>9501974</v>
          </cell>
          <cell r="B918" t="str">
            <v>최　진　두</v>
          </cell>
          <cell r="C918" t="str">
            <v>9501974최　진　두</v>
          </cell>
          <cell r="D918" t="str">
            <v>CD20</v>
          </cell>
          <cell r="E918" t="str">
            <v>국제 2담당</v>
          </cell>
          <cell r="F918" t="str">
            <v>2210</v>
          </cell>
          <cell r="G918" t="str">
            <v>2220</v>
          </cell>
          <cell r="H918" t="str">
            <v>19950816</v>
          </cell>
          <cell r="I918">
            <v>5827420</v>
          </cell>
        </row>
        <row r="919">
          <cell r="A919" t="str">
            <v>9000426</v>
          </cell>
          <cell r="B919" t="str">
            <v>최　형　권</v>
          </cell>
          <cell r="C919" t="str">
            <v>9000426최　형　권</v>
          </cell>
          <cell r="D919" t="str">
            <v>CD20</v>
          </cell>
          <cell r="E919" t="str">
            <v>국제 2담당</v>
          </cell>
          <cell r="F919" t="str">
            <v>2210</v>
          </cell>
          <cell r="G919" t="str">
            <v>2220</v>
          </cell>
          <cell r="H919" t="str">
            <v>19890510</v>
          </cell>
          <cell r="I919">
            <v>16450567</v>
          </cell>
        </row>
        <row r="920">
          <cell r="A920" t="str">
            <v>7900907</v>
          </cell>
          <cell r="B920" t="str">
            <v>최　형　섭</v>
          </cell>
          <cell r="C920" t="str">
            <v>7900907최　형　섭</v>
          </cell>
          <cell r="D920" t="str">
            <v>CD20</v>
          </cell>
          <cell r="E920" t="str">
            <v>국제 2담당</v>
          </cell>
          <cell r="F920" t="str">
            <v>2210</v>
          </cell>
          <cell r="G920" t="str">
            <v>2220</v>
          </cell>
          <cell r="H920" t="str">
            <v>19791203</v>
          </cell>
          <cell r="I920">
            <v>36976998</v>
          </cell>
        </row>
        <row r="921">
          <cell r="A921" t="str">
            <v>9304582</v>
          </cell>
          <cell r="B921" t="str">
            <v>최　혜　권</v>
          </cell>
          <cell r="C921" t="str">
            <v>9304582최　혜　권</v>
          </cell>
          <cell r="D921" t="str">
            <v>CD20</v>
          </cell>
          <cell r="E921" t="str">
            <v>국제 2담당</v>
          </cell>
          <cell r="F921" t="str">
            <v>2210</v>
          </cell>
          <cell r="G921" t="e">
            <v>#N/A</v>
          </cell>
          <cell r="H921" t="str">
            <v>19930801</v>
          </cell>
          <cell r="I921">
            <v>7649943</v>
          </cell>
          <cell r="J921" t="str">
            <v>3 월</v>
          </cell>
          <cell r="K921">
            <v>7832019</v>
          </cell>
        </row>
        <row r="922">
          <cell r="A922" t="str">
            <v>8701356</v>
          </cell>
          <cell r="B922" t="str">
            <v>한　동　수</v>
          </cell>
          <cell r="C922" t="str">
            <v>8701356한　동　수</v>
          </cell>
          <cell r="D922" t="str">
            <v>CD20</v>
          </cell>
          <cell r="E922" t="str">
            <v>국제 2담당</v>
          </cell>
          <cell r="F922" t="str">
            <v>2210</v>
          </cell>
          <cell r="G922" t="str">
            <v>2220</v>
          </cell>
          <cell r="H922" t="str">
            <v>19870801</v>
          </cell>
          <cell r="I922">
            <v>20582236</v>
          </cell>
        </row>
        <row r="923">
          <cell r="A923" t="str">
            <v>7600320</v>
          </cell>
          <cell r="B923" t="str">
            <v>한　상　완</v>
          </cell>
          <cell r="C923" t="str">
            <v>7600320한　상　완</v>
          </cell>
          <cell r="D923" t="str">
            <v>CD20</v>
          </cell>
          <cell r="E923" t="str">
            <v>국제 2담당</v>
          </cell>
          <cell r="F923" t="str">
            <v>2210</v>
          </cell>
          <cell r="G923" t="str">
            <v>2220</v>
          </cell>
          <cell r="H923" t="str">
            <v>19890401</v>
          </cell>
          <cell r="I923">
            <v>22832393</v>
          </cell>
        </row>
        <row r="924">
          <cell r="A924" t="str">
            <v>8601401</v>
          </cell>
          <cell r="B924" t="str">
            <v>한　호　규</v>
          </cell>
          <cell r="C924" t="str">
            <v>8601401한　호　규</v>
          </cell>
          <cell r="D924" t="str">
            <v>CD20</v>
          </cell>
          <cell r="E924" t="str">
            <v>국제 2담당</v>
          </cell>
          <cell r="F924" t="str">
            <v>2210</v>
          </cell>
          <cell r="G924" t="str">
            <v>2220</v>
          </cell>
          <cell r="H924" t="str">
            <v>19860513</v>
          </cell>
          <cell r="I924">
            <v>25347776</v>
          </cell>
        </row>
        <row r="925">
          <cell r="A925" t="str">
            <v>9207538</v>
          </cell>
          <cell r="B925" t="str">
            <v>현　무　섭</v>
          </cell>
          <cell r="C925" t="str">
            <v>9207538현　무　섭</v>
          </cell>
          <cell r="D925" t="str">
            <v>CD20</v>
          </cell>
          <cell r="E925" t="str">
            <v>국제 2담당</v>
          </cell>
          <cell r="F925" t="str">
            <v>2210</v>
          </cell>
          <cell r="G925" t="str">
            <v>2220</v>
          </cell>
          <cell r="H925" t="str">
            <v>19921201</v>
          </cell>
          <cell r="I925">
            <v>9025489</v>
          </cell>
        </row>
        <row r="926">
          <cell r="A926" t="str">
            <v>9600568</v>
          </cell>
          <cell r="B926" t="str">
            <v>홍　송　표</v>
          </cell>
          <cell r="C926" t="str">
            <v>9600568홍　송　표</v>
          </cell>
          <cell r="D926" t="str">
            <v>CD20</v>
          </cell>
          <cell r="E926" t="str">
            <v>국제 2담당</v>
          </cell>
          <cell r="F926" t="str">
            <v>2210</v>
          </cell>
          <cell r="G926" t="str">
            <v>2220</v>
          </cell>
          <cell r="H926" t="str">
            <v>19960501</v>
          </cell>
          <cell r="I926">
            <v>4758231</v>
          </cell>
        </row>
        <row r="927">
          <cell r="A927" t="str">
            <v>8300744</v>
          </cell>
          <cell r="B927" t="str">
            <v>홍　순　길</v>
          </cell>
          <cell r="C927" t="str">
            <v>8300744홍　순　길</v>
          </cell>
          <cell r="D927" t="str">
            <v>CD20</v>
          </cell>
          <cell r="E927" t="str">
            <v>국제 2담당</v>
          </cell>
          <cell r="F927" t="str">
            <v>2210</v>
          </cell>
          <cell r="G927" t="str">
            <v>2220</v>
          </cell>
          <cell r="H927" t="str">
            <v>19831021</v>
          </cell>
          <cell r="I927">
            <v>27470451</v>
          </cell>
        </row>
        <row r="928">
          <cell r="A928" t="str">
            <v>8850137</v>
          </cell>
          <cell r="B928" t="str">
            <v>홍　은　숙</v>
          </cell>
          <cell r="C928" t="str">
            <v>8850137홍　은　숙</v>
          </cell>
          <cell r="D928" t="str">
            <v>CD20</v>
          </cell>
          <cell r="E928" t="str">
            <v>국제 2담당</v>
          </cell>
          <cell r="F928" t="str">
            <v>2210</v>
          </cell>
          <cell r="G928" t="str">
            <v>2220</v>
          </cell>
          <cell r="H928" t="str">
            <v>19880701</v>
          </cell>
          <cell r="I928">
            <v>18340676</v>
          </cell>
        </row>
        <row r="929">
          <cell r="A929" t="str">
            <v>7600397</v>
          </cell>
          <cell r="B929" t="str">
            <v>황　대　유</v>
          </cell>
          <cell r="C929" t="str">
            <v>7600397황　대　유</v>
          </cell>
          <cell r="D929" t="str">
            <v>CD20</v>
          </cell>
          <cell r="E929" t="str">
            <v>국제 2담당</v>
          </cell>
          <cell r="F929" t="str">
            <v>2210</v>
          </cell>
          <cell r="G929" t="str">
            <v>2220</v>
          </cell>
          <cell r="H929" t="str">
            <v>19761106</v>
          </cell>
          <cell r="I929">
            <v>48952654</v>
          </cell>
        </row>
        <row r="930">
          <cell r="A930" t="str">
            <v>9104657</v>
          </cell>
          <cell r="B930" t="str">
            <v>황　병　술</v>
          </cell>
          <cell r="C930" t="str">
            <v>9104657황　병　술</v>
          </cell>
          <cell r="D930" t="str">
            <v>CD20</v>
          </cell>
          <cell r="E930" t="str">
            <v>국제 2담당</v>
          </cell>
          <cell r="F930" t="str">
            <v>2210</v>
          </cell>
          <cell r="G930" t="str">
            <v>2220</v>
          </cell>
          <cell r="H930" t="str">
            <v>19911101</v>
          </cell>
          <cell r="I930">
            <v>12394407</v>
          </cell>
        </row>
        <row r="931">
          <cell r="A931" t="str">
            <v>7100324</v>
          </cell>
          <cell r="B931" t="str">
            <v>황　복　술</v>
          </cell>
          <cell r="C931" t="str">
            <v>7100324황　복　술</v>
          </cell>
          <cell r="D931" t="str">
            <v>CD20</v>
          </cell>
          <cell r="E931" t="str">
            <v>국제 2담당</v>
          </cell>
          <cell r="F931" t="str">
            <v>2210</v>
          </cell>
          <cell r="G931" t="e">
            <v>#N/A</v>
          </cell>
          <cell r="H931" t="str">
            <v>19710401</v>
          </cell>
          <cell r="I931">
            <v>58635658</v>
          </cell>
          <cell r="J931" t="str">
            <v>3 월</v>
          </cell>
          <cell r="K931">
            <v>59079651</v>
          </cell>
        </row>
        <row r="932">
          <cell r="A932" t="str">
            <v>9002755</v>
          </cell>
          <cell r="B932" t="str">
            <v>황　윤　성</v>
          </cell>
          <cell r="C932" t="str">
            <v>9002755황　윤　성</v>
          </cell>
          <cell r="D932" t="str">
            <v>CD20</v>
          </cell>
          <cell r="E932" t="str">
            <v>국제 2담당</v>
          </cell>
          <cell r="F932" t="str">
            <v>2210</v>
          </cell>
          <cell r="G932" t="str">
            <v>2220</v>
          </cell>
          <cell r="H932" t="str">
            <v>19900216</v>
          </cell>
          <cell r="I932">
            <v>15504293</v>
          </cell>
        </row>
        <row r="933">
          <cell r="A933" t="str">
            <v>8901641</v>
          </cell>
          <cell r="B933" t="str">
            <v>황　인　원</v>
          </cell>
          <cell r="C933" t="str">
            <v>8901641황　인　원</v>
          </cell>
          <cell r="D933" t="str">
            <v>CD20</v>
          </cell>
          <cell r="E933" t="str">
            <v>국제 2담당</v>
          </cell>
          <cell r="F933" t="str">
            <v>2210</v>
          </cell>
          <cell r="G933" t="str">
            <v>2220</v>
          </cell>
          <cell r="H933" t="str">
            <v>19881128</v>
          </cell>
          <cell r="I933">
            <v>17294109</v>
          </cell>
        </row>
        <row r="934">
          <cell r="A934" t="str">
            <v>9402974</v>
          </cell>
          <cell r="B934" t="str">
            <v>황　진　봉</v>
          </cell>
          <cell r="C934" t="str">
            <v>9402974황　진　봉</v>
          </cell>
          <cell r="D934" t="str">
            <v>CD20</v>
          </cell>
          <cell r="E934" t="str">
            <v>국제 2담당</v>
          </cell>
          <cell r="F934" t="str">
            <v>2210</v>
          </cell>
          <cell r="G934" t="str">
            <v>2220</v>
          </cell>
          <cell r="H934" t="str">
            <v>19940418</v>
          </cell>
          <cell r="I934">
            <v>7388040</v>
          </cell>
        </row>
        <row r="935">
          <cell r="A935" t="str">
            <v>9405731</v>
          </cell>
          <cell r="B935" t="str">
            <v>김　기　철</v>
          </cell>
          <cell r="C935" t="str">
            <v>9405731김　기　철</v>
          </cell>
          <cell r="D935" t="str">
            <v>CD30</v>
          </cell>
          <cell r="E935" t="str">
            <v>국제 2담당</v>
          </cell>
          <cell r="F935" t="str">
            <v>2210</v>
          </cell>
          <cell r="G935" t="str">
            <v>2220</v>
          </cell>
          <cell r="H935" t="str">
            <v>19940901</v>
          </cell>
          <cell r="I935">
            <v>6114769</v>
          </cell>
        </row>
        <row r="936">
          <cell r="A936" t="str">
            <v>9304110</v>
          </cell>
          <cell r="B936" t="str">
            <v>박　승　실</v>
          </cell>
          <cell r="C936" t="str">
            <v>9304110박　승　실</v>
          </cell>
          <cell r="D936" t="str">
            <v>CD30</v>
          </cell>
          <cell r="E936" t="str">
            <v>국제 2담당</v>
          </cell>
          <cell r="F936" t="str">
            <v>2210</v>
          </cell>
          <cell r="G936" t="str">
            <v>2220</v>
          </cell>
          <cell r="H936" t="str">
            <v>19930716</v>
          </cell>
          <cell r="I936">
            <v>7174938</v>
          </cell>
        </row>
        <row r="937">
          <cell r="A937" t="str">
            <v>7800311</v>
          </cell>
          <cell r="B937" t="str">
            <v>김　광　현</v>
          </cell>
          <cell r="C937" t="str">
            <v>7800311김　광　현</v>
          </cell>
          <cell r="D937" t="str">
            <v>CI20</v>
          </cell>
          <cell r="E937" t="str">
            <v>국제 2담당</v>
          </cell>
          <cell r="F937" t="str">
            <v>2210</v>
          </cell>
          <cell r="G937" t="e">
            <v>#N/A</v>
          </cell>
          <cell r="H937" t="str">
            <v>19780601</v>
          </cell>
          <cell r="I937">
            <v>40761064</v>
          </cell>
          <cell r="J937" t="str">
            <v>5 월</v>
          </cell>
          <cell r="K937">
            <v>42362105</v>
          </cell>
        </row>
        <row r="938">
          <cell r="A938" t="str">
            <v>8300373</v>
          </cell>
          <cell r="B938" t="str">
            <v>김　학　호</v>
          </cell>
          <cell r="C938" t="str">
            <v>8300373김　학　호</v>
          </cell>
          <cell r="D938" t="str">
            <v>CI20</v>
          </cell>
          <cell r="E938" t="str">
            <v>국제 2담당</v>
          </cell>
          <cell r="F938" t="str">
            <v>2210</v>
          </cell>
          <cell r="G938" t="str">
            <v>2220</v>
          </cell>
          <cell r="H938" t="str">
            <v>19830601</v>
          </cell>
          <cell r="I938">
            <v>28571278</v>
          </cell>
        </row>
        <row r="939">
          <cell r="A939" t="str">
            <v>8500454</v>
          </cell>
          <cell r="B939" t="str">
            <v>유　완　식</v>
          </cell>
          <cell r="C939" t="str">
            <v>8500454유　완　식</v>
          </cell>
          <cell r="D939" t="str">
            <v>CI20</v>
          </cell>
          <cell r="E939" t="str">
            <v>국제 2담당</v>
          </cell>
          <cell r="F939" t="str">
            <v>2210</v>
          </cell>
          <cell r="G939" t="str">
            <v>2230</v>
          </cell>
          <cell r="H939" t="str">
            <v>19850305</v>
          </cell>
          <cell r="I939">
            <v>22394620</v>
          </cell>
        </row>
        <row r="940">
          <cell r="A940" t="str">
            <v>8800121</v>
          </cell>
          <cell r="B940" t="str">
            <v>김　영　길</v>
          </cell>
          <cell r="C940" t="str">
            <v>8800121김　영　길</v>
          </cell>
          <cell r="D940" t="str">
            <v>CK40</v>
          </cell>
          <cell r="E940" t="str">
            <v>국제 2담당</v>
          </cell>
          <cell r="F940" t="str">
            <v>2210</v>
          </cell>
          <cell r="G940" t="str">
            <v>2220</v>
          </cell>
          <cell r="H940" t="str">
            <v>19880121</v>
          </cell>
          <cell r="I940">
            <v>22742752</v>
          </cell>
        </row>
        <row r="941">
          <cell r="A941" t="str">
            <v>8800784</v>
          </cell>
          <cell r="B941" t="str">
            <v>임　재　호</v>
          </cell>
          <cell r="C941" t="str">
            <v>8800784임　재　호</v>
          </cell>
          <cell r="D941" t="str">
            <v>CD13</v>
          </cell>
          <cell r="E941" t="str">
            <v>수하물2담당</v>
          </cell>
          <cell r="F941" t="str">
            <v>2230</v>
          </cell>
          <cell r="G941" t="str">
            <v>2230</v>
          </cell>
          <cell r="H941" t="str">
            <v>19880430</v>
          </cell>
          <cell r="I941">
            <v>15514916</v>
          </cell>
        </row>
        <row r="942">
          <cell r="A942" t="str">
            <v>7700141</v>
          </cell>
          <cell r="B942" t="str">
            <v>전　원　기</v>
          </cell>
          <cell r="C942" t="str">
            <v>7700141전　원　기</v>
          </cell>
          <cell r="D942" t="str">
            <v>CD13</v>
          </cell>
          <cell r="E942" t="str">
            <v>수하물2담당</v>
          </cell>
          <cell r="F942" t="str">
            <v>2230</v>
          </cell>
          <cell r="G942" t="str">
            <v>2230</v>
          </cell>
          <cell r="H942" t="str">
            <v>19980101</v>
          </cell>
          <cell r="I942">
            <v>4671856</v>
          </cell>
        </row>
        <row r="943">
          <cell r="A943" t="str">
            <v>7700343</v>
          </cell>
          <cell r="B943" t="str">
            <v>이　상　호</v>
          </cell>
          <cell r="C943" t="str">
            <v>7700343이　상　호</v>
          </cell>
          <cell r="D943" t="str">
            <v>CD20</v>
          </cell>
          <cell r="E943" t="str">
            <v>수하물2담당</v>
          </cell>
          <cell r="F943" t="str">
            <v>2230</v>
          </cell>
          <cell r="G943" t="str">
            <v>2230</v>
          </cell>
          <cell r="H943" t="str">
            <v>19770610</v>
          </cell>
          <cell r="I943">
            <v>40805879</v>
          </cell>
        </row>
        <row r="944">
          <cell r="A944" t="str">
            <v>8300338</v>
          </cell>
          <cell r="B944" t="str">
            <v>곽　태　규</v>
          </cell>
          <cell r="C944" t="str">
            <v>8300338곽　태　규</v>
          </cell>
          <cell r="D944" t="str">
            <v>CD30</v>
          </cell>
          <cell r="E944" t="str">
            <v>수하물2담당</v>
          </cell>
          <cell r="F944" t="str">
            <v>2230</v>
          </cell>
          <cell r="G944" t="str">
            <v>2120</v>
          </cell>
          <cell r="H944" t="str">
            <v>19830601</v>
          </cell>
          <cell r="I944">
            <v>26261636</v>
          </cell>
        </row>
        <row r="945">
          <cell r="A945" t="str">
            <v>8200260</v>
          </cell>
          <cell r="B945" t="str">
            <v>권　영　탁</v>
          </cell>
          <cell r="C945" t="str">
            <v>8200260권　영　탁</v>
          </cell>
          <cell r="D945" t="str">
            <v>CD30</v>
          </cell>
          <cell r="E945" t="str">
            <v>수하물2담당</v>
          </cell>
          <cell r="F945" t="str">
            <v>2230</v>
          </cell>
          <cell r="G945" t="str">
            <v>2230</v>
          </cell>
          <cell r="H945" t="str">
            <v>19970701</v>
          </cell>
          <cell r="I945">
            <v>4050454</v>
          </cell>
        </row>
        <row r="946">
          <cell r="A946" t="str">
            <v>9405235</v>
          </cell>
          <cell r="B946" t="str">
            <v>김　광　영</v>
          </cell>
          <cell r="C946" t="str">
            <v>9405235김　광　영</v>
          </cell>
          <cell r="D946" t="str">
            <v>CD30</v>
          </cell>
          <cell r="E946" t="str">
            <v>수하물2담당</v>
          </cell>
          <cell r="F946" t="str">
            <v>2230</v>
          </cell>
          <cell r="G946" t="str">
            <v>2230</v>
          </cell>
          <cell r="H946" t="str">
            <v>19940816</v>
          </cell>
          <cell r="I946">
            <v>5914874</v>
          </cell>
        </row>
        <row r="947">
          <cell r="A947" t="str">
            <v>9501164</v>
          </cell>
          <cell r="B947" t="str">
            <v>김　광　주</v>
          </cell>
          <cell r="C947" t="str">
            <v>9501164김　광　주</v>
          </cell>
          <cell r="D947" t="str">
            <v>CD30</v>
          </cell>
          <cell r="E947" t="str">
            <v>수하물2담당</v>
          </cell>
          <cell r="F947" t="str">
            <v>2230</v>
          </cell>
          <cell r="G947" t="str">
            <v>2230</v>
          </cell>
          <cell r="H947" t="str">
            <v>19950615</v>
          </cell>
          <cell r="I947">
            <v>4896569</v>
          </cell>
        </row>
        <row r="948">
          <cell r="A948" t="str">
            <v>9204030</v>
          </cell>
          <cell r="B948" t="str">
            <v>김　덕　민</v>
          </cell>
          <cell r="C948" t="str">
            <v>9204030김　덕　민</v>
          </cell>
          <cell r="D948" t="str">
            <v>CD30</v>
          </cell>
          <cell r="E948" t="str">
            <v>수하물2담당</v>
          </cell>
          <cell r="F948" t="str">
            <v>2230</v>
          </cell>
          <cell r="G948" t="str">
            <v>2230</v>
          </cell>
          <cell r="H948" t="str">
            <v>19920722</v>
          </cell>
          <cell r="I948">
            <v>8430056</v>
          </cell>
        </row>
        <row r="949">
          <cell r="A949" t="str">
            <v>9550427</v>
          </cell>
          <cell r="B949" t="str">
            <v>김　미　란</v>
          </cell>
          <cell r="C949" t="str">
            <v>9550427김　미　란</v>
          </cell>
          <cell r="D949" t="str">
            <v>CD30</v>
          </cell>
          <cell r="E949" t="str">
            <v>수하물2담당</v>
          </cell>
          <cell r="F949" t="str">
            <v>2230</v>
          </cell>
          <cell r="G949" t="str">
            <v>2230</v>
          </cell>
          <cell r="H949" t="str">
            <v>19950916</v>
          </cell>
          <cell r="I949">
            <v>3826938</v>
          </cell>
        </row>
        <row r="950">
          <cell r="A950" t="str">
            <v>9205301</v>
          </cell>
          <cell r="B950" t="str">
            <v>김　성　남</v>
          </cell>
          <cell r="C950" t="str">
            <v>9205301김　성　남</v>
          </cell>
          <cell r="D950" t="str">
            <v>CD30</v>
          </cell>
          <cell r="E950" t="str">
            <v>수하물2담당</v>
          </cell>
          <cell r="F950" t="str">
            <v>2230</v>
          </cell>
          <cell r="G950" t="str">
            <v>2230</v>
          </cell>
          <cell r="H950" t="str">
            <v>19920901</v>
          </cell>
          <cell r="I950">
            <v>8461085</v>
          </cell>
        </row>
        <row r="951">
          <cell r="A951" t="str">
            <v>9406293</v>
          </cell>
          <cell r="B951" t="str">
            <v>김　성　열</v>
          </cell>
          <cell r="C951" t="str">
            <v>9406293김　성　열</v>
          </cell>
          <cell r="D951" t="str">
            <v>CD30</v>
          </cell>
          <cell r="E951" t="str">
            <v>수하물2담당</v>
          </cell>
          <cell r="F951" t="str">
            <v>2230</v>
          </cell>
          <cell r="G951" t="str">
            <v>2230</v>
          </cell>
          <cell r="H951" t="str">
            <v>19941208</v>
          </cell>
          <cell r="I951">
            <v>5774898</v>
          </cell>
        </row>
        <row r="952">
          <cell r="A952" t="str">
            <v>9450156</v>
          </cell>
          <cell r="B952" t="str">
            <v>김　수　미</v>
          </cell>
          <cell r="C952" t="str">
            <v>9450156김　수　미</v>
          </cell>
          <cell r="D952" t="str">
            <v>CD30</v>
          </cell>
          <cell r="E952" t="str">
            <v>수하물2담당</v>
          </cell>
          <cell r="F952" t="str">
            <v>2230</v>
          </cell>
          <cell r="G952" t="str">
            <v>2230</v>
          </cell>
          <cell r="H952" t="str">
            <v>19940115</v>
          </cell>
          <cell r="I952">
            <v>9071069</v>
          </cell>
        </row>
        <row r="953">
          <cell r="A953" t="str">
            <v>9501660</v>
          </cell>
          <cell r="B953" t="str">
            <v>김　수　창</v>
          </cell>
          <cell r="C953" t="str">
            <v>9501660김　수　창</v>
          </cell>
          <cell r="D953" t="str">
            <v>CD30</v>
          </cell>
          <cell r="E953" t="str">
            <v>수하물2담당</v>
          </cell>
          <cell r="F953" t="str">
            <v>2230</v>
          </cell>
          <cell r="G953" t="str">
            <v>2230</v>
          </cell>
          <cell r="H953" t="str">
            <v>19950720</v>
          </cell>
          <cell r="I953">
            <v>4793317</v>
          </cell>
        </row>
        <row r="954">
          <cell r="A954" t="str">
            <v>9304143</v>
          </cell>
          <cell r="B954" t="str">
            <v>김　윤　수</v>
          </cell>
          <cell r="C954" t="str">
            <v>9304143김　윤　수</v>
          </cell>
          <cell r="D954" t="str">
            <v>CD30</v>
          </cell>
          <cell r="E954" t="str">
            <v>수하물2담당</v>
          </cell>
          <cell r="F954" t="str">
            <v>2230</v>
          </cell>
          <cell r="G954" t="str">
            <v>2230</v>
          </cell>
          <cell r="H954" t="str">
            <v>19930716</v>
          </cell>
          <cell r="I954">
            <v>7828308</v>
          </cell>
        </row>
        <row r="955">
          <cell r="A955" t="str">
            <v>8600501</v>
          </cell>
          <cell r="B955" t="str">
            <v>김　재　현</v>
          </cell>
          <cell r="C955" t="str">
            <v>8600501김　재　현</v>
          </cell>
          <cell r="D955" t="str">
            <v>CD30</v>
          </cell>
          <cell r="E955" t="str">
            <v>수하물2담당</v>
          </cell>
          <cell r="F955" t="str">
            <v>2230</v>
          </cell>
          <cell r="G955" t="str">
            <v>2230</v>
          </cell>
          <cell r="H955" t="str">
            <v>19870907</v>
          </cell>
          <cell r="I955">
            <v>19600699</v>
          </cell>
        </row>
        <row r="956">
          <cell r="A956" t="str">
            <v>9702112</v>
          </cell>
          <cell r="B956" t="str">
            <v>김　정　수</v>
          </cell>
          <cell r="C956" t="str">
            <v>9702112김　정　수</v>
          </cell>
          <cell r="D956" t="str">
            <v>CD30</v>
          </cell>
          <cell r="E956" t="str">
            <v>수하물2담당</v>
          </cell>
          <cell r="F956" t="str">
            <v>2230</v>
          </cell>
          <cell r="G956" t="str">
            <v>2654</v>
          </cell>
          <cell r="H956" t="str">
            <v>19970725</v>
          </cell>
          <cell r="I956">
            <v>2528719</v>
          </cell>
        </row>
        <row r="957">
          <cell r="A957" t="str">
            <v>9503155</v>
          </cell>
          <cell r="B957" t="str">
            <v>김　진　국</v>
          </cell>
          <cell r="C957" t="str">
            <v>9503155김　진　국</v>
          </cell>
          <cell r="D957" t="str">
            <v>CD30</v>
          </cell>
          <cell r="E957" t="str">
            <v>수하물2담당</v>
          </cell>
          <cell r="F957" t="str">
            <v>2230</v>
          </cell>
          <cell r="G957" t="str">
            <v>2230</v>
          </cell>
          <cell r="H957" t="str">
            <v>19951106</v>
          </cell>
          <cell r="I957">
            <v>4406063</v>
          </cell>
        </row>
        <row r="958">
          <cell r="A958" t="str">
            <v>8603908</v>
          </cell>
          <cell r="B958" t="str">
            <v>김　형　우</v>
          </cell>
          <cell r="C958" t="str">
            <v>8603908김　형　우</v>
          </cell>
          <cell r="D958" t="str">
            <v>CD30</v>
          </cell>
          <cell r="E958" t="str">
            <v>수하물2담당</v>
          </cell>
          <cell r="F958" t="str">
            <v>2230</v>
          </cell>
          <cell r="G958" t="e">
            <v>#N/A</v>
          </cell>
          <cell r="H958" t="str">
            <v>19860916</v>
          </cell>
          <cell r="I958">
            <v>22411594</v>
          </cell>
          <cell r="J958" t="str">
            <v>5 월</v>
          </cell>
          <cell r="K958">
            <v>38227625</v>
          </cell>
        </row>
        <row r="959">
          <cell r="A959" t="str">
            <v>8603908</v>
          </cell>
          <cell r="B959" t="str">
            <v>김　형　우</v>
          </cell>
          <cell r="C959" t="str">
            <v>8603908김　형　우</v>
          </cell>
          <cell r="D959" t="str">
            <v>CD30</v>
          </cell>
          <cell r="E959" t="str">
            <v>수하물2담당</v>
          </cell>
          <cell r="F959" t="str">
            <v>2230</v>
          </cell>
          <cell r="G959" t="e">
            <v>#N/A</v>
          </cell>
          <cell r="H959" t="str">
            <v>19860916</v>
          </cell>
          <cell r="J959" t="str">
            <v>7 월</v>
          </cell>
          <cell r="K959">
            <v>794115</v>
          </cell>
        </row>
        <row r="960">
          <cell r="A960" t="str">
            <v>9401005</v>
          </cell>
          <cell r="B960" t="str">
            <v>김　홍　욱</v>
          </cell>
          <cell r="C960" t="str">
            <v>9401005김　홍　욱</v>
          </cell>
          <cell r="D960" t="str">
            <v>CD30</v>
          </cell>
          <cell r="E960" t="str">
            <v>수하물2담당</v>
          </cell>
          <cell r="F960" t="str">
            <v>2230</v>
          </cell>
          <cell r="G960" t="str">
            <v>2120</v>
          </cell>
          <cell r="H960" t="str">
            <v>19940207</v>
          </cell>
          <cell r="I960">
            <v>7051280</v>
          </cell>
        </row>
        <row r="961">
          <cell r="A961" t="str">
            <v>9403222</v>
          </cell>
          <cell r="B961" t="str">
            <v>김　환　태</v>
          </cell>
          <cell r="C961" t="str">
            <v>9403222김　환　태</v>
          </cell>
          <cell r="D961" t="str">
            <v>CD30</v>
          </cell>
          <cell r="E961" t="str">
            <v>수하물2담당</v>
          </cell>
          <cell r="F961" t="str">
            <v>2230</v>
          </cell>
          <cell r="G961" t="str">
            <v>2230</v>
          </cell>
          <cell r="H961" t="str">
            <v>19940519</v>
          </cell>
          <cell r="I961">
            <v>6141925</v>
          </cell>
        </row>
        <row r="962">
          <cell r="A962" t="str">
            <v>8903248</v>
          </cell>
          <cell r="B962" t="str">
            <v>나　윤　흠</v>
          </cell>
          <cell r="C962" t="str">
            <v>8903248나　윤　흠</v>
          </cell>
          <cell r="D962" t="str">
            <v>CD30</v>
          </cell>
          <cell r="E962" t="str">
            <v>수하물2담당</v>
          </cell>
          <cell r="F962" t="str">
            <v>2230</v>
          </cell>
          <cell r="G962" t="str">
            <v>2230</v>
          </cell>
          <cell r="H962" t="str">
            <v>19890412</v>
          </cell>
          <cell r="I962">
            <v>13752504</v>
          </cell>
        </row>
        <row r="963">
          <cell r="A963" t="str">
            <v>9702246</v>
          </cell>
          <cell r="B963" t="str">
            <v>남　재　홍</v>
          </cell>
          <cell r="C963" t="str">
            <v>9702246남　재　홍</v>
          </cell>
          <cell r="D963" t="str">
            <v>CD30</v>
          </cell>
          <cell r="E963" t="str">
            <v>수하물2담당</v>
          </cell>
          <cell r="F963" t="str">
            <v>2230</v>
          </cell>
          <cell r="G963" t="str">
            <v>2230</v>
          </cell>
          <cell r="H963" t="str">
            <v>19970821</v>
          </cell>
          <cell r="I963">
            <v>2451975</v>
          </cell>
        </row>
        <row r="964">
          <cell r="A964" t="str">
            <v>9005152</v>
          </cell>
          <cell r="B964" t="str">
            <v>남궁종태　</v>
          </cell>
          <cell r="C964" t="str">
            <v>9005152남궁종태　</v>
          </cell>
          <cell r="D964" t="str">
            <v>CD30</v>
          </cell>
          <cell r="E964" t="str">
            <v>수하물2담당</v>
          </cell>
          <cell r="F964" t="str">
            <v>2230</v>
          </cell>
          <cell r="G964" t="str">
            <v>2230</v>
          </cell>
          <cell r="H964" t="str">
            <v>19901206</v>
          </cell>
          <cell r="I964">
            <v>11777438</v>
          </cell>
        </row>
        <row r="965">
          <cell r="A965" t="str">
            <v>9400386</v>
          </cell>
          <cell r="B965" t="str">
            <v>노　택　현</v>
          </cell>
          <cell r="C965" t="str">
            <v>9400386노　택　현</v>
          </cell>
          <cell r="D965" t="str">
            <v>CD30</v>
          </cell>
          <cell r="E965" t="str">
            <v>수하물2담당</v>
          </cell>
          <cell r="F965" t="str">
            <v>2230</v>
          </cell>
          <cell r="G965" t="str">
            <v>2230</v>
          </cell>
          <cell r="H965" t="str">
            <v>19940120</v>
          </cell>
          <cell r="I965">
            <v>7110214</v>
          </cell>
        </row>
        <row r="966">
          <cell r="A966" t="str">
            <v>9000281</v>
          </cell>
          <cell r="B966" t="str">
            <v>문　영　수</v>
          </cell>
          <cell r="C966" t="str">
            <v>9000281문　영　수</v>
          </cell>
          <cell r="D966" t="str">
            <v>CD30</v>
          </cell>
          <cell r="E966" t="str">
            <v>수하물2담당</v>
          </cell>
          <cell r="F966" t="str">
            <v>2230</v>
          </cell>
          <cell r="G966" t="e">
            <v>#N/A</v>
          </cell>
          <cell r="H966" t="str">
            <v>19890503</v>
          </cell>
          <cell r="I966">
            <v>13594319</v>
          </cell>
          <cell r="J966" t="str">
            <v>10 월</v>
          </cell>
          <cell r="K966">
            <v>17667183</v>
          </cell>
        </row>
        <row r="967">
          <cell r="A967" t="str">
            <v>9400882</v>
          </cell>
          <cell r="B967" t="str">
            <v>문　용　배</v>
          </cell>
          <cell r="C967" t="str">
            <v>9400882문　용　배</v>
          </cell>
          <cell r="D967" t="str">
            <v>CD30</v>
          </cell>
          <cell r="E967" t="str">
            <v>수하물2담당</v>
          </cell>
          <cell r="F967" t="str">
            <v>2230</v>
          </cell>
          <cell r="G967" t="str">
            <v>2230</v>
          </cell>
          <cell r="H967" t="str">
            <v>19940201</v>
          </cell>
          <cell r="I967">
            <v>6508960</v>
          </cell>
        </row>
        <row r="968">
          <cell r="A968" t="str">
            <v>9305550</v>
          </cell>
          <cell r="B968" t="str">
            <v>문　종　대</v>
          </cell>
          <cell r="C968" t="str">
            <v>9305550문　종　대</v>
          </cell>
          <cell r="D968" t="str">
            <v>CD30</v>
          </cell>
          <cell r="E968" t="str">
            <v>수하물2담당</v>
          </cell>
          <cell r="F968" t="str">
            <v>2230</v>
          </cell>
          <cell r="G968" t="str">
            <v>2230</v>
          </cell>
          <cell r="H968" t="str">
            <v>19930901</v>
          </cell>
          <cell r="I968">
            <v>7672299</v>
          </cell>
        </row>
        <row r="969">
          <cell r="A969" t="str">
            <v>8502333</v>
          </cell>
          <cell r="B969" t="str">
            <v>민　경　업</v>
          </cell>
          <cell r="C969" t="str">
            <v>8502333민　경　업</v>
          </cell>
          <cell r="D969" t="str">
            <v>CD30</v>
          </cell>
          <cell r="E969" t="str">
            <v>수하물2담당</v>
          </cell>
          <cell r="F969" t="str">
            <v>2230</v>
          </cell>
          <cell r="G969" t="str">
            <v>2230</v>
          </cell>
          <cell r="H969" t="str">
            <v>19851101</v>
          </cell>
          <cell r="I969">
            <v>19739487</v>
          </cell>
        </row>
        <row r="970">
          <cell r="A970" t="str">
            <v>9403457</v>
          </cell>
          <cell r="B970" t="str">
            <v>박　건　준</v>
          </cell>
          <cell r="C970" t="str">
            <v>9403457박　건　준</v>
          </cell>
          <cell r="D970" t="str">
            <v>CD30</v>
          </cell>
          <cell r="E970" t="str">
            <v>수하물2담당</v>
          </cell>
          <cell r="F970" t="str">
            <v>2230</v>
          </cell>
          <cell r="G970" t="str">
            <v>2230</v>
          </cell>
          <cell r="H970" t="str">
            <v>19940601</v>
          </cell>
          <cell r="I970">
            <v>6103032</v>
          </cell>
        </row>
        <row r="971">
          <cell r="A971" t="str">
            <v>9001473</v>
          </cell>
          <cell r="B971" t="str">
            <v>박　노　엽</v>
          </cell>
          <cell r="C971" t="str">
            <v>9001473박　노　엽</v>
          </cell>
          <cell r="D971" t="str">
            <v>CD30</v>
          </cell>
          <cell r="E971" t="str">
            <v>수하물2담당</v>
          </cell>
          <cell r="F971" t="str">
            <v>2230</v>
          </cell>
          <cell r="G971" t="str">
            <v>2230</v>
          </cell>
          <cell r="H971" t="str">
            <v>19891129</v>
          </cell>
          <cell r="I971">
            <v>13404248</v>
          </cell>
        </row>
        <row r="972">
          <cell r="A972" t="str">
            <v>9501243</v>
          </cell>
          <cell r="B972" t="str">
            <v>박　동　근</v>
          </cell>
          <cell r="C972" t="str">
            <v>9501243박　동　근</v>
          </cell>
          <cell r="D972" t="str">
            <v>CD30</v>
          </cell>
          <cell r="E972" t="str">
            <v>수하물2담당</v>
          </cell>
          <cell r="F972" t="str">
            <v>2230</v>
          </cell>
          <cell r="G972" t="str">
            <v>2230</v>
          </cell>
          <cell r="H972" t="str">
            <v>19950615</v>
          </cell>
          <cell r="I972">
            <v>4896569</v>
          </cell>
        </row>
        <row r="973">
          <cell r="A973" t="str">
            <v>9204107</v>
          </cell>
          <cell r="B973" t="str">
            <v>박　상　원</v>
          </cell>
          <cell r="C973" t="str">
            <v>9204107박　상　원</v>
          </cell>
          <cell r="D973" t="str">
            <v>CD30</v>
          </cell>
          <cell r="E973" t="str">
            <v>수하물2담당</v>
          </cell>
          <cell r="F973" t="str">
            <v>2230</v>
          </cell>
          <cell r="G973" t="str">
            <v>2230</v>
          </cell>
          <cell r="H973" t="str">
            <v>19920722</v>
          </cell>
          <cell r="I973">
            <v>9137473</v>
          </cell>
        </row>
        <row r="974">
          <cell r="A974" t="str">
            <v>8601581</v>
          </cell>
          <cell r="B974" t="str">
            <v>박　석　철</v>
          </cell>
          <cell r="C974" t="str">
            <v>8601581박　석　철</v>
          </cell>
          <cell r="D974" t="str">
            <v>CD30</v>
          </cell>
          <cell r="E974" t="str">
            <v>수하물2담당</v>
          </cell>
          <cell r="F974" t="str">
            <v>2230</v>
          </cell>
          <cell r="G974" t="str">
            <v>2230</v>
          </cell>
          <cell r="H974" t="str">
            <v>19860519</v>
          </cell>
          <cell r="I974">
            <v>20683710</v>
          </cell>
        </row>
        <row r="975">
          <cell r="A975" t="str">
            <v>9308070</v>
          </cell>
          <cell r="B975" t="str">
            <v>박　세　민</v>
          </cell>
          <cell r="C975" t="str">
            <v>9308070박　세　민</v>
          </cell>
          <cell r="D975" t="str">
            <v>CD30</v>
          </cell>
          <cell r="E975" t="str">
            <v>수하물2담당</v>
          </cell>
          <cell r="F975" t="str">
            <v>2230</v>
          </cell>
          <cell r="G975" t="str">
            <v>2230</v>
          </cell>
          <cell r="H975" t="str">
            <v>19931216</v>
          </cell>
          <cell r="I975">
            <v>6650694</v>
          </cell>
        </row>
        <row r="976">
          <cell r="A976" t="str">
            <v>9702270</v>
          </cell>
          <cell r="B976" t="str">
            <v>박　용　선</v>
          </cell>
          <cell r="C976" t="str">
            <v>9702270박　용　선</v>
          </cell>
          <cell r="D976" t="str">
            <v>CD30</v>
          </cell>
          <cell r="E976" t="str">
            <v>수하물2담당</v>
          </cell>
          <cell r="F976" t="str">
            <v>2230</v>
          </cell>
          <cell r="G976" t="str">
            <v>2230</v>
          </cell>
          <cell r="H976" t="str">
            <v>19970821</v>
          </cell>
          <cell r="I976">
            <v>2473097</v>
          </cell>
        </row>
        <row r="977">
          <cell r="A977" t="str">
            <v>8200225</v>
          </cell>
          <cell r="B977" t="str">
            <v>박　종　운</v>
          </cell>
          <cell r="C977" t="str">
            <v>8200225박　종　운</v>
          </cell>
          <cell r="D977" t="str">
            <v>CD30</v>
          </cell>
          <cell r="E977" t="str">
            <v>수하물2담당</v>
          </cell>
          <cell r="F977" t="str">
            <v>2230</v>
          </cell>
          <cell r="G977" t="str">
            <v>2230</v>
          </cell>
          <cell r="H977" t="str">
            <v>19820201</v>
          </cell>
          <cell r="I977">
            <v>28790891</v>
          </cell>
        </row>
        <row r="978">
          <cell r="A978" t="str">
            <v>9501118</v>
          </cell>
          <cell r="B978" t="str">
            <v>박　종　택</v>
          </cell>
          <cell r="C978" t="str">
            <v>9501118박　종　택</v>
          </cell>
          <cell r="D978" t="str">
            <v>CD30</v>
          </cell>
          <cell r="E978" t="str">
            <v>수하물2담당</v>
          </cell>
          <cell r="F978" t="str">
            <v>2230</v>
          </cell>
          <cell r="G978" t="str">
            <v>2230</v>
          </cell>
          <cell r="H978" t="str">
            <v>19950615</v>
          </cell>
          <cell r="I978">
            <v>4896569</v>
          </cell>
        </row>
        <row r="979">
          <cell r="A979" t="str">
            <v>9003014</v>
          </cell>
          <cell r="B979" t="str">
            <v>박　종　화</v>
          </cell>
          <cell r="C979" t="str">
            <v>9003014박　종　화</v>
          </cell>
          <cell r="D979" t="str">
            <v>CD30</v>
          </cell>
          <cell r="E979" t="str">
            <v>수하물2담당</v>
          </cell>
          <cell r="F979" t="str">
            <v>2230</v>
          </cell>
          <cell r="G979" t="str">
            <v>2230</v>
          </cell>
          <cell r="H979" t="str">
            <v>19900317</v>
          </cell>
          <cell r="I979">
            <v>12483903</v>
          </cell>
        </row>
        <row r="980">
          <cell r="A980" t="str">
            <v>9405720</v>
          </cell>
          <cell r="B980" t="str">
            <v>박　찬　원</v>
          </cell>
          <cell r="C980" t="str">
            <v>9405720박　찬　원</v>
          </cell>
          <cell r="D980" t="str">
            <v>CD30</v>
          </cell>
          <cell r="E980" t="str">
            <v>수하물2담당</v>
          </cell>
          <cell r="F980" t="str">
            <v>2230</v>
          </cell>
          <cell r="G980" t="str">
            <v>2230</v>
          </cell>
          <cell r="H980" t="str">
            <v>19940901</v>
          </cell>
          <cell r="I980">
            <v>5785382</v>
          </cell>
        </row>
        <row r="981">
          <cell r="A981" t="str">
            <v>7700433</v>
          </cell>
          <cell r="B981" t="str">
            <v>서　남　진</v>
          </cell>
          <cell r="C981" t="str">
            <v>7700433서　남　진</v>
          </cell>
          <cell r="D981" t="str">
            <v>CD30</v>
          </cell>
          <cell r="E981" t="str">
            <v>수하물2담당</v>
          </cell>
          <cell r="F981" t="str">
            <v>2230</v>
          </cell>
          <cell r="G981" t="str">
            <v>2230</v>
          </cell>
          <cell r="H981" t="str">
            <v>19770707</v>
          </cell>
          <cell r="I981">
            <v>38987876</v>
          </cell>
        </row>
        <row r="982">
          <cell r="A982" t="str">
            <v>9406697</v>
          </cell>
          <cell r="B982" t="str">
            <v>서　동　원</v>
          </cell>
          <cell r="C982" t="str">
            <v>9406697서　동　원</v>
          </cell>
          <cell r="D982" t="str">
            <v>CD30</v>
          </cell>
          <cell r="E982" t="str">
            <v>수하물2담당</v>
          </cell>
          <cell r="F982" t="str">
            <v>2230</v>
          </cell>
          <cell r="G982" t="str">
            <v>2230</v>
          </cell>
          <cell r="H982" t="str">
            <v>19941216</v>
          </cell>
          <cell r="I982">
            <v>5470419</v>
          </cell>
        </row>
        <row r="983">
          <cell r="A983" t="str">
            <v>9406675</v>
          </cell>
          <cell r="B983" t="str">
            <v>서　동　준</v>
          </cell>
          <cell r="C983" t="str">
            <v>9406675서　동　준</v>
          </cell>
          <cell r="D983" t="str">
            <v>CD30</v>
          </cell>
          <cell r="E983" t="str">
            <v>수하물2담당</v>
          </cell>
          <cell r="F983" t="str">
            <v>2230</v>
          </cell>
          <cell r="G983" t="str">
            <v>2230</v>
          </cell>
          <cell r="H983" t="str">
            <v>19941216</v>
          </cell>
          <cell r="I983">
            <v>5470419</v>
          </cell>
        </row>
        <row r="984">
          <cell r="A984" t="str">
            <v>9501300</v>
          </cell>
          <cell r="B984" t="str">
            <v>서　상　범</v>
          </cell>
          <cell r="C984" t="str">
            <v>9501300서　상　범</v>
          </cell>
          <cell r="D984" t="str">
            <v>CD30</v>
          </cell>
          <cell r="E984" t="str">
            <v>수하물2담당</v>
          </cell>
          <cell r="F984" t="str">
            <v>2230</v>
          </cell>
          <cell r="G984" t="str">
            <v>2230</v>
          </cell>
          <cell r="H984" t="str">
            <v>19950615</v>
          </cell>
          <cell r="I984">
            <v>4896569</v>
          </cell>
        </row>
        <row r="985">
          <cell r="A985" t="str">
            <v>9201150</v>
          </cell>
          <cell r="B985" t="str">
            <v>설　재　우</v>
          </cell>
          <cell r="C985" t="str">
            <v>9201150설　재　우</v>
          </cell>
          <cell r="D985" t="str">
            <v>CD30</v>
          </cell>
          <cell r="E985" t="str">
            <v>수하물2담당</v>
          </cell>
          <cell r="F985" t="str">
            <v>2230</v>
          </cell>
          <cell r="G985" t="str">
            <v>2230</v>
          </cell>
          <cell r="H985" t="str">
            <v>19920316</v>
          </cell>
          <cell r="I985">
            <v>8827077</v>
          </cell>
        </row>
        <row r="986">
          <cell r="A986" t="str">
            <v>9104152</v>
          </cell>
          <cell r="B986" t="str">
            <v>소　기　영</v>
          </cell>
          <cell r="C986" t="str">
            <v>9104152소　기　영</v>
          </cell>
          <cell r="D986" t="str">
            <v>CD30</v>
          </cell>
          <cell r="E986" t="str">
            <v>수하물2담당</v>
          </cell>
          <cell r="F986" t="str">
            <v>2230</v>
          </cell>
          <cell r="G986" t="str">
            <v>2230</v>
          </cell>
          <cell r="H986" t="str">
            <v>19911001</v>
          </cell>
          <cell r="I986">
            <v>9407280</v>
          </cell>
        </row>
        <row r="987">
          <cell r="A987" t="str">
            <v>8701738</v>
          </cell>
          <cell r="B987" t="str">
            <v>신　현　복</v>
          </cell>
          <cell r="C987" t="str">
            <v>8701738신　현　복</v>
          </cell>
          <cell r="D987" t="str">
            <v>CD30</v>
          </cell>
          <cell r="E987" t="str">
            <v>수하물2담당</v>
          </cell>
          <cell r="F987" t="str">
            <v>2230</v>
          </cell>
          <cell r="G987" t="str">
            <v>2230</v>
          </cell>
          <cell r="H987" t="str">
            <v>19870810</v>
          </cell>
          <cell r="I987">
            <v>18036290</v>
          </cell>
        </row>
        <row r="988">
          <cell r="A988" t="str">
            <v>9202680</v>
          </cell>
          <cell r="B988" t="str">
            <v>안　해　인</v>
          </cell>
          <cell r="C988" t="str">
            <v>9202680안　해　인</v>
          </cell>
          <cell r="D988" t="str">
            <v>CD30</v>
          </cell>
          <cell r="E988" t="str">
            <v>수하물2담당</v>
          </cell>
          <cell r="F988" t="str">
            <v>2230</v>
          </cell>
          <cell r="G988" t="str">
            <v>2230</v>
          </cell>
          <cell r="H988" t="str">
            <v>19920501</v>
          </cell>
          <cell r="I988">
            <v>8441511</v>
          </cell>
        </row>
        <row r="989">
          <cell r="A989" t="str">
            <v>9451653</v>
          </cell>
          <cell r="B989" t="str">
            <v>안　혜　연</v>
          </cell>
          <cell r="C989" t="str">
            <v>9451653안　혜　연</v>
          </cell>
          <cell r="D989" t="str">
            <v>CD30</v>
          </cell>
          <cell r="E989" t="str">
            <v>수하물2담당</v>
          </cell>
          <cell r="F989" t="str">
            <v>2230</v>
          </cell>
          <cell r="G989" t="str">
            <v>2230</v>
          </cell>
          <cell r="H989" t="str">
            <v>19940801</v>
          </cell>
          <cell r="I989">
            <v>4959376</v>
          </cell>
        </row>
        <row r="990">
          <cell r="A990" t="str">
            <v>9501625</v>
          </cell>
          <cell r="B990" t="str">
            <v>양　기　환</v>
          </cell>
          <cell r="C990" t="str">
            <v>9501625양　기　환</v>
          </cell>
          <cell r="D990" t="str">
            <v>CD30</v>
          </cell>
          <cell r="E990" t="str">
            <v>수하물2담당</v>
          </cell>
          <cell r="F990" t="str">
            <v>2230</v>
          </cell>
          <cell r="G990" t="str">
            <v>2230</v>
          </cell>
          <cell r="H990" t="str">
            <v>19950720</v>
          </cell>
          <cell r="I990">
            <v>4803449</v>
          </cell>
        </row>
        <row r="991">
          <cell r="A991" t="str">
            <v>9702202</v>
          </cell>
          <cell r="B991" t="str">
            <v>양　성　준</v>
          </cell>
          <cell r="C991" t="str">
            <v>9702202양　성　준</v>
          </cell>
          <cell r="D991" t="str">
            <v>CD30</v>
          </cell>
          <cell r="E991" t="str">
            <v>수하물2담당</v>
          </cell>
          <cell r="F991" t="str">
            <v>2230</v>
          </cell>
          <cell r="G991" t="str">
            <v>2230</v>
          </cell>
          <cell r="H991" t="str">
            <v>19970821</v>
          </cell>
          <cell r="I991">
            <v>2451975</v>
          </cell>
        </row>
        <row r="992">
          <cell r="A992" t="str">
            <v>9503684</v>
          </cell>
          <cell r="B992" t="str">
            <v>엄　도　열</v>
          </cell>
          <cell r="C992" t="str">
            <v>9503684엄　도　열</v>
          </cell>
          <cell r="D992" t="str">
            <v>CD30</v>
          </cell>
          <cell r="E992" t="str">
            <v>수하물2담당</v>
          </cell>
          <cell r="F992" t="str">
            <v>2230</v>
          </cell>
          <cell r="G992" t="str">
            <v>2230</v>
          </cell>
          <cell r="H992" t="str">
            <v>19951207</v>
          </cell>
          <cell r="I992">
            <v>4348102</v>
          </cell>
        </row>
        <row r="993">
          <cell r="A993" t="str">
            <v>8300294</v>
          </cell>
          <cell r="B993" t="str">
            <v>유　상　태</v>
          </cell>
          <cell r="C993" t="str">
            <v>8300294유　상　태</v>
          </cell>
          <cell r="D993" t="str">
            <v>CD30</v>
          </cell>
          <cell r="E993" t="str">
            <v>수하물2담당</v>
          </cell>
          <cell r="F993" t="str">
            <v>2230</v>
          </cell>
          <cell r="G993" t="str">
            <v>2230</v>
          </cell>
          <cell r="H993" t="str">
            <v>19830601</v>
          </cell>
          <cell r="I993">
            <v>26392949</v>
          </cell>
        </row>
        <row r="994">
          <cell r="A994" t="str">
            <v>9208067</v>
          </cell>
          <cell r="B994" t="str">
            <v>윤　덕　기</v>
          </cell>
          <cell r="C994" t="str">
            <v>9208067윤　덕　기</v>
          </cell>
          <cell r="D994" t="str">
            <v>CD30</v>
          </cell>
          <cell r="E994" t="str">
            <v>수하물2담당</v>
          </cell>
          <cell r="F994" t="str">
            <v>2230</v>
          </cell>
          <cell r="G994" t="str">
            <v>2654</v>
          </cell>
          <cell r="H994" t="str">
            <v>19921216</v>
          </cell>
          <cell r="I994">
            <v>7918400</v>
          </cell>
        </row>
        <row r="995">
          <cell r="A995" t="str">
            <v>8711357</v>
          </cell>
          <cell r="B995" t="str">
            <v>이　대　규</v>
          </cell>
          <cell r="C995" t="str">
            <v>8711357이　대　규</v>
          </cell>
          <cell r="D995" t="str">
            <v>CD30</v>
          </cell>
          <cell r="E995" t="str">
            <v>수하물2담당</v>
          </cell>
          <cell r="F995" t="str">
            <v>2230</v>
          </cell>
          <cell r="G995" t="str">
            <v>2230</v>
          </cell>
          <cell r="H995" t="str">
            <v>19871101</v>
          </cell>
          <cell r="I995">
            <v>22700292</v>
          </cell>
        </row>
        <row r="996">
          <cell r="A996" t="str">
            <v>8700118</v>
          </cell>
          <cell r="B996" t="str">
            <v>이　명　선</v>
          </cell>
          <cell r="C996" t="str">
            <v>8700118이　명　선</v>
          </cell>
          <cell r="D996" t="str">
            <v>CD30</v>
          </cell>
          <cell r="E996" t="str">
            <v>수하물2담당</v>
          </cell>
          <cell r="F996" t="str">
            <v>2230</v>
          </cell>
          <cell r="G996" t="str">
            <v>2230</v>
          </cell>
          <cell r="H996" t="str">
            <v>19870205</v>
          </cell>
          <cell r="I996">
            <v>18592653</v>
          </cell>
        </row>
        <row r="997">
          <cell r="A997" t="str">
            <v>9701280</v>
          </cell>
          <cell r="B997" t="str">
            <v>이　병　준</v>
          </cell>
          <cell r="C997" t="str">
            <v>9701280이　병　준</v>
          </cell>
          <cell r="D997" t="str">
            <v>CD30</v>
          </cell>
          <cell r="E997" t="str">
            <v>수하물2담당</v>
          </cell>
          <cell r="F997" t="str">
            <v>2230</v>
          </cell>
          <cell r="G997" t="str">
            <v>2230</v>
          </cell>
          <cell r="H997" t="str">
            <v>19970601</v>
          </cell>
          <cell r="I997">
            <v>2954661</v>
          </cell>
        </row>
        <row r="998">
          <cell r="A998" t="str">
            <v>9814882</v>
          </cell>
          <cell r="B998" t="str">
            <v>이　봉　섭</v>
          </cell>
          <cell r="C998" t="str">
            <v>9814882이　봉　섭</v>
          </cell>
          <cell r="D998" t="str">
            <v>CD30</v>
          </cell>
          <cell r="E998" t="str">
            <v>수하물2담당</v>
          </cell>
          <cell r="F998" t="str">
            <v>2230</v>
          </cell>
          <cell r="G998" t="str">
            <v>2230</v>
          </cell>
          <cell r="H998" t="str">
            <v>19930301</v>
          </cell>
          <cell r="I998">
            <v>14660173</v>
          </cell>
        </row>
        <row r="999">
          <cell r="A999" t="str">
            <v>9401534</v>
          </cell>
          <cell r="B999" t="str">
            <v>이　상　관</v>
          </cell>
          <cell r="C999" t="str">
            <v>9401534이　상　관</v>
          </cell>
          <cell r="D999" t="str">
            <v>CD30</v>
          </cell>
          <cell r="E999" t="str">
            <v>수하물2담당</v>
          </cell>
          <cell r="F999" t="str">
            <v>2230</v>
          </cell>
          <cell r="G999" t="str">
            <v>2230</v>
          </cell>
          <cell r="H999" t="str">
            <v>19940314</v>
          </cell>
          <cell r="I999">
            <v>6339449</v>
          </cell>
        </row>
        <row r="1000">
          <cell r="A1000" t="str">
            <v>9501693</v>
          </cell>
          <cell r="B1000" t="str">
            <v>이　상　범</v>
          </cell>
          <cell r="C1000" t="str">
            <v>9501693이　상　범</v>
          </cell>
          <cell r="D1000" t="str">
            <v>CD30</v>
          </cell>
          <cell r="E1000" t="str">
            <v>수하물2담당</v>
          </cell>
          <cell r="F1000" t="str">
            <v>2230</v>
          </cell>
          <cell r="G1000" t="str">
            <v>2230</v>
          </cell>
          <cell r="H1000" t="str">
            <v>19950720</v>
          </cell>
          <cell r="I1000">
            <v>4793317</v>
          </cell>
        </row>
        <row r="1001">
          <cell r="A1001" t="str">
            <v>9205334</v>
          </cell>
          <cell r="B1001" t="str">
            <v>이　선　태</v>
          </cell>
          <cell r="C1001" t="str">
            <v>9205334이　선　태</v>
          </cell>
          <cell r="D1001" t="str">
            <v>CD30</v>
          </cell>
          <cell r="E1001" t="str">
            <v>수하물2담당</v>
          </cell>
          <cell r="F1001" t="str">
            <v>2230</v>
          </cell>
          <cell r="G1001" t="e">
            <v>#N/A</v>
          </cell>
          <cell r="H1001" t="str">
            <v>19920901</v>
          </cell>
          <cell r="I1001">
            <v>8244858</v>
          </cell>
          <cell r="J1001" t="str">
            <v>3 월</v>
          </cell>
          <cell r="K1001">
            <v>8534752</v>
          </cell>
        </row>
        <row r="1002">
          <cell r="A1002" t="str">
            <v>8701727</v>
          </cell>
          <cell r="B1002" t="str">
            <v>이　정　익</v>
          </cell>
          <cell r="C1002" t="str">
            <v>8701727이　정　익</v>
          </cell>
          <cell r="D1002" t="str">
            <v>CD30</v>
          </cell>
          <cell r="E1002" t="str">
            <v>수하물2담당</v>
          </cell>
          <cell r="F1002" t="str">
            <v>2230</v>
          </cell>
          <cell r="G1002" t="str">
            <v>2230</v>
          </cell>
          <cell r="H1002" t="str">
            <v>19870810</v>
          </cell>
          <cell r="I1002">
            <v>17760277</v>
          </cell>
        </row>
        <row r="1003">
          <cell r="A1003" t="str">
            <v>7900345</v>
          </cell>
          <cell r="B1003" t="str">
            <v>이　종　열</v>
          </cell>
          <cell r="C1003" t="str">
            <v>7900345이　종　열</v>
          </cell>
          <cell r="D1003" t="str">
            <v>CD30</v>
          </cell>
          <cell r="E1003" t="str">
            <v>수하물2담당</v>
          </cell>
          <cell r="F1003" t="str">
            <v>2230</v>
          </cell>
          <cell r="G1003" t="str">
            <v>2120</v>
          </cell>
          <cell r="H1003" t="str">
            <v>19790510</v>
          </cell>
          <cell r="I1003">
            <v>36104493</v>
          </cell>
        </row>
        <row r="1004">
          <cell r="A1004" t="str">
            <v>9204636</v>
          </cell>
          <cell r="B1004" t="str">
            <v>이　종　일</v>
          </cell>
          <cell r="C1004" t="str">
            <v>9204636이　종　일</v>
          </cell>
          <cell r="D1004" t="str">
            <v>CD30</v>
          </cell>
          <cell r="E1004" t="str">
            <v>수하물2담당</v>
          </cell>
          <cell r="F1004" t="str">
            <v>2230</v>
          </cell>
          <cell r="G1004" t="str">
            <v>2230</v>
          </cell>
          <cell r="H1004" t="str">
            <v>19920801</v>
          </cell>
          <cell r="I1004">
            <v>9103851</v>
          </cell>
        </row>
        <row r="1005">
          <cell r="A1005" t="str">
            <v>7700286</v>
          </cell>
          <cell r="B1005" t="str">
            <v>임　연　호</v>
          </cell>
          <cell r="C1005" t="str">
            <v>7700286임　연　호</v>
          </cell>
          <cell r="D1005" t="str">
            <v>CD30</v>
          </cell>
          <cell r="E1005" t="str">
            <v>수하물2담당</v>
          </cell>
          <cell r="F1005" t="str">
            <v>2230</v>
          </cell>
          <cell r="G1005" t="str">
            <v>2230</v>
          </cell>
          <cell r="H1005" t="str">
            <v>19870907</v>
          </cell>
          <cell r="I1005">
            <v>21551013</v>
          </cell>
        </row>
        <row r="1006">
          <cell r="A1006" t="str">
            <v>9101340</v>
          </cell>
          <cell r="B1006" t="str">
            <v>장　현　철</v>
          </cell>
          <cell r="C1006" t="str">
            <v>9101340장　현　철</v>
          </cell>
          <cell r="D1006" t="str">
            <v>CD30</v>
          </cell>
          <cell r="E1006" t="str">
            <v>수하물2담당</v>
          </cell>
          <cell r="F1006" t="str">
            <v>2230</v>
          </cell>
          <cell r="G1006" t="str">
            <v>2220</v>
          </cell>
          <cell r="H1006" t="str">
            <v>19910411</v>
          </cell>
          <cell r="I1006">
            <v>11591758</v>
          </cell>
        </row>
        <row r="1007">
          <cell r="A1007" t="str">
            <v>8400723</v>
          </cell>
          <cell r="B1007" t="str">
            <v>전　상　철</v>
          </cell>
          <cell r="C1007" t="str">
            <v>8400723전　상　철</v>
          </cell>
          <cell r="D1007" t="str">
            <v>CD30</v>
          </cell>
          <cell r="E1007" t="str">
            <v>수하물2담당</v>
          </cell>
          <cell r="F1007" t="str">
            <v>2230</v>
          </cell>
          <cell r="G1007" t="str">
            <v>2230</v>
          </cell>
          <cell r="H1007" t="str">
            <v>19840813</v>
          </cell>
          <cell r="I1007">
            <v>25092485</v>
          </cell>
        </row>
        <row r="1008">
          <cell r="A1008" t="str">
            <v>9306538</v>
          </cell>
          <cell r="B1008" t="str">
            <v>전　지　환</v>
          </cell>
          <cell r="C1008" t="str">
            <v>9306538전　지　환</v>
          </cell>
          <cell r="D1008" t="str">
            <v>CD30</v>
          </cell>
          <cell r="E1008" t="str">
            <v>수하물2담당</v>
          </cell>
          <cell r="F1008" t="str">
            <v>2230</v>
          </cell>
          <cell r="G1008" t="str">
            <v>2230</v>
          </cell>
          <cell r="H1008" t="str">
            <v>19931018</v>
          </cell>
          <cell r="I1008">
            <v>7368912</v>
          </cell>
        </row>
        <row r="1009">
          <cell r="A1009" t="str">
            <v>9502514</v>
          </cell>
          <cell r="B1009" t="str">
            <v>전　형　옥</v>
          </cell>
          <cell r="C1009" t="str">
            <v>9502514전　형　옥</v>
          </cell>
          <cell r="D1009" t="str">
            <v>CD30</v>
          </cell>
          <cell r="E1009" t="str">
            <v>수하물2담당</v>
          </cell>
          <cell r="F1009" t="str">
            <v>2230</v>
          </cell>
          <cell r="G1009" t="str">
            <v>2230</v>
          </cell>
          <cell r="H1009" t="str">
            <v>19951005</v>
          </cell>
          <cell r="I1009">
            <v>4543574</v>
          </cell>
        </row>
        <row r="1010">
          <cell r="A1010" t="str">
            <v>8200091</v>
          </cell>
          <cell r="B1010" t="str">
            <v>정　구　군</v>
          </cell>
          <cell r="C1010" t="str">
            <v>8200091정　구　군</v>
          </cell>
          <cell r="D1010" t="str">
            <v>CD30</v>
          </cell>
          <cell r="E1010" t="str">
            <v>수하물2담당</v>
          </cell>
          <cell r="F1010" t="str">
            <v>2230</v>
          </cell>
          <cell r="G1010" t="str">
            <v>2230</v>
          </cell>
          <cell r="H1010" t="str">
            <v>19820201</v>
          </cell>
          <cell r="I1010">
            <v>30663009</v>
          </cell>
        </row>
        <row r="1011">
          <cell r="A1011" t="str">
            <v>9502470</v>
          </cell>
          <cell r="B1011" t="str">
            <v>정　승　우</v>
          </cell>
          <cell r="C1011" t="str">
            <v>9502470정　승　우</v>
          </cell>
          <cell r="D1011" t="str">
            <v>CD30</v>
          </cell>
          <cell r="E1011" t="str">
            <v>수하물2담당</v>
          </cell>
          <cell r="F1011" t="str">
            <v>2230</v>
          </cell>
          <cell r="G1011" t="str">
            <v>2230</v>
          </cell>
          <cell r="H1011" t="str">
            <v>19951005</v>
          </cell>
          <cell r="I1011">
            <v>4544282</v>
          </cell>
        </row>
        <row r="1012">
          <cell r="A1012" t="str">
            <v>9701324</v>
          </cell>
          <cell r="B1012" t="str">
            <v>정　현　재</v>
          </cell>
          <cell r="C1012" t="str">
            <v>9701324정　현　재</v>
          </cell>
          <cell r="D1012" t="str">
            <v>CD30</v>
          </cell>
          <cell r="E1012" t="str">
            <v>수하물2담당</v>
          </cell>
          <cell r="F1012" t="str">
            <v>2230</v>
          </cell>
          <cell r="G1012" t="str">
            <v>2230</v>
          </cell>
          <cell r="H1012" t="str">
            <v>19970601</v>
          </cell>
          <cell r="I1012">
            <v>2682207</v>
          </cell>
        </row>
        <row r="1013">
          <cell r="A1013" t="str">
            <v>9405314</v>
          </cell>
          <cell r="B1013" t="str">
            <v>정　흥　식</v>
          </cell>
          <cell r="C1013" t="str">
            <v>9405314정　흥　식</v>
          </cell>
          <cell r="D1013" t="str">
            <v>CD30</v>
          </cell>
          <cell r="E1013" t="str">
            <v>수하물2담당</v>
          </cell>
          <cell r="F1013" t="str">
            <v>2230</v>
          </cell>
          <cell r="G1013" t="str">
            <v>2230</v>
          </cell>
          <cell r="H1013" t="str">
            <v>19940816</v>
          </cell>
          <cell r="I1013">
            <v>5875465</v>
          </cell>
        </row>
        <row r="1014">
          <cell r="A1014" t="str">
            <v>9204063</v>
          </cell>
          <cell r="B1014" t="str">
            <v>조　성　태</v>
          </cell>
          <cell r="C1014" t="str">
            <v>9204063조　성　태</v>
          </cell>
          <cell r="D1014" t="str">
            <v>CD30</v>
          </cell>
          <cell r="E1014" t="str">
            <v>수하물2담당</v>
          </cell>
          <cell r="F1014" t="str">
            <v>2230</v>
          </cell>
          <cell r="G1014" t="str">
            <v>2230</v>
          </cell>
          <cell r="H1014" t="str">
            <v>19920722</v>
          </cell>
          <cell r="I1014">
            <v>9196427</v>
          </cell>
        </row>
        <row r="1015">
          <cell r="A1015" t="str">
            <v>9250975</v>
          </cell>
          <cell r="B1015" t="str">
            <v>조　소　연</v>
          </cell>
          <cell r="C1015" t="str">
            <v>9250975조　소　연</v>
          </cell>
          <cell r="D1015" t="str">
            <v>CD30</v>
          </cell>
          <cell r="E1015" t="str">
            <v>수하물2담당</v>
          </cell>
          <cell r="F1015" t="str">
            <v>2230</v>
          </cell>
          <cell r="G1015" t="e">
            <v>#N/A</v>
          </cell>
          <cell r="H1015" t="str">
            <v>19920501</v>
          </cell>
          <cell r="I1015">
            <v>8052842</v>
          </cell>
          <cell r="J1015" t="str">
            <v>12 월</v>
          </cell>
          <cell r="K1015">
            <v>11274574</v>
          </cell>
        </row>
        <row r="1016">
          <cell r="A1016" t="str">
            <v>9101204</v>
          </cell>
          <cell r="B1016" t="str">
            <v>조　원　일</v>
          </cell>
          <cell r="C1016" t="str">
            <v>9101204조　원　일</v>
          </cell>
          <cell r="D1016" t="str">
            <v>CD30</v>
          </cell>
          <cell r="E1016" t="str">
            <v>수하물2담당</v>
          </cell>
          <cell r="F1016" t="str">
            <v>2230</v>
          </cell>
          <cell r="G1016" t="str">
            <v>2230</v>
          </cell>
          <cell r="H1016" t="str">
            <v>19910411</v>
          </cell>
          <cell r="I1016">
            <v>10845685</v>
          </cell>
        </row>
        <row r="1017">
          <cell r="A1017" t="str">
            <v>9500635</v>
          </cell>
          <cell r="B1017" t="str">
            <v>지　성　우</v>
          </cell>
          <cell r="C1017" t="str">
            <v>9500635지　성　우</v>
          </cell>
          <cell r="D1017" t="str">
            <v>CD30</v>
          </cell>
          <cell r="E1017" t="str">
            <v>수하물2담당</v>
          </cell>
          <cell r="F1017" t="str">
            <v>2230</v>
          </cell>
          <cell r="G1017" t="str">
            <v>1120</v>
          </cell>
          <cell r="H1017" t="str">
            <v>19950401</v>
          </cell>
          <cell r="I1017">
            <v>6299443</v>
          </cell>
        </row>
        <row r="1018">
          <cell r="A1018" t="str">
            <v>8701740</v>
          </cell>
          <cell r="B1018" t="str">
            <v>진　일　국</v>
          </cell>
          <cell r="C1018" t="str">
            <v>8701740진　일　국</v>
          </cell>
          <cell r="D1018" t="str">
            <v>CD30</v>
          </cell>
          <cell r="E1018" t="str">
            <v>수하물2담당</v>
          </cell>
          <cell r="F1018" t="str">
            <v>2230</v>
          </cell>
          <cell r="G1018" t="str">
            <v>2230</v>
          </cell>
          <cell r="H1018" t="str">
            <v>19870810</v>
          </cell>
          <cell r="I1018">
            <v>18839640</v>
          </cell>
        </row>
        <row r="1019">
          <cell r="A1019" t="str">
            <v>9000854</v>
          </cell>
          <cell r="B1019" t="str">
            <v>차　만　희</v>
          </cell>
          <cell r="C1019" t="str">
            <v>9000854차　만　희</v>
          </cell>
          <cell r="D1019" t="str">
            <v>CD30</v>
          </cell>
          <cell r="E1019" t="str">
            <v>수하물2담당</v>
          </cell>
          <cell r="F1019" t="str">
            <v>2230</v>
          </cell>
          <cell r="G1019" t="str">
            <v>2230</v>
          </cell>
          <cell r="H1019" t="str">
            <v>19890826</v>
          </cell>
          <cell r="I1019">
            <v>13192698</v>
          </cell>
        </row>
        <row r="1020">
          <cell r="A1020" t="str">
            <v>9002801</v>
          </cell>
          <cell r="B1020" t="str">
            <v>최　광　열</v>
          </cell>
          <cell r="C1020" t="str">
            <v>9002801최　광　열</v>
          </cell>
          <cell r="D1020" t="str">
            <v>CD30</v>
          </cell>
          <cell r="E1020" t="str">
            <v>수하물2담당</v>
          </cell>
          <cell r="F1020" t="str">
            <v>2230</v>
          </cell>
          <cell r="G1020" t="str">
            <v>2230</v>
          </cell>
          <cell r="H1020" t="str">
            <v>19900302</v>
          </cell>
          <cell r="I1020">
            <v>12487690</v>
          </cell>
        </row>
        <row r="1021">
          <cell r="A1021" t="str">
            <v>9307732</v>
          </cell>
          <cell r="B1021" t="str">
            <v>최　윤　규</v>
          </cell>
          <cell r="C1021" t="str">
            <v>9307732최　윤　규</v>
          </cell>
          <cell r="D1021" t="str">
            <v>CD30</v>
          </cell>
          <cell r="E1021" t="str">
            <v>수하물2담당</v>
          </cell>
          <cell r="F1021" t="str">
            <v>2230</v>
          </cell>
          <cell r="G1021" t="str">
            <v>2230</v>
          </cell>
          <cell r="H1021" t="str">
            <v>19931201</v>
          </cell>
          <cell r="I1021">
            <v>6744095</v>
          </cell>
        </row>
        <row r="1022">
          <cell r="A1022" t="str">
            <v>9204131</v>
          </cell>
          <cell r="B1022" t="str">
            <v>추　수　엽</v>
          </cell>
          <cell r="C1022" t="str">
            <v>9204131추　수　엽</v>
          </cell>
          <cell r="D1022" t="str">
            <v>CD30</v>
          </cell>
          <cell r="E1022" t="str">
            <v>수하물2담당</v>
          </cell>
          <cell r="F1022" t="str">
            <v>2230</v>
          </cell>
          <cell r="G1022" t="str">
            <v>2230</v>
          </cell>
          <cell r="H1022" t="str">
            <v>19920722</v>
          </cell>
          <cell r="I1022">
            <v>8430056</v>
          </cell>
        </row>
        <row r="1023">
          <cell r="A1023" t="str">
            <v>9502830</v>
          </cell>
          <cell r="B1023" t="str">
            <v>한　정　기</v>
          </cell>
          <cell r="C1023" t="str">
            <v>9502830한　정　기</v>
          </cell>
          <cell r="D1023" t="str">
            <v>CD30</v>
          </cell>
          <cell r="E1023" t="str">
            <v>수하물2담당</v>
          </cell>
          <cell r="F1023" t="str">
            <v>2230</v>
          </cell>
          <cell r="G1023" t="str">
            <v>2220</v>
          </cell>
          <cell r="H1023" t="str">
            <v>19951023</v>
          </cell>
          <cell r="I1023">
            <v>4937822</v>
          </cell>
        </row>
        <row r="1024">
          <cell r="A1024" t="str">
            <v>9307438</v>
          </cell>
          <cell r="B1024" t="str">
            <v>허　광　무</v>
          </cell>
          <cell r="C1024" t="str">
            <v>9307438허　광　무</v>
          </cell>
          <cell r="D1024" t="str">
            <v>CD30</v>
          </cell>
          <cell r="E1024" t="str">
            <v>수하물2담당</v>
          </cell>
          <cell r="F1024" t="str">
            <v>2230</v>
          </cell>
          <cell r="G1024" t="str">
            <v>2230</v>
          </cell>
          <cell r="H1024" t="str">
            <v>19931116</v>
          </cell>
          <cell r="I1024">
            <v>6741148</v>
          </cell>
        </row>
        <row r="1025">
          <cell r="A1025" t="str">
            <v>7800434</v>
          </cell>
          <cell r="B1025" t="str">
            <v>황　원　호</v>
          </cell>
          <cell r="C1025" t="str">
            <v>7800434황　원　호</v>
          </cell>
          <cell r="D1025" t="str">
            <v>CD30</v>
          </cell>
          <cell r="E1025" t="str">
            <v>수하물2담당</v>
          </cell>
          <cell r="F1025" t="str">
            <v>2230</v>
          </cell>
          <cell r="G1025" t="str">
            <v>2230</v>
          </cell>
          <cell r="H1025" t="str">
            <v>19980101</v>
          </cell>
          <cell r="I1025">
            <v>3670420</v>
          </cell>
        </row>
        <row r="1026">
          <cell r="A1026" t="str">
            <v>9501041</v>
          </cell>
          <cell r="B1026" t="str">
            <v>김　성　원</v>
          </cell>
          <cell r="C1026" t="str">
            <v>9501041김　성　원</v>
          </cell>
          <cell r="D1026" t="str">
            <v>CG30</v>
          </cell>
          <cell r="E1026" t="str">
            <v>수하물2담당</v>
          </cell>
          <cell r="F1026" t="str">
            <v>2230</v>
          </cell>
          <cell r="G1026" t="str">
            <v>2230</v>
          </cell>
          <cell r="H1026" t="str">
            <v>19950516</v>
          </cell>
          <cell r="I1026">
            <v>5211918</v>
          </cell>
        </row>
        <row r="1027">
          <cell r="A1027" t="str">
            <v>8400126</v>
          </cell>
          <cell r="B1027" t="str">
            <v>박　동　준</v>
          </cell>
          <cell r="C1027" t="str">
            <v>8400126박　동　준</v>
          </cell>
          <cell r="D1027" t="str">
            <v>CA30</v>
          </cell>
          <cell r="E1027" t="str">
            <v>국내  담당</v>
          </cell>
          <cell r="F1027" t="str">
            <v>2320</v>
          </cell>
          <cell r="G1027" t="str">
            <v>2320</v>
          </cell>
          <cell r="H1027" t="str">
            <v>19840401</v>
          </cell>
          <cell r="I1027">
            <v>39135636</v>
          </cell>
        </row>
        <row r="1028">
          <cell r="A1028" t="str">
            <v>8300790</v>
          </cell>
          <cell r="B1028" t="str">
            <v>서　경　현</v>
          </cell>
          <cell r="C1028" t="str">
            <v>8300790서　경　현</v>
          </cell>
          <cell r="D1028" t="str">
            <v>CE10</v>
          </cell>
          <cell r="E1028" t="str">
            <v>국내  담당</v>
          </cell>
          <cell r="F1028" t="str">
            <v>2320</v>
          </cell>
          <cell r="G1028" t="str">
            <v>2320</v>
          </cell>
          <cell r="H1028" t="str">
            <v>19831101</v>
          </cell>
          <cell r="I1028">
            <v>33116736</v>
          </cell>
        </row>
        <row r="1029">
          <cell r="A1029" t="str">
            <v>7700332</v>
          </cell>
          <cell r="B1029" t="str">
            <v>신　현　국</v>
          </cell>
          <cell r="C1029" t="str">
            <v>7700332신　현　국</v>
          </cell>
          <cell r="D1029" t="str">
            <v>CE10</v>
          </cell>
          <cell r="E1029" t="str">
            <v>국내  담당</v>
          </cell>
          <cell r="F1029" t="str">
            <v>2320</v>
          </cell>
          <cell r="G1029" t="str">
            <v>2654</v>
          </cell>
          <cell r="H1029" t="str">
            <v>19770610</v>
          </cell>
          <cell r="I1029">
            <v>64324204</v>
          </cell>
        </row>
        <row r="1030">
          <cell r="A1030" t="str">
            <v>8000425</v>
          </cell>
          <cell r="B1030" t="str">
            <v>강　명　구</v>
          </cell>
          <cell r="C1030" t="str">
            <v>8000425강　명　구</v>
          </cell>
          <cell r="D1030" t="str">
            <v>CE20</v>
          </cell>
          <cell r="E1030" t="str">
            <v>국내  담당</v>
          </cell>
          <cell r="F1030" t="str">
            <v>2320</v>
          </cell>
          <cell r="G1030" t="str">
            <v>2320</v>
          </cell>
          <cell r="H1030" t="str">
            <v>19801101</v>
          </cell>
          <cell r="I1030">
            <v>40600460</v>
          </cell>
        </row>
        <row r="1031">
          <cell r="A1031" t="str">
            <v>8502120</v>
          </cell>
          <cell r="B1031" t="str">
            <v>강　신　철</v>
          </cell>
          <cell r="C1031" t="str">
            <v>8502120강　신　철</v>
          </cell>
          <cell r="D1031" t="str">
            <v>CE20</v>
          </cell>
          <cell r="E1031" t="str">
            <v>국내  담당</v>
          </cell>
          <cell r="F1031" t="str">
            <v>2320</v>
          </cell>
          <cell r="G1031" t="str">
            <v>6311</v>
          </cell>
          <cell r="H1031" t="str">
            <v>19970627</v>
          </cell>
          <cell r="I1031">
            <v>5379793</v>
          </cell>
        </row>
        <row r="1032">
          <cell r="A1032" t="str">
            <v>9303761</v>
          </cell>
          <cell r="B1032" t="str">
            <v>견　병　철</v>
          </cell>
          <cell r="C1032" t="str">
            <v>9303761견　병　철</v>
          </cell>
          <cell r="D1032" t="str">
            <v>CE20</v>
          </cell>
          <cell r="E1032" t="str">
            <v>국내  담당</v>
          </cell>
          <cell r="F1032" t="str">
            <v>2320</v>
          </cell>
          <cell r="G1032" t="str">
            <v>2320</v>
          </cell>
          <cell r="H1032" t="str">
            <v>19930701</v>
          </cell>
          <cell r="I1032">
            <v>8132642</v>
          </cell>
        </row>
        <row r="1033">
          <cell r="A1033" t="str">
            <v>9303952</v>
          </cell>
          <cell r="B1033" t="str">
            <v>고　금　만</v>
          </cell>
          <cell r="C1033" t="str">
            <v>9303952고　금　만</v>
          </cell>
          <cell r="D1033" t="str">
            <v>CE20</v>
          </cell>
          <cell r="E1033" t="str">
            <v>국내  담당</v>
          </cell>
          <cell r="F1033" t="str">
            <v>2320</v>
          </cell>
          <cell r="G1033" t="str">
            <v>2320</v>
          </cell>
          <cell r="H1033" t="str">
            <v>19930701</v>
          </cell>
          <cell r="I1033">
            <v>7431773</v>
          </cell>
        </row>
        <row r="1034">
          <cell r="A1034" t="str">
            <v>8600793</v>
          </cell>
          <cell r="B1034" t="str">
            <v>고　연　수</v>
          </cell>
          <cell r="C1034" t="str">
            <v>8600793고　연　수</v>
          </cell>
          <cell r="D1034" t="str">
            <v>CE20</v>
          </cell>
          <cell r="E1034" t="str">
            <v>국내  담당</v>
          </cell>
          <cell r="F1034" t="str">
            <v>2320</v>
          </cell>
          <cell r="G1034" t="str">
            <v>2320</v>
          </cell>
          <cell r="H1034" t="str">
            <v>19860501</v>
          </cell>
          <cell r="I1034">
            <v>22410063</v>
          </cell>
        </row>
        <row r="1035">
          <cell r="A1035" t="str">
            <v>8400464</v>
          </cell>
          <cell r="B1035" t="str">
            <v>권　혁　길</v>
          </cell>
          <cell r="C1035" t="str">
            <v>8400464권　혁　길</v>
          </cell>
          <cell r="D1035" t="str">
            <v>CE20</v>
          </cell>
          <cell r="E1035" t="str">
            <v>국내  담당</v>
          </cell>
          <cell r="F1035" t="str">
            <v>2320</v>
          </cell>
          <cell r="G1035" t="str">
            <v>2320</v>
          </cell>
          <cell r="H1035" t="str">
            <v>19840517</v>
          </cell>
          <cell r="I1035">
            <v>25022276</v>
          </cell>
        </row>
        <row r="1036">
          <cell r="A1036" t="str">
            <v>9403266</v>
          </cell>
          <cell r="B1036" t="str">
            <v>김　경　석</v>
          </cell>
          <cell r="C1036" t="str">
            <v>9403266김　경　석</v>
          </cell>
          <cell r="D1036" t="str">
            <v>CE20</v>
          </cell>
          <cell r="E1036" t="str">
            <v>국내  담당</v>
          </cell>
          <cell r="F1036" t="str">
            <v>2320</v>
          </cell>
          <cell r="G1036" t="e">
            <v>#N/A</v>
          </cell>
          <cell r="H1036" t="str">
            <v>19940519</v>
          </cell>
          <cell r="I1036">
            <v>6258816</v>
          </cell>
          <cell r="J1036" t="str">
            <v>11 월</v>
          </cell>
          <cell r="K1036">
            <v>8822826</v>
          </cell>
        </row>
        <row r="1037">
          <cell r="A1037" t="str">
            <v>9103724</v>
          </cell>
          <cell r="B1037" t="str">
            <v>김　경　태</v>
          </cell>
          <cell r="C1037" t="str">
            <v>9103724김　경　태</v>
          </cell>
          <cell r="D1037" t="str">
            <v>CE20</v>
          </cell>
          <cell r="E1037" t="str">
            <v>국내  담당</v>
          </cell>
          <cell r="F1037" t="str">
            <v>2320</v>
          </cell>
          <cell r="G1037" t="str">
            <v>2320</v>
          </cell>
          <cell r="H1037" t="str">
            <v>19910910</v>
          </cell>
          <cell r="I1037">
            <v>12415647</v>
          </cell>
        </row>
        <row r="1038">
          <cell r="A1038" t="str">
            <v>9501704</v>
          </cell>
          <cell r="B1038" t="str">
            <v>김　기　출</v>
          </cell>
          <cell r="C1038" t="str">
            <v>9501704김　기　출</v>
          </cell>
          <cell r="D1038" t="str">
            <v>CE20</v>
          </cell>
          <cell r="E1038" t="str">
            <v>국내  담당</v>
          </cell>
          <cell r="F1038" t="str">
            <v>2320</v>
          </cell>
          <cell r="G1038" t="str">
            <v>2320</v>
          </cell>
          <cell r="H1038" t="str">
            <v>19950720</v>
          </cell>
          <cell r="I1038">
            <v>5260127</v>
          </cell>
        </row>
        <row r="1039">
          <cell r="A1039" t="str">
            <v>9304604</v>
          </cell>
          <cell r="B1039" t="str">
            <v>김　대　용</v>
          </cell>
          <cell r="C1039" t="str">
            <v>9304604김　대　용</v>
          </cell>
          <cell r="D1039" t="str">
            <v>CE20</v>
          </cell>
          <cell r="E1039" t="str">
            <v>국내  담당</v>
          </cell>
          <cell r="F1039" t="str">
            <v>2320</v>
          </cell>
          <cell r="G1039" t="str">
            <v>2320</v>
          </cell>
          <cell r="H1039" t="str">
            <v>19930801</v>
          </cell>
          <cell r="I1039">
            <v>8700396</v>
          </cell>
        </row>
        <row r="1040">
          <cell r="A1040" t="str">
            <v>8602874</v>
          </cell>
          <cell r="B1040" t="str">
            <v>김　동　희</v>
          </cell>
          <cell r="C1040" t="str">
            <v>8602874김　동　희</v>
          </cell>
          <cell r="D1040" t="str">
            <v>CE20</v>
          </cell>
          <cell r="E1040" t="str">
            <v>국내  담당</v>
          </cell>
          <cell r="F1040" t="str">
            <v>2320</v>
          </cell>
          <cell r="G1040" t="str">
            <v>2320</v>
          </cell>
          <cell r="H1040" t="str">
            <v>19860820</v>
          </cell>
          <cell r="I1040">
            <v>21174783</v>
          </cell>
        </row>
        <row r="1041">
          <cell r="A1041" t="str">
            <v>9204186</v>
          </cell>
          <cell r="B1041" t="str">
            <v>김　명　섭</v>
          </cell>
          <cell r="C1041" t="str">
            <v>9204186김　명　섭</v>
          </cell>
          <cell r="D1041" t="str">
            <v>CE20</v>
          </cell>
          <cell r="E1041" t="str">
            <v>국내  담당</v>
          </cell>
          <cell r="F1041" t="str">
            <v>2320</v>
          </cell>
          <cell r="G1041" t="str">
            <v>2320</v>
          </cell>
          <cell r="H1041" t="str">
            <v>19920722</v>
          </cell>
          <cell r="I1041">
            <v>9664685</v>
          </cell>
        </row>
        <row r="1042">
          <cell r="A1042" t="str">
            <v>9105118</v>
          </cell>
          <cell r="B1042" t="str">
            <v>김　상　기</v>
          </cell>
          <cell r="C1042" t="str">
            <v>9105118김　상　기</v>
          </cell>
          <cell r="D1042" t="str">
            <v>CE20</v>
          </cell>
          <cell r="E1042" t="str">
            <v>국내  담당</v>
          </cell>
          <cell r="F1042" t="str">
            <v>2320</v>
          </cell>
          <cell r="G1042" t="str">
            <v>2320</v>
          </cell>
          <cell r="H1042" t="str">
            <v>19911116</v>
          </cell>
          <cell r="I1042">
            <v>12211232</v>
          </cell>
        </row>
        <row r="1043">
          <cell r="A1043" t="str">
            <v>9307675</v>
          </cell>
          <cell r="B1043" t="str">
            <v>김　상　덕</v>
          </cell>
          <cell r="C1043" t="str">
            <v>9307675김　상　덕</v>
          </cell>
          <cell r="D1043" t="str">
            <v>CE20</v>
          </cell>
          <cell r="E1043" t="str">
            <v>국내  담당</v>
          </cell>
          <cell r="F1043" t="str">
            <v>2320</v>
          </cell>
          <cell r="G1043" t="str">
            <v>2653</v>
          </cell>
          <cell r="H1043" t="str">
            <v>19931201</v>
          </cell>
          <cell r="I1043">
            <v>6744095</v>
          </cell>
        </row>
        <row r="1044">
          <cell r="A1044" t="str">
            <v>8702245</v>
          </cell>
          <cell r="B1044" t="str">
            <v>김　선　식</v>
          </cell>
          <cell r="C1044" t="str">
            <v>8702245김　선　식</v>
          </cell>
          <cell r="D1044" t="str">
            <v>CE20</v>
          </cell>
          <cell r="E1044" t="str">
            <v>국내  담당</v>
          </cell>
          <cell r="F1044" t="str">
            <v>2320</v>
          </cell>
          <cell r="G1044" t="str">
            <v>2320</v>
          </cell>
          <cell r="H1044" t="str">
            <v>19871020</v>
          </cell>
          <cell r="I1044">
            <v>19720311</v>
          </cell>
          <cell r="J1044" t="str">
            <v>2 월</v>
          </cell>
          <cell r="K1044">
            <v>20361865</v>
          </cell>
        </row>
        <row r="1045">
          <cell r="A1045" t="str">
            <v>9400072</v>
          </cell>
          <cell r="B1045" t="str">
            <v>김　성　호</v>
          </cell>
          <cell r="C1045" t="str">
            <v>9400072김　성　호</v>
          </cell>
          <cell r="D1045" t="str">
            <v>CE20</v>
          </cell>
          <cell r="E1045" t="str">
            <v>국내  담당</v>
          </cell>
          <cell r="F1045" t="str">
            <v>2320</v>
          </cell>
          <cell r="G1045" t="str">
            <v>2320</v>
          </cell>
          <cell r="H1045" t="str">
            <v>19940105</v>
          </cell>
          <cell r="I1045">
            <v>6547594</v>
          </cell>
        </row>
        <row r="1046">
          <cell r="A1046" t="str">
            <v>8701481</v>
          </cell>
          <cell r="B1046" t="str">
            <v>김　송　연</v>
          </cell>
          <cell r="C1046" t="str">
            <v>8701481김　송　연</v>
          </cell>
          <cell r="D1046" t="str">
            <v>CE20</v>
          </cell>
          <cell r="E1046" t="str">
            <v>국내  담당</v>
          </cell>
          <cell r="F1046" t="str">
            <v>2320</v>
          </cell>
          <cell r="G1046" t="str">
            <v>2320</v>
          </cell>
          <cell r="H1046" t="str">
            <v>19870801</v>
          </cell>
          <cell r="I1046">
            <v>17985911</v>
          </cell>
        </row>
        <row r="1047">
          <cell r="A1047" t="str">
            <v>9102093</v>
          </cell>
          <cell r="B1047" t="str">
            <v>김　승　범</v>
          </cell>
          <cell r="C1047" t="str">
            <v>9102093김　승　범</v>
          </cell>
          <cell r="D1047" t="str">
            <v>CE20</v>
          </cell>
          <cell r="E1047" t="str">
            <v>국내  담당</v>
          </cell>
          <cell r="F1047" t="str">
            <v>2320</v>
          </cell>
          <cell r="G1047" t="str">
            <v>2320</v>
          </cell>
          <cell r="H1047" t="str">
            <v>19910621</v>
          </cell>
          <cell r="I1047">
            <v>12010543</v>
          </cell>
        </row>
        <row r="1048">
          <cell r="A1048" t="str">
            <v>9300148</v>
          </cell>
          <cell r="B1048" t="str">
            <v>김　영　빈</v>
          </cell>
          <cell r="C1048" t="str">
            <v>9300148김　영　빈</v>
          </cell>
          <cell r="D1048" t="str">
            <v>CE20</v>
          </cell>
          <cell r="E1048" t="str">
            <v>국내  담당</v>
          </cell>
          <cell r="F1048" t="str">
            <v>2320</v>
          </cell>
          <cell r="G1048" t="str">
            <v>2320</v>
          </cell>
          <cell r="H1048" t="str">
            <v>19930105</v>
          </cell>
          <cell r="I1048">
            <v>8465426</v>
          </cell>
        </row>
        <row r="1049">
          <cell r="A1049" t="str">
            <v>9502042</v>
          </cell>
          <cell r="B1049" t="str">
            <v>김　영　섭</v>
          </cell>
          <cell r="C1049" t="str">
            <v>9502042김　영　섭</v>
          </cell>
          <cell r="D1049" t="str">
            <v>CE20</v>
          </cell>
          <cell r="E1049" t="str">
            <v>국내  담당</v>
          </cell>
          <cell r="F1049" t="str">
            <v>2320</v>
          </cell>
          <cell r="G1049" t="e">
            <v>#N/A</v>
          </cell>
          <cell r="H1049" t="str">
            <v>19950816</v>
          </cell>
          <cell r="I1049">
            <v>4772926</v>
          </cell>
          <cell r="J1049" t="str">
            <v>8 월</v>
          </cell>
          <cell r="K1049">
            <v>6157926</v>
          </cell>
        </row>
        <row r="1050">
          <cell r="A1050" t="str">
            <v>8902271</v>
          </cell>
          <cell r="B1050" t="str">
            <v>김　영　호</v>
          </cell>
          <cell r="C1050" t="str">
            <v>8902271김　영　호</v>
          </cell>
          <cell r="D1050" t="str">
            <v>CE20</v>
          </cell>
          <cell r="E1050" t="str">
            <v>국내  담당</v>
          </cell>
          <cell r="F1050" t="str">
            <v>2320</v>
          </cell>
          <cell r="G1050" t="str">
            <v>2320</v>
          </cell>
          <cell r="H1050" t="str">
            <v>19881128</v>
          </cell>
          <cell r="I1050">
            <v>14529964</v>
          </cell>
        </row>
        <row r="1051">
          <cell r="A1051" t="str">
            <v>9104556</v>
          </cell>
          <cell r="B1051" t="str">
            <v>김　요　한</v>
          </cell>
          <cell r="C1051" t="str">
            <v>9104556김　요　한</v>
          </cell>
          <cell r="D1051" t="str">
            <v>CE20</v>
          </cell>
          <cell r="E1051" t="str">
            <v>국내  담당</v>
          </cell>
          <cell r="F1051" t="str">
            <v>2320</v>
          </cell>
          <cell r="G1051" t="str">
            <v>2520</v>
          </cell>
          <cell r="H1051" t="str">
            <v>19911001</v>
          </cell>
          <cell r="I1051">
            <v>8920172</v>
          </cell>
        </row>
        <row r="1052">
          <cell r="A1052" t="str">
            <v>9206818</v>
          </cell>
          <cell r="B1052" t="str">
            <v>김　용　남</v>
          </cell>
          <cell r="C1052" t="str">
            <v>9206818김　용　남</v>
          </cell>
          <cell r="D1052" t="str">
            <v>CE20</v>
          </cell>
          <cell r="E1052" t="str">
            <v>국내  담당</v>
          </cell>
          <cell r="F1052" t="str">
            <v>2320</v>
          </cell>
          <cell r="G1052" t="str">
            <v>2654</v>
          </cell>
          <cell r="H1052" t="str">
            <v>19921101</v>
          </cell>
          <cell r="I1052">
            <v>8322264</v>
          </cell>
        </row>
        <row r="1053">
          <cell r="A1053" t="str">
            <v>9200687</v>
          </cell>
          <cell r="B1053" t="str">
            <v>김　용　성</v>
          </cell>
          <cell r="C1053" t="str">
            <v>9200687김　용　성</v>
          </cell>
          <cell r="D1053" t="str">
            <v>CE20</v>
          </cell>
          <cell r="E1053" t="str">
            <v>국내  담당</v>
          </cell>
          <cell r="F1053" t="str">
            <v>2320</v>
          </cell>
          <cell r="G1053" t="str">
            <v>2320</v>
          </cell>
          <cell r="H1053" t="str">
            <v>19920210</v>
          </cell>
          <cell r="I1053">
            <v>9048016</v>
          </cell>
        </row>
        <row r="1054">
          <cell r="A1054" t="str">
            <v>8500882</v>
          </cell>
          <cell r="B1054" t="str">
            <v>김　우　섭</v>
          </cell>
          <cell r="C1054" t="str">
            <v>8500882김　우　섭</v>
          </cell>
          <cell r="D1054" t="str">
            <v>CE20</v>
          </cell>
          <cell r="E1054" t="str">
            <v>국내  담당</v>
          </cell>
          <cell r="F1054" t="str">
            <v>2320</v>
          </cell>
          <cell r="G1054" t="str">
            <v>2320</v>
          </cell>
          <cell r="H1054" t="str">
            <v>19850325</v>
          </cell>
          <cell r="I1054">
            <v>36043903</v>
          </cell>
        </row>
        <row r="1055">
          <cell r="A1055" t="str">
            <v>9701368</v>
          </cell>
          <cell r="B1055" t="str">
            <v>김　유　신</v>
          </cell>
          <cell r="C1055" t="str">
            <v>9701368김　유　신</v>
          </cell>
          <cell r="D1055" t="str">
            <v>CE20</v>
          </cell>
          <cell r="E1055" t="str">
            <v>국내  담당</v>
          </cell>
          <cell r="F1055" t="str">
            <v>2320</v>
          </cell>
          <cell r="G1055" t="e">
            <v>#N/A</v>
          </cell>
          <cell r="H1055" t="str">
            <v>19970601</v>
          </cell>
          <cell r="I1055">
            <v>2910146</v>
          </cell>
          <cell r="J1055" t="str">
            <v>7 월</v>
          </cell>
          <cell r="K1055">
            <v>3562177</v>
          </cell>
        </row>
        <row r="1056">
          <cell r="A1056" t="str">
            <v>9303377</v>
          </cell>
          <cell r="B1056" t="str">
            <v>김　이　섭</v>
          </cell>
          <cell r="C1056" t="str">
            <v>9303377김　이　섭</v>
          </cell>
          <cell r="D1056" t="str">
            <v>CE20</v>
          </cell>
          <cell r="E1056" t="str">
            <v>국내  담당</v>
          </cell>
          <cell r="F1056" t="str">
            <v>2320</v>
          </cell>
          <cell r="G1056" t="str">
            <v>2320</v>
          </cell>
          <cell r="H1056" t="str">
            <v>19930616</v>
          </cell>
          <cell r="I1056">
            <v>8924288</v>
          </cell>
        </row>
        <row r="1057">
          <cell r="A1057" t="str">
            <v>8300417</v>
          </cell>
          <cell r="B1057" t="str">
            <v>김　재　운</v>
          </cell>
          <cell r="C1057" t="str">
            <v>8300417김　재　운</v>
          </cell>
          <cell r="D1057" t="str">
            <v>CE20</v>
          </cell>
          <cell r="E1057" t="str">
            <v>국내  담당</v>
          </cell>
          <cell r="F1057" t="str">
            <v>2320</v>
          </cell>
          <cell r="G1057" t="str">
            <v>2320</v>
          </cell>
          <cell r="H1057" t="str">
            <v>19830615</v>
          </cell>
          <cell r="I1057">
            <v>29045353</v>
          </cell>
        </row>
        <row r="1058">
          <cell r="A1058" t="str">
            <v>7700771</v>
          </cell>
          <cell r="B1058" t="str">
            <v>김　정　근</v>
          </cell>
          <cell r="C1058" t="str">
            <v>7700771김　정　근</v>
          </cell>
          <cell r="D1058" t="str">
            <v>CE20</v>
          </cell>
          <cell r="E1058" t="str">
            <v>국내  담당</v>
          </cell>
          <cell r="F1058" t="str">
            <v>2320</v>
          </cell>
          <cell r="G1058" t="str">
            <v>2320</v>
          </cell>
          <cell r="H1058" t="str">
            <v>19771111</v>
          </cell>
          <cell r="I1058">
            <v>42284922</v>
          </cell>
        </row>
        <row r="1059">
          <cell r="A1059" t="str">
            <v>9301285</v>
          </cell>
          <cell r="B1059" t="str">
            <v>김　정　택</v>
          </cell>
          <cell r="C1059" t="str">
            <v>9301285김　정　택</v>
          </cell>
          <cell r="D1059" t="str">
            <v>CE20</v>
          </cell>
          <cell r="E1059" t="str">
            <v>국내  담당</v>
          </cell>
          <cell r="F1059" t="str">
            <v>2320</v>
          </cell>
          <cell r="G1059" t="str">
            <v>2320</v>
          </cell>
          <cell r="H1059" t="str">
            <v>19930301</v>
          </cell>
          <cell r="I1059">
            <v>9470300</v>
          </cell>
        </row>
        <row r="1060">
          <cell r="A1060" t="str">
            <v>9503730</v>
          </cell>
          <cell r="B1060" t="str">
            <v>김　정　훈</v>
          </cell>
          <cell r="C1060" t="str">
            <v>9503730김　정　훈</v>
          </cell>
          <cell r="D1060" t="str">
            <v>CE20</v>
          </cell>
          <cell r="E1060" t="str">
            <v>국내  담당</v>
          </cell>
          <cell r="F1060" t="str">
            <v>2320</v>
          </cell>
          <cell r="G1060" t="str">
            <v>2320</v>
          </cell>
          <cell r="H1060" t="str">
            <v>19951207</v>
          </cell>
          <cell r="I1060">
            <v>4874858</v>
          </cell>
        </row>
        <row r="1061">
          <cell r="A1061" t="str">
            <v>7700613</v>
          </cell>
          <cell r="B1061" t="str">
            <v>김　종　우</v>
          </cell>
          <cell r="C1061" t="str">
            <v>7700613김　종　우</v>
          </cell>
          <cell r="D1061" t="str">
            <v>CE20</v>
          </cell>
          <cell r="E1061" t="str">
            <v>국내  담당</v>
          </cell>
          <cell r="F1061" t="str">
            <v>2320</v>
          </cell>
          <cell r="G1061" t="str">
            <v>2320</v>
          </cell>
          <cell r="H1061" t="str">
            <v>19771004</v>
          </cell>
          <cell r="I1061">
            <v>43599694</v>
          </cell>
        </row>
        <row r="1062">
          <cell r="A1062" t="str">
            <v>9003025</v>
          </cell>
          <cell r="B1062" t="str">
            <v>김　종　필</v>
          </cell>
          <cell r="C1062" t="str">
            <v>9003025김　종　필</v>
          </cell>
          <cell r="D1062" t="str">
            <v>CE20</v>
          </cell>
          <cell r="E1062" t="str">
            <v>국내  담당</v>
          </cell>
          <cell r="F1062" t="str">
            <v>2320</v>
          </cell>
          <cell r="G1062" t="str">
            <v>2320</v>
          </cell>
          <cell r="H1062" t="str">
            <v>19900317</v>
          </cell>
          <cell r="I1062">
            <v>12968564</v>
          </cell>
        </row>
        <row r="1063">
          <cell r="A1063" t="str">
            <v>9202860</v>
          </cell>
          <cell r="B1063" t="str">
            <v>김　주　일</v>
          </cell>
          <cell r="C1063" t="str">
            <v>9202860김　주　일</v>
          </cell>
          <cell r="D1063" t="str">
            <v>CE20</v>
          </cell>
          <cell r="E1063" t="str">
            <v>국내  담당</v>
          </cell>
          <cell r="F1063" t="str">
            <v>2320</v>
          </cell>
          <cell r="G1063" t="str">
            <v>2320</v>
          </cell>
          <cell r="H1063" t="str">
            <v>19920516</v>
          </cell>
          <cell r="I1063">
            <v>9620472</v>
          </cell>
        </row>
        <row r="1064">
          <cell r="A1064" t="str">
            <v>9503526</v>
          </cell>
          <cell r="B1064" t="str">
            <v>김　진　광</v>
          </cell>
          <cell r="C1064" t="str">
            <v>9503526김　진　광</v>
          </cell>
          <cell r="D1064" t="str">
            <v>CE20</v>
          </cell>
          <cell r="E1064" t="str">
            <v>국내  담당</v>
          </cell>
          <cell r="F1064" t="str">
            <v>2320</v>
          </cell>
          <cell r="G1064" t="str">
            <v>2320</v>
          </cell>
          <cell r="H1064" t="str">
            <v>19951113</v>
          </cell>
          <cell r="I1064">
            <v>5097538</v>
          </cell>
        </row>
        <row r="1065">
          <cell r="A1065" t="str">
            <v>7700106</v>
          </cell>
          <cell r="B1065" t="str">
            <v>김　진　표</v>
          </cell>
          <cell r="C1065" t="str">
            <v>7700106김　진　표</v>
          </cell>
          <cell r="D1065" t="str">
            <v>CE20</v>
          </cell>
          <cell r="E1065" t="str">
            <v>국내  담당</v>
          </cell>
          <cell r="F1065" t="str">
            <v>2320</v>
          </cell>
          <cell r="G1065" t="str">
            <v>2320</v>
          </cell>
          <cell r="H1065" t="str">
            <v>19770314</v>
          </cell>
          <cell r="I1065">
            <v>39634786</v>
          </cell>
        </row>
        <row r="1066">
          <cell r="A1066" t="str">
            <v>9702551</v>
          </cell>
          <cell r="B1066" t="str">
            <v>김　찬　회</v>
          </cell>
          <cell r="C1066" t="str">
            <v>9702551김　찬　회</v>
          </cell>
          <cell r="D1066" t="str">
            <v>CE20</v>
          </cell>
          <cell r="E1066" t="str">
            <v>국내  담당</v>
          </cell>
          <cell r="F1066" t="str">
            <v>2320</v>
          </cell>
          <cell r="G1066" t="str">
            <v>2320</v>
          </cell>
          <cell r="H1066" t="str">
            <v>19971120</v>
          </cell>
          <cell r="I1066">
            <v>2588011</v>
          </cell>
        </row>
        <row r="1067">
          <cell r="A1067" t="str">
            <v>8903114</v>
          </cell>
          <cell r="B1067" t="str">
            <v>김　창　동</v>
          </cell>
          <cell r="C1067" t="str">
            <v>8903114김　창　동</v>
          </cell>
          <cell r="D1067" t="str">
            <v>CE20</v>
          </cell>
          <cell r="E1067" t="str">
            <v>국내  담당</v>
          </cell>
          <cell r="F1067" t="str">
            <v>2320</v>
          </cell>
          <cell r="G1067" t="str">
            <v>2320</v>
          </cell>
          <cell r="H1067" t="str">
            <v>19890317</v>
          </cell>
          <cell r="I1067">
            <v>14289154</v>
          </cell>
        </row>
        <row r="1068">
          <cell r="A1068" t="str">
            <v>8601748</v>
          </cell>
          <cell r="B1068" t="str">
            <v>김　치　태</v>
          </cell>
          <cell r="C1068" t="str">
            <v>8601748김　치　태</v>
          </cell>
          <cell r="D1068" t="str">
            <v>CE20</v>
          </cell>
          <cell r="E1068" t="str">
            <v>국내  담당</v>
          </cell>
          <cell r="F1068" t="str">
            <v>2320</v>
          </cell>
          <cell r="G1068" t="str">
            <v>2320</v>
          </cell>
          <cell r="H1068" t="str">
            <v>19860616</v>
          </cell>
          <cell r="I1068">
            <v>21801636</v>
          </cell>
        </row>
        <row r="1069">
          <cell r="A1069" t="str">
            <v>9005477</v>
          </cell>
          <cell r="B1069" t="str">
            <v>김　태　문</v>
          </cell>
          <cell r="C1069" t="str">
            <v>9005477김　태　문</v>
          </cell>
          <cell r="D1069" t="str">
            <v>CE20</v>
          </cell>
          <cell r="E1069" t="str">
            <v>국내  담당</v>
          </cell>
          <cell r="F1069" t="str">
            <v>2320</v>
          </cell>
          <cell r="G1069" t="str">
            <v>2320</v>
          </cell>
          <cell r="H1069" t="str">
            <v>19901224</v>
          </cell>
          <cell r="I1069">
            <v>11461087</v>
          </cell>
        </row>
        <row r="1070">
          <cell r="A1070" t="str">
            <v>8200236</v>
          </cell>
          <cell r="B1070" t="str">
            <v>김　한　수</v>
          </cell>
          <cell r="C1070" t="str">
            <v>8200236김　한　수</v>
          </cell>
          <cell r="D1070" t="str">
            <v>CE20</v>
          </cell>
          <cell r="E1070" t="str">
            <v>국내  담당</v>
          </cell>
          <cell r="F1070" t="str">
            <v>2320</v>
          </cell>
          <cell r="G1070" t="str">
            <v>2320</v>
          </cell>
          <cell r="H1070" t="str">
            <v>19981201</v>
          </cell>
          <cell r="I1070">
            <v>1769925</v>
          </cell>
        </row>
        <row r="1071">
          <cell r="A1071" t="str">
            <v>9401231</v>
          </cell>
          <cell r="B1071" t="str">
            <v>김　형　익</v>
          </cell>
          <cell r="C1071" t="str">
            <v>9401231김　형　익</v>
          </cell>
          <cell r="D1071" t="str">
            <v>CE20</v>
          </cell>
          <cell r="E1071" t="str">
            <v>국내  담당</v>
          </cell>
          <cell r="F1071" t="str">
            <v>2320</v>
          </cell>
          <cell r="G1071" t="str">
            <v>2320</v>
          </cell>
          <cell r="H1071" t="str">
            <v>19940216</v>
          </cell>
          <cell r="I1071">
            <v>7436245</v>
          </cell>
        </row>
        <row r="1072">
          <cell r="A1072" t="str">
            <v>8800626</v>
          </cell>
          <cell r="B1072" t="str">
            <v>김　형　진</v>
          </cell>
          <cell r="C1072" t="str">
            <v>8800626김　형　진</v>
          </cell>
          <cell r="D1072" t="str">
            <v>CE20</v>
          </cell>
          <cell r="E1072" t="str">
            <v>국내  담당</v>
          </cell>
          <cell r="F1072" t="str">
            <v>2320</v>
          </cell>
          <cell r="G1072" t="str">
            <v>2320</v>
          </cell>
          <cell r="H1072" t="str">
            <v>19880430</v>
          </cell>
          <cell r="I1072">
            <v>17714407</v>
          </cell>
        </row>
        <row r="1073">
          <cell r="A1073" t="str">
            <v>8900616</v>
          </cell>
          <cell r="B1073" t="str">
            <v>김　황　수</v>
          </cell>
          <cell r="C1073" t="str">
            <v>8900616김　황　수</v>
          </cell>
          <cell r="D1073" t="str">
            <v>CE20</v>
          </cell>
          <cell r="E1073" t="str">
            <v>국내  담당</v>
          </cell>
          <cell r="F1073" t="str">
            <v>2320</v>
          </cell>
          <cell r="G1073" t="str">
            <v>2320</v>
          </cell>
          <cell r="H1073" t="str">
            <v>19880824</v>
          </cell>
          <cell r="I1073">
            <v>17449056</v>
          </cell>
        </row>
        <row r="1074">
          <cell r="A1074" t="str">
            <v>7700826</v>
          </cell>
          <cell r="B1074" t="str">
            <v>노　기　중</v>
          </cell>
          <cell r="C1074" t="str">
            <v>7700826노　기　중</v>
          </cell>
          <cell r="D1074" t="str">
            <v>CE20</v>
          </cell>
          <cell r="E1074" t="str">
            <v>국내  담당</v>
          </cell>
          <cell r="F1074" t="str">
            <v>2320</v>
          </cell>
          <cell r="G1074" t="str">
            <v>2320</v>
          </cell>
          <cell r="H1074" t="str">
            <v>19771228</v>
          </cell>
          <cell r="I1074">
            <v>36767359</v>
          </cell>
        </row>
        <row r="1075">
          <cell r="A1075" t="str">
            <v>9001574</v>
          </cell>
          <cell r="B1075" t="str">
            <v>문　형　식</v>
          </cell>
          <cell r="C1075" t="str">
            <v>9001574문　형　식</v>
          </cell>
          <cell r="D1075" t="str">
            <v>CE20</v>
          </cell>
          <cell r="E1075" t="str">
            <v>국내  담당</v>
          </cell>
          <cell r="F1075" t="str">
            <v>2320</v>
          </cell>
          <cell r="G1075" t="str">
            <v>2520</v>
          </cell>
          <cell r="H1075" t="str">
            <v>19891129</v>
          </cell>
          <cell r="I1075">
            <v>12848409</v>
          </cell>
        </row>
        <row r="1076">
          <cell r="A1076" t="str">
            <v>8400993</v>
          </cell>
          <cell r="B1076" t="str">
            <v>문　홍　덕</v>
          </cell>
          <cell r="C1076" t="str">
            <v>8400993문　홍　덕</v>
          </cell>
          <cell r="D1076" t="str">
            <v>CE20</v>
          </cell>
          <cell r="E1076" t="str">
            <v>국내  담당</v>
          </cell>
          <cell r="F1076" t="str">
            <v>2320</v>
          </cell>
          <cell r="G1076" t="str">
            <v>2320</v>
          </cell>
          <cell r="H1076" t="str">
            <v>19840901</v>
          </cell>
          <cell r="I1076">
            <v>25756058</v>
          </cell>
        </row>
        <row r="1077">
          <cell r="A1077" t="str">
            <v>8500713</v>
          </cell>
          <cell r="B1077" t="str">
            <v>민　영　조</v>
          </cell>
          <cell r="C1077" t="str">
            <v>8500713민　영　조</v>
          </cell>
          <cell r="D1077" t="str">
            <v>CE20</v>
          </cell>
          <cell r="E1077" t="str">
            <v>국내  담당</v>
          </cell>
          <cell r="F1077" t="str">
            <v>2320</v>
          </cell>
          <cell r="G1077" t="str">
            <v>2320</v>
          </cell>
          <cell r="H1077" t="str">
            <v>19850305</v>
          </cell>
          <cell r="I1077">
            <v>24453227</v>
          </cell>
        </row>
        <row r="1078">
          <cell r="A1078" t="str">
            <v>9503728</v>
          </cell>
          <cell r="B1078" t="str">
            <v>박　경　철</v>
          </cell>
          <cell r="C1078" t="str">
            <v>9503728박　경　철</v>
          </cell>
          <cell r="D1078" t="str">
            <v>CE20</v>
          </cell>
          <cell r="E1078" t="str">
            <v>국내  담당</v>
          </cell>
          <cell r="F1078" t="str">
            <v>2320</v>
          </cell>
          <cell r="G1078" t="str">
            <v>2320</v>
          </cell>
          <cell r="H1078" t="str">
            <v>19951207</v>
          </cell>
          <cell r="I1078">
            <v>4612686</v>
          </cell>
        </row>
        <row r="1079">
          <cell r="A1079" t="str">
            <v>9105557</v>
          </cell>
          <cell r="B1079" t="str">
            <v>박　병　삼</v>
          </cell>
          <cell r="C1079" t="str">
            <v>9105557박　병　삼</v>
          </cell>
          <cell r="D1079" t="str">
            <v>CE20</v>
          </cell>
          <cell r="E1079" t="str">
            <v>국내  담당</v>
          </cell>
          <cell r="F1079" t="str">
            <v>2320</v>
          </cell>
          <cell r="G1079" t="str">
            <v>2320</v>
          </cell>
          <cell r="H1079" t="str">
            <v>19911201</v>
          </cell>
          <cell r="I1079">
            <v>10371164</v>
          </cell>
        </row>
        <row r="1080">
          <cell r="A1080" t="str">
            <v>9201688</v>
          </cell>
          <cell r="B1080" t="str">
            <v>박　상　효</v>
          </cell>
          <cell r="C1080" t="str">
            <v>9201688박　상　효</v>
          </cell>
          <cell r="D1080" t="str">
            <v>CE20</v>
          </cell>
          <cell r="E1080" t="str">
            <v>국내  담당</v>
          </cell>
          <cell r="F1080" t="str">
            <v>2320</v>
          </cell>
          <cell r="G1080" t="str">
            <v>2320</v>
          </cell>
          <cell r="H1080" t="str">
            <v>19920401</v>
          </cell>
          <cell r="I1080">
            <v>11513892</v>
          </cell>
        </row>
        <row r="1081">
          <cell r="A1081" t="str">
            <v>8501534</v>
          </cell>
          <cell r="B1081" t="str">
            <v>박　성　기</v>
          </cell>
          <cell r="C1081" t="str">
            <v>8501534박　성　기</v>
          </cell>
          <cell r="D1081" t="str">
            <v>CE20</v>
          </cell>
          <cell r="E1081" t="str">
            <v>국내  담당</v>
          </cell>
          <cell r="F1081" t="str">
            <v>2320</v>
          </cell>
          <cell r="G1081" t="str">
            <v>2320</v>
          </cell>
          <cell r="H1081" t="str">
            <v>19850701</v>
          </cell>
          <cell r="I1081">
            <v>22273279</v>
          </cell>
        </row>
        <row r="1082">
          <cell r="A1082" t="str">
            <v>8500724</v>
          </cell>
          <cell r="B1082" t="str">
            <v>박　연　출</v>
          </cell>
          <cell r="C1082" t="str">
            <v>8500724박　연　출</v>
          </cell>
          <cell r="D1082" t="str">
            <v>CE20</v>
          </cell>
          <cell r="E1082" t="str">
            <v>국내  담당</v>
          </cell>
          <cell r="F1082" t="str">
            <v>2320</v>
          </cell>
          <cell r="G1082" t="str">
            <v>2320</v>
          </cell>
          <cell r="H1082" t="str">
            <v>19850305</v>
          </cell>
          <cell r="I1082">
            <v>26198074</v>
          </cell>
        </row>
        <row r="1083">
          <cell r="A1083" t="str">
            <v>9503493</v>
          </cell>
          <cell r="B1083" t="str">
            <v>박　영　진</v>
          </cell>
          <cell r="C1083" t="str">
            <v>9503493박　영　진</v>
          </cell>
          <cell r="D1083" t="str">
            <v>CE20</v>
          </cell>
          <cell r="E1083" t="str">
            <v>국내  담당</v>
          </cell>
          <cell r="F1083" t="str">
            <v>2320</v>
          </cell>
          <cell r="G1083" t="str">
            <v>2320</v>
          </cell>
          <cell r="H1083" t="str">
            <v>19951113</v>
          </cell>
          <cell r="I1083">
            <v>5343623</v>
          </cell>
        </row>
        <row r="1084">
          <cell r="A1084" t="str">
            <v>8200214</v>
          </cell>
          <cell r="B1084" t="str">
            <v>박　용　성</v>
          </cell>
          <cell r="C1084" t="str">
            <v>8200214박　용　성</v>
          </cell>
          <cell r="D1084" t="str">
            <v>CE20</v>
          </cell>
          <cell r="E1084" t="str">
            <v>국내  담당</v>
          </cell>
          <cell r="F1084" t="str">
            <v>2320</v>
          </cell>
          <cell r="G1084" t="str">
            <v>2320</v>
          </cell>
          <cell r="H1084" t="str">
            <v>19820201</v>
          </cell>
          <cell r="I1084">
            <v>27249986</v>
          </cell>
        </row>
        <row r="1085">
          <cell r="A1085" t="str">
            <v>7900277</v>
          </cell>
          <cell r="B1085" t="str">
            <v>박　종　원</v>
          </cell>
          <cell r="C1085" t="str">
            <v>7900277박　종　원</v>
          </cell>
          <cell r="D1085" t="str">
            <v>CE20</v>
          </cell>
          <cell r="E1085" t="str">
            <v>국내  담당</v>
          </cell>
          <cell r="F1085" t="str">
            <v>2320</v>
          </cell>
          <cell r="G1085" t="str">
            <v>2320</v>
          </cell>
          <cell r="H1085" t="str">
            <v>19790510</v>
          </cell>
          <cell r="I1085">
            <v>35348046</v>
          </cell>
        </row>
        <row r="1086">
          <cell r="A1086" t="str">
            <v>8902135</v>
          </cell>
          <cell r="B1086" t="str">
            <v>박　종　현</v>
          </cell>
          <cell r="C1086" t="str">
            <v>8902135박　종　현</v>
          </cell>
          <cell r="D1086" t="str">
            <v>CE20</v>
          </cell>
          <cell r="E1086" t="str">
            <v>국내  담당</v>
          </cell>
          <cell r="F1086" t="str">
            <v>2320</v>
          </cell>
          <cell r="G1086" t="str">
            <v>2320</v>
          </cell>
          <cell r="H1086" t="str">
            <v>19881219</v>
          </cell>
          <cell r="I1086">
            <v>16885273</v>
          </cell>
        </row>
        <row r="1087">
          <cell r="A1087" t="str">
            <v>9304705</v>
          </cell>
          <cell r="B1087" t="str">
            <v>박　준　철</v>
          </cell>
          <cell r="C1087" t="str">
            <v>9304705박　준　철</v>
          </cell>
          <cell r="D1087" t="str">
            <v>CE20</v>
          </cell>
          <cell r="E1087" t="str">
            <v>국내  담당</v>
          </cell>
          <cell r="F1087" t="str">
            <v>2320</v>
          </cell>
          <cell r="G1087" t="str">
            <v>2320</v>
          </cell>
          <cell r="H1087" t="str">
            <v>19930801</v>
          </cell>
          <cell r="I1087">
            <v>7609271</v>
          </cell>
        </row>
        <row r="1088">
          <cell r="A1088" t="str">
            <v>9105232</v>
          </cell>
          <cell r="B1088" t="str">
            <v>박　호　범</v>
          </cell>
          <cell r="C1088" t="str">
            <v>9105232박　호　범</v>
          </cell>
          <cell r="D1088" t="str">
            <v>CE20</v>
          </cell>
          <cell r="E1088" t="str">
            <v>국내  담당</v>
          </cell>
          <cell r="F1088" t="str">
            <v>2320</v>
          </cell>
          <cell r="G1088" t="str">
            <v>2320</v>
          </cell>
          <cell r="H1088" t="str">
            <v>19911116</v>
          </cell>
          <cell r="I1088">
            <v>9314386</v>
          </cell>
        </row>
        <row r="1089">
          <cell r="A1089" t="str">
            <v>8702291</v>
          </cell>
          <cell r="B1089" t="str">
            <v>방　완　수</v>
          </cell>
          <cell r="C1089" t="str">
            <v>8702291방　완　수</v>
          </cell>
          <cell r="D1089" t="str">
            <v>CE20</v>
          </cell>
          <cell r="E1089" t="str">
            <v>국내  담당</v>
          </cell>
          <cell r="F1089" t="str">
            <v>2320</v>
          </cell>
          <cell r="G1089" t="str">
            <v>2320</v>
          </cell>
          <cell r="H1089" t="str">
            <v>19871020</v>
          </cell>
          <cell r="I1089">
            <v>17249689</v>
          </cell>
        </row>
        <row r="1090">
          <cell r="A1090" t="str">
            <v>8901268</v>
          </cell>
          <cell r="B1090" t="str">
            <v>백　인　경</v>
          </cell>
          <cell r="C1090" t="str">
            <v>8901268백　인　경</v>
          </cell>
          <cell r="D1090" t="str">
            <v>CE20</v>
          </cell>
          <cell r="E1090" t="str">
            <v>국내  담당</v>
          </cell>
          <cell r="F1090" t="str">
            <v>2320</v>
          </cell>
          <cell r="G1090" t="str">
            <v>2320</v>
          </cell>
          <cell r="H1090" t="str">
            <v>19880914</v>
          </cell>
          <cell r="I1090">
            <v>14484500</v>
          </cell>
        </row>
        <row r="1091">
          <cell r="A1091" t="str">
            <v>8300935</v>
          </cell>
          <cell r="B1091" t="str">
            <v>변　영　수</v>
          </cell>
          <cell r="C1091" t="str">
            <v>8300935변　영　수</v>
          </cell>
          <cell r="D1091" t="str">
            <v>CE20</v>
          </cell>
          <cell r="E1091" t="str">
            <v>국내  담당</v>
          </cell>
          <cell r="F1091" t="str">
            <v>2320</v>
          </cell>
          <cell r="G1091" t="str">
            <v>2320</v>
          </cell>
          <cell r="H1091" t="str">
            <v>19981211</v>
          </cell>
          <cell r="I1091">
            <v>1746374</v>
          </cell>
        </row>
        <row r="1092">
          <cell r="A1092" t="str">
            <v>7600421</v>
          </cell>
          <cell r="B1092" t="str">
            <v>서　광　석</v>
          </cell>
          <cell r="C1092" t="str">
            <v>7600421서　광　석</v>
          </cell>
          <cell r="D1092" t="str">
            <v>CE20</v>
          </cell>
          <cell r="E1092" t="str">
            <v>국내  담당</v>
          </cell>
          <cell r="F1092" t="str">
            <v>2320</v>
          </cell>
          <cell r="G1092" t="str">
            <v>2320</v>
          </cell>
          <cell r="H1092" t="str">
            <v>19761207</v>
          </cell>
          <cell r="I1092">
            <v>46129095</v>
          </cell>
        </row>
        <row r="1093">
          <cell r="A1093" t="str">
            <v>9702472</v>
          </cell>
          <cell r="B1093" t="str">
            <v>서　동　식</v>
          </cell>
          <cell r="C1093" t="str">
            <v>9702472서　동　식</v>
          </cell>
          <cell r="D1093" t="str">
            <v>CE20</v>
          </cell>
          <cell r="E1093" t="str">
            <v>국내  담당</v>
          </cell>
          <cell r="F1093" t="str">
            <v>2320</v>
          </cell>
          <cell r="G1093" t="str">
            <v>2320</v>
          </cell>
          <cell r="H1093" t="str">
            <v>19970821</v>
          </cell>
          <cell r="I1093">
            <v>2679279</v>
          </cell>
        </row>
        <row r="1094">
          <cell r="A1094" t="str">
            <v>7800344</v>
          </cell>
          <cell r="B1094" t="str">
            <v>서　양　범</v>
          </cell>
          <cell r="C1094" t="str">
            <v>7800344서　양　범</v>
          </cell>
          <cell r="D1094" t="str">
            <v>CE20</v>
          </cell>
          <cell r="E1094" t="str">
            <v>국내  담당</v>
          </cell>
          <cell r="F1094" t="str">
            <v>2320</v>
          </cell>
          <cell r="G1094" t="str">
            <v>2320</v>
          </cell>
          <cell r="H1094" t="str">
            <v>19780601</v>
          </cell>
          <cell r="I1094">
            <v>36576193</v>
          </cell>
        </row>
        <row r="1095">
          <cell r="A1095" t="str">
            <v>7000020</v>
          </cell>
          <cell r="B1095" t="str">
            <v>선　호　명</v>
          </cell>
          <cell r="C1095" t="str">
            <v>7000020선　호　명</v>
          </cell>
          <cell r="D1095" t="str">
            <v>CE20</v>
          </cell>
          <cell r="E1095" t="str">
            <v>국내  담당</v>
          </cell>
          <cell r="F1095" t="str">
            <v>2320</v>
          </cell>
          <cell r="G1095" t="str">
            <v>2320</v>
          </cell>
          <cell r="H1095" t="str">
            <v>19700701</v>
          </cell>
          <cell r="I1095">
            <v>59377827</v>
          </cell>
        </row>
        <row r="1096">
          <cell r="A1096" t="str">
            <v>9005455</v>
          </cell>
          <cell r="B1096" t="str">
            <v>소　봉　근</v>
          </cell>
          <cell r="C1096" t="str">
            <v>9005455소　봉　근</v>
          </cell>
          <cell r="D1096" t="str">
            <v>CE20</v>
          </cell>
          <cell r="E1096" t="str">
            <v>국내  담당</v>
          </cell>
          <cell r="F1096" t="str">
            <v>2320</v>
          </cell>
          <cell r="G1096" t="str">
            <v>2320</v>
          </cell>
          <cell r="H1096" t="str">
            <v>19901224</v>
          </cell>
          <cell r="I1096">
            <v>10915939</v>
          </cell>
        </row>
        <row r="1097">
          <cell r="A1097" t="str">
            <v>8902427</v>
          </cell>
          <cell r="B1097" t="str">
            <v>송　석　훈</v>
          </cell>
          <cell r="C1097" t="str">
            <v>8902427송　석　훈</v>
          </cell>
          <cell r="D1097" t="str">
            <v>CE20</v>
          </cell>
          <cell r="E1097" t="str">
            <v>국내  담당</v>
          </cell>
          <cell r="F1097" t="str">
            <v>2320</v>
          </cell>
          <cell r="G1097" t="str">
            <v>2320</v>
          </cell>
          <cell r="H1097" t="str">
            <v>19890120</v>
          </cell>
          <cell r="I1097">
            <v>17617951</v>
          </cell>
        </row>
        <row r="1098">
          <cell r="A1098" t="str">
            <v>8200383</v>
          </cell>
          <cell r="B1098" t="str">
            <v>송　종　철</v>
          </cell>
          <cell r="C1098" t="str">
            <v>8200383송　종　철</v>
          </cell>
          <cell r="D1098" t="str">
            <v>CE20</v>
          </cell>
          <cell r="E1098" t="str">
            <v>국내  담당</v>
          </cell>
          <cell r="F1098" t="str">
            <v>2320</v>
          </cell>
          <cell r="G1098" t="str">
            <v>2320</v>
          </cell>
          <cell r="H1098" t="str">
            <v>19820416</v>
          </cell>
          <cell r="I1098">
            <v>32160541</v>
          </cell>
        </row>
        <row r="1099">
          <cell r="A1099" t="str">
            <v>8902440</v>
          </cell>
          <cell r="B1099" t="str">
            <v>신　상　욱</v>
          </cell>
          <cell r="C1099" t="str">
            <v>8902440신　상　욱</v>
          </cell>
          <cell r="D1099" t="str">
            <v>CE20</v>
          </cell>
          <cell r="E1099" t="str">
            <v>국내  담당</v>
          </cell>
          <cell r="F1099" t="str">
            <v>2320</v>
          </cell>
          <cell r="G1099" t="str">
            <v>2320</v>
          </cell>
          <cell r="H1099" t="str">
            <v>19890204</v>
          </cell>
          <cell r="I1099">
            <v>16850667</v>
          </cell>
        </row>
        <row r="1100">
          <cell r="A1100" t="str">
            <v>9001552</v>
          </cell>
          <cell r="B1100" t="str">
            <v>신　중　헌</v>
          </cell>
          <cell r="C1100" t="str">
            <v>9001552신　중　헌</v>
          </cell>
          <cell r="D1100" t="str">
            <v>CE20</v>
          </cell>
          <cell r="E1100" t="str">
            <v>국내  담당</v>
          </cell>
          <cell r="F1100" t="str">
            <v>2320</v>
          </cell>
          <cell r="G1100" t="str">
            <v>2320</v>
          </cell>
          <cell r="H1100" t="str">
            <v>19891101</v>
          </cell>
          <cell r="I1100">
            <v>13586631</v>
          </cell>
        </row>
        <row r="1101">
          <cell r="A1101" t="str">
            <v>7800221</v>
          </cell>
          <cell r="B1101" t="str">
            <v>심　원　경</v>
          </cell>
          <cell r="C1101" t="str">
            <v>7800221심　원　경</v>
          </cell>
          <cell r="D1101" t="str">
            <v>CE20</v>
          </cell>
          <cell r="E1101" t="str">
            <v>국내  담당</v>
          </cell>
          <cell r="F1101" t="str">
            <v>2320</v>
          </cell>
          <cell r="G1101" t="str">
            <v>2320</v>
          </cell>
          <cell r="H1101" t="str">
            <v>19870907</v>
          </cell>
          <cell r="I1101">
            <v>21960136</v>
          </cell>
        </row>
        <row r="1102">
          <cell r="A1102" t="str">
            <v>9600287</v>
          </cell>
          <cell r="B1102" t="str">
            <v>안　동　혁</v>
          </cell>
          <cell r="C1102" t="str">
            <v>9600287안　동　혁</v>
          </cell>
          <cell r="D1102" t="str">
            <v>CE20</v>
          </cell>
          <cell r="E1102" t="str">
            <v>국내  담당</v>
          </cell>
          <cell r="F1102" t="str">
            <v>2320</v>
          </cell>
          <cell r="G1102" t="str">
            <v>2520</v>
          </cell>
          <cell r="H1102" t="str">
            <v>19960129</v>
          </cell>
          <cell r="I1102">
            <v>4249869</v>
          </cell>
        </row>
        <row r="1103">
          <cell r="A1103" t="str">
            <v>9400757</v>
          </cell>
          <cell r="B1103" t="str">
            <v>안　명　길</v>
          </cell>
          <cell r="C1103" t="str">
            <v>9400757안　명　길</v>
          </cell>
          <cell r="D1103" t="str">
            <v>CE20</v>
          </cell>
          <cell r="E1103" t="str">
            <v>국내  담당</v>
          </cell>
          <cell r="F1103" t="str">
            <v>2320</v>
          </cell>
          <cell r="G1103" t="str">
            <v>2320</v>
          </cell>
          <cell r="H1103" t="str">
            <v>19940201</v>
          </cell>
          <cell r="I1103">
            <v>6434218</v>
          </cell>
        </row>
        <row r="1104">
          <cell r="A1104" t="str">
            <v>8400677</v>
          </cell>
          <cell r="B1104" t="str">
            <v>양　시　봉</v>
          </cell>
          <cell r="C1104" t="str">
            <v>8400677양　시　봉</v>
          </cell>
          <cell r="D1104" t="str">
            <v>CE20</v>
          </cell>
          <cell r="E1104" t="str">
            <v>국내  담당</v>
          </cell>
          <cell r="F1104" t="str">
            <v>2320</v>
          </cell>
          <cell r="G1104" t="str">
            <v>2320</v>
          </cell>
          <cell r="H1104" t="str">
            <v>19840813</v>
          </cell>
          <cell r="I1104">
            <v>26558815</v>
          </cell>
        </row>
        <row r="1105">
          <cell r="A1105" t="str">
            <v>8700502</v>
          </cell>
          <cell r="B1105" t="str">
            <v>양　영　석</v>
          </cell>
          <cell r="C1105" t="str">
            <v>8700502양　영　석</v>
          </cell>
          <cell r="D1105" t="str">
            <v>CE20</v>
          </cell>
          <cell r="E1105" t="str">
            <v>국내  담당</v>
          </cell>
          <cell r="F1105" t="str">
            <v>2320</v>
          </cell>
          <cell r="G1105" t="str">
            <v>2320</v>
          </cell>
          <cell r="H1105" t="str">
            <v>19981201</v>
          </cell>
          <cell r="I1105">
            <v>1886229</v>
          </cell>
        </row>
        <row r="1106">
          <cell r="A1106" t="str">
            <v>8401612</v>
          </cell>
          <cell r="B1106" t="str">
            <v>오　요　균</v>
          </cell>
          <cell r="C1106" t="str">
            <v>8401612오　요　균</v>
          </cell>
          <cell r="D1106" t="str">
            <v>CE20</v>
          </cell>
          <cell r="E1106" t="str">
            <v>국내  담당</v>
          </cell>
          <cell r="F1106" t="str">
            <v>2320</v>
          </cell>
          <cell r="G1106" t="str">
            <v>2320</v>
          </cell>
          <cell r="H1106" t="str">
            <v>19841126</v>
          </cell>
          <cell r="I1106">
            <v>26830423</v>
          </cell>
        </row>
        <row r="1107">
          <cell r="A1107" t="str">
            <v>9406708</v>
          </cell>
          <cell r="B1107" t="str">
            <v>오　익　성</v>
          </cell>
          <cell r="C1107" t="str">
            <v>9406708오　익　성</v>
          </cell>
          <cell r="D1107" t="str">
            <v>CE20</v>
          </cell>
          <cell r="E1107" t="str">
            <v>국내  담당</v>
          </cell>
          <cell r="F1107" t="str">
            <v>2320</v>
          </cell>
          <cell r="G1107" t="str">
            <v>2320</v>
          </cell>
          <cell r="H1107" t="str">
            <v>19941216</v>
          </cell>
          <cell r="I1107">
            <v>5554994</v>
          </cell>
        </row>
        <row r="1108">
          <cell r="A1108" t="str">
            <v>9200125</v>
          </cell>
          <cell r="B1108" t="str">
            <v>오　종　선</v>
          </cell>
          <cell r="C1108" t="str">
            <v>9200125오　종　선</v>
          </cell>
          <cell r="D1108" t="str">
            <v>CE20</v>
          </cell>
          <cell r="E1108" t="str">
            <v>국내  담당</v>
          </cell>
          <cell r="F1108" t="str">
            <v>2320</v>
          </cell>
          <cell r="G1108" t="str">
            <v>2320</v>
          </cell>
          <cell r="H1108" t="str">
            <v>19920106</v>
          </cell>
          <cell r="I1108">
            <v>10348447</v>
          </cell>
        </row>
        <row r="1109">
          <cell r="A1109" t="str">
            <v>9302038</v>
          </cell>
          <cell r="B1109" t="str">
            <v>왕　기　천</v>
          </cell>
          <cell r="C1109" t="str">
            <v>9302038왕　기　천</v>
          </cell>
          <cell r="D1109" t="str">
            <v>CE20</v>
          </cell>
          <cell r="E1109" t="str">
            <v>국내  담당</v>
          </cell>
          <cell r="F1109" t="str">
            <v>2320</v>
          </cell>
          <cell r="G1109" t="str">
            <v>2320</v>
          </cell>
          <cell r="H1109" t="str">
            <v>19930401</v>
          </cell>
          <cell r="I1109">
            <v>9629997</v>
          </cell>
        </row>
        <row r="1110">
          <cell r="A1110" t="str">
            <v>9702303</v>
          </cell>
          <cell r="B1110" t="str">
            <v>우　형　진</v>
          </cell>
          <cell r="C1110" t="str">
            <v>9702303우　형　진</v>
          </cell>
          <cell r="D1110" t="str">
            <v>CE20</v>
          </cell>
          <cell r="E1110" t="str">
            <v>국내  담당</v>
          </cell>
          <cell r="F1110" t="str">
            <v>2320</v>
          </cell>
          <cell r="G1110" t="str">
            <v>2320</v>
          </cell>
          <cell r="H1110" t="str">
            <v>19970821</v>
          </cell>
          <cell r="I1110">
            <v>2473291</v>
          </cell>
        </row>
        <row r="1111">
          <cell r="A1111" t="str">
            <v>8000392</v>
          </cell>
          <cell r="B1111" t="str">
            <v>유　두　용</v>
          </cell>
          <cell r="C1111" t="str">
            <v>8000392유　두　용</v>
          </cell>
          <cell r="D1111" t="str">
            <v>CE20</v>
          </cell>
          <cell r="E1111" t="str">
            <v>국내  담당</v>
          </cell>
          <cell r="F1111" t="str">
            <v>2320</v>
          </cell>
          <cell r="G1111" t="str">
            <v>2320</v>
          </cell>
          <cell r="H1111" t="str">
            <v>19801101</v>
          </cell>
          <cell r="I1111">
            <v>39286153</v>
          </cell>
        </row>
        <row r="1112">
          <cell r="A1112" t="str">
            <v>8700748</v>
          </cell>
          <cell r="B1112" t="str">
            <v>유　병　범</v>
          </cell>
          <cell r="C1112" t="str">
            <v>8700748유　병　범</v>
          </cell>
          <cell r="D1112" t="str">
            <v>CE20</v>
          </cell>
          <cell r="E1112" t="str">
            <v>국내  담당</v>
          </cell>
          <cell r="F1112" t="str">
            <v>2320</v>
          </cell>
          <cell r="G1112" t="str">
            <v>2320</v>
          </cell>
          <cell r="H1112" t="str">
            <v>19870521</v>
          </cell>
          <cell r="I1112">
            <v>20723723</v>
          </cell>
        </row>
        <row r="1113">
          <cell r="A1113" t="str">
            <v>9303658</v>
          </cell>
          <cell r="B1113" t="str">
            <v>유　병　웅</v>
          </cell>
          <cell r="C1113" t="str">
            <v>9303658유　병　웅</v>
          </cell>
          <cell r="D1113" t="str">
            <v>CE20</v>
          </cell>
          <cell r="E1113" t="str">
            <v>국내  담당</v>
          </cell>
          <cell r="F1113" t="str">
            <v>2320</v>
          </cell>
          <cell r="G1113" t="str">
            <v>2320</v>
          </cell>
          <cell r="H1113" t="str">
            <v>19930701</v>
          </cell>
          <cell r="I1113">
            <v>8854213</v>
          </cell>
        </row>
        <row r="1114">
          <cell r="A1114" t="str">
            <v>8200168</v>
          </cell>
          <cell r="B1114" t="str">
            <v>유　성　은</v>
          </cell>
          <cell r="C1114" t="str">
            <v>8200168유　성　은</v>
          </cell>
          <cell r="D1114" t="str">
            <v>CE20</v>
          </cell>
          <cell r="E1114" t="str">
            <v>국내  담당</v>
          </cell>
          <cell r="F1114" t="str">
            <v>2320</v>
          </cell>
          <cell r="G1114" t="str">
            <v>2320</v>
          </cell>
          <cell r="H1114" t="str">
            <v>19820201</v>
          </cell>
          <cell r="I1114">
            <v>29105622</v>
          </cell>
        </row>
        <row r="1115">
          <cell r="A1115" t="str">
            <v>8100538</v>
          </cell>
          <cell r="B1115" t="str">
            <v>유　영　돈</v>
          </cell>
          <cell r="C1115" t="str">
            <v>8100538유　영　돈</v>
          </cell>
          <cell r="D1115" t="str">
            <v>CE20</v>
          </cell>
          <cell r="E1115" t="str">
            <v>국내  담당</v>
          </cell>
          <cell r="F1115" t="str">
            <v>2320</v>
          </cell>
          <cell r="G1115" t="str">
            <v>2320</v>
          </cell>
          <cell r="H1115" t="str">
            <v>19811019</v>
          </cell>
          <cell r="I1115">
            <v>30347505</v>
          </cell>
        </row>
        <row r="1116">
          <cell r="A1116" t="str">
            <v>7500093</v>
          </cell>
          <cell r="B1116" t="str">
            <v>유　영　조</v>
          </cell>
          <cell r="C1116" t="str">
            <v>7500093유　영　조</v>
          </cell>
          <cell r="D1116" t="str">
            <v>CE20</v>
          </cell>
          <cell r="E1116" t="str">
            <v>국내  담당</v>
          </cell>
          <cell r="F1116" t="str">
            <v>2320</v>
          </cell>
          <cell r="G1116" t="str">
            <v>2320</v>
          </cell>
          <cell r="H1116" t="str">
            <v>19751031</v>
          </cell>
          <cell r="I1116">
            <v>38367744</v>
          </cell>
        </row>
        <row r="1117">
          <cell r="A1117" t="str">
            <v>8702111</v>
          </cell>
          <cell r="B1117" t="str">
            <v>윤　명　덕</v>
          </cell>
          <cell r="C1117" t="str">
            <v>8702111윤　명　덕</v>
          </cell>
          <cell r="D1117" t="str">
            <v>CE20</v>
          </cell>
          <cell r="E1117" t="str">
            <v>국내  담당</v>
          </cell>
          <cell r="F1117" t="str">
            <v>2320</v>
          </cell>
          <cell r="G1117" t="str">
            <v>2320</v>
          </cell>
          <cell r="H1117" t="str">
            <v>19870901</v>
          </cell>
          <cell r="I1117">
            <v>19937457</v>
          </cell>
        </row>
        <row r="1118">
          <cell r="A1118" t="str">
            <v>8604167</v>
          </cell>
          <cell r="B1118" t="str">
            <v>윤　붕　현</v>
          </cell>
          <cell r="C1118" t="str">
            <v>8604167윤　붕　현</v>
          </cell>
          <cell r="D1118" t="str">
            <v>CE20</v>
          </cell>
          <cell r="E1118" t="str">
            <v>국내  담당</v>
          </cell>
          <cell r="F1118" t="str">
            <v>2320</v>
          </cell>
          <cell r="G1118" t="str">
            <v>2320</v>
          </cell>
          <cell r="H1118" t="str">
            <v>19981211</v>
          </cell>
          <cell r="I1118">
            <v>1737951</v>
          </cell>
        </row>
        <row r="1119">
          <cell r="A1119" t="str">
            <v>9000843</v>
          </cell>
          <cell r="B1119" t="str">
            <v>윤　영　식</v>
          </cell>
          <cell r="C1119" t="str">
            <v>9000843윤　영　식</v>
          </cell>
          <cell r="D1119" t="str">
            <v>CE20</v>
          </cell>
          <cell r="E1119" t="str">
            <v>국내  담당</v>
          </cell>
          <cell r="F1119" t="str">
            <v>2320</v>
          </cell>
          <cell r="G1119" t="str">
            <v>2320</v>
          </cell>
          <cell r="H1119" t="str">
            <v>19981201</v>
          </cell>
          <cell r="I1119">
            <v>1551277</v>
          </cell>
        </row>
        <row r="1120">
          <cell r="A1120" t="str">
            <v>8901663</v>
          </cell>
          <cell r="B1120" t="str">
            <v>윤　태　상</v>
          </cell>
          <cell r="C1120" t="str">
            <v>8901663윤　태　상</v>
          </cell>
          <cell r="D1120" t="str">
            <v>CE20</v>
          </cell>
          <cell r="E1120" t="str">
            <v>국내  담당</v>
          </cell>
          <cell r="F1120" t="str">
            <v>2320</v>
          </cell>
          <cell r="G1120" t="str">
            <v>2320</v>
          </cell>
          <cell r="H1120" t="str">
            <v>19881121</v>
          </cell>
          <cell r="I1120">
            <v>17258557</v>
          </cell>
        </row>
        <row r="1121">
          <cell r="A1121" t="str">
            <v>9103656</v>
          </cell>
          <cell r="B1121" t="str">
            <v>윤　태　성</v>
          </cell>
          <cell r="C1121" t="str">
            <v>9103656윤　태　성</v>
          </cell>
          <cell r="D1121" t="str">
            <v>CE20</v>
          </cell>
          <cell r="E1121" t="str">
            <v>국내  담당</v>
          </cell>
          <cell r="F1121" t="str">
            <v>2320</v>
          </cell>
          <cell r="G1121" t="str">
            <v>2320</v>
          </cell>
          <cell r="H1121" t="str">
            <v>19910910</v>
          </cell>
          <cell r="I1121">
            <v>10569625</v>
          </cell>
        </row>
        <row r="1122">
          <cell r="A1122" t="str">
            <v>8400216</v>
          </cell>
          <cell r="B1122" t="str">
            <v>윤　현　렬</v>
          </cell>
          <cell r="C1122" t="str">
            <v>8400216윤　현　렬</v>
          </cell>
          <cell r="D1122" t="str">
            <v>CE20</v>
          </cell>
          <cell r="E1122" t="str">
            <v>국내  담당</v>
          </cell>
          <cell r="F1122" t="str">
            <v>2320</v>
          </cell>
          <cell r="G1122" t="str">
            <v>2320</v>
          </cell>
          <cell r="H1122" t="str">
            <v>19840401</v>
          </cell>
          <cell r="I1122">
            <v>27585258</v>
          </cell>
        </row>
        <row r="1123">
          <cell r="A1123" t="str">
            <v>8902124</v>
          </cell>
          <cell r="B1123" t="str">
            <v>이　강　세</v>
          </cell>
          <cell r="C1123" t="str">
            <v>8902124이　강　세</v>
          </cell>
          <cell r="D1123" t="str">
            <v>CE20</v>
          </cell>
          <cell r="E1123" t="str">
            <v>국내  담당</v>
          </cell>
          <cell r="F1123" t="str">
            <v>2320</v>
          </cell>
          <cell r="G1123" t="str">
            <v>2320</v>
          </cell>
          <cell r="H1123" t="str">
            <v>19881219</v>
          </cell>
          <cell r="I1123">
            <v>15555417</v>
          </cell>
        </row>
        <row r="1124">
          <cell r="A1124" t="str">
            <v>8000313</v>
          </cell>
          <cell r="B1124" t="str">
            <v>이　강　철</v>
          </cell>
          <cell r="C1124" t="str">
            <v>8000313이　강　철</v>
          </cell>
          <cell r="D1124" t="str">
            <v>CE20</v>
          </cell>
          <cell r="E1124" t="str">
            <v>국내  담당</v>
          </cell>
          <cell r="F1124" t="str">
            <v>2320</v>
          </cell>
          <cell r="G1124" t="str">
            <v>2320</v>
          </cell>
          <cell r="H1124" t="str">
            <v>19801101</v>
          </cell>
          <cell r="I1124">
            <v>33363519</v>
          </cell>
        </row>
        <row r="1125">
          <cell r="A1125" t="str">
            <v>8701514</v>
          </cell>
          <cell r="B1125" t="str">
            <v>이　경　태</v>
          </cell>
          <cell r="C1125" t="str">
            <v>8701514이　경　태</v>
          </cell>
          <cell r="D1125" t="str">
            <v>CE20</v>
          </cell>
          <cell r="E1125" t="str">
            <v>국내  담당</v>
          </cell>
          <cell r="F1125" t="str">
            <v>2320</v>
          </cell>
          <cell r="G1125" t="e">
            <v>#N/A</v>
          </cell>
          <cell r="H1125" t="str">
            <v>19870801</v>
          </cell>
          <cell r="I1125">
            <v>19778385</v>
          </cell>
          <cell r="J1125" t="str">
            <v>1 월</v>
          </cell>
          <cell r="K1125">
            <v>19384943</v>
          </cell>
        </row>
        <row r="1126">
          <cell r="A1126" t="str">
            <v>8200067</v>
          </cell>
          <cell r="B1126" t="str">
            <v>이　궁　재</v>
          </cell>
          <cell r="C1126" t="str">
            <v>8200067이　궁　재</v>
          </cell>
          <cell r="D1126" t="str">
            <v>CE20</v>
          </cell>
          <cell r="E1126" t="str">
            <v>국내  담당</v>
          </cell>
          <cell r="F1126" t="str">
            <v>2320</v>
          </cell>
          <cell r="G1126" t="str">
            <v>2320</v>
          </cell>
          <cell r="H1126" t="str">
            <v>19820201</v>
          </cell>
          <cell r="I1126">
            <v>31839792</v>
          </cell>
        </row>
        <row r="1127">
          <cell r="A1127" t="str">
            <v>9202241</v>
          </cell>
          <cell r="B1127" t="str">
            <v>이　권　우</v>
          </cell>
          <cell r="C1127" t="str">
            <v>9202241이　권　우</v>
          </cell>
          <cell r="D1127" t="str">
            <v>CE20</v>
          </cell>
          <cell r="E1127" t="str">
            <v>국내  담당</v>
          </cell>
          <cell r="F1127" t="str">
            <v>2320</v>
          </cell>
          <cell r="G1127" t="str">
            <v>2320</v>
          </cell>
          <cell r="H1127" t="str">
            <v>19920501</v>
          </cell>
          <cell r="I1127">
            <v>11285516</v>
          </cell>
        </row>
        <row r="1128">
          <cell r="A1128" t="str">
            <v>9303390</v>
          </cell>
          <cell r="B1128" t="str">
            <v>이　규　일</v>
          </cell>
          <cell r="C1128" t="str">
            <v>9303390이　규　일</v>
          </cell>
          <cell r="D1128" t="str">
            <v>CE20</v>
          </cell>
          <cell r="E1128" t="str">
            <v>국내  담당</v>
          </cell>
          <cell r="F1128" t="str">
            <v>2320</v>
          </cell>
          <cell r="G1128" t="str">
            <v>2320</v>
          </cell>
          <cell r="H1128" t="str">
            <v>19930616</v>
          </cell>
          <cell r="I1128">
            <v>8072954</v>
          </cell>
        </row>
        <row r="1129">
          <cell r="A1129" t="str">
            <v>8501174</v>
          </cell>
          <cell r="B1129" t="str">
            <v>이　금　찬</v>
          </cell>
          <cell r="C1129" t="str">
            <v>8501174이　금　찬</v>
          </cell>
          <cell r="D1129" t="str">
            <v>CE20</v>
          </cell>
          <cell r="E1129" t="str">
            <v>국내  담당</v>
          </cell>
          <cell r="F1129" t="str">
            <v>2320</v>
          </cell>
          <cell r="G1129" t="str">
            <v>2320</v>
          </cell>
          <cell r="H1129" t="str">
            <v>19850501</v>
          </cell>
          <cell r="I1129">
            <v>25139541</v>
          </cell>
        </row>
        <row r="1130">
          <cell r="A1130" t="str">
            <v>8601840</v>
          </cell>
          <cell r="B1130" t="str">
            <v>이　기　준</v>
          </cell>
          <cell r="C1130" t="str">
            <v>8601840이　기　준</v>
          </cell>
          <cell r="D1130" t="str">
            <v>CE20</v>
          </cell>
          <cell r="E1130" t="str">
            <v>국내  담당</v>
          </cell>
          <cell r="F1130" t="str">
            <v>2320</v>
          </cell>
          <cell r="G1130" t="str">
            <v>2320</v>
          </cell>
          <cell r="H1130" t="str">
            <v>19860616</v>
          </cell>
          <cell r="I1130">
            <v>21943562</v>
          </cell>
        </row>
        <row r="1131">
          <cell r="A1131" t="str">
            <v>8900730</v>
          </cell>
          <cell r="B1131" t="str">
            <v>이　남　호</v>
          </cell>
          <cell r="C1131" t="str">
            <v>8900730이　남　호</v>
          </cell>
          <cell r="D1131" t="str">
            <v>CE20</v>
          </cell>
          <cell r="E1131" t="str">
            <v>국내  담당</v>
          </cell>
          <cell r="F1131" t="str">
            <v>2320</v>
          </cell>
          <cell r="G1131" t="str">
            <v>2320</v>
          </cell>
          <cell r="H1131" t="str">
            <v>19981201</v>
          </cell>
          <cell r="I1131">
            <v>1664285</v>
          </cell>
        </row>
        <row r="1132">
          <cell r="A1132" t="str">
            <v>8600477</v>
          </cell>
          <cell r="B1132" t="str">
            <v>이　달　진</v>
          </cell>
          <cell r="C1132" t="str">
            <v>8600477이　달　진</v>
          </cell>
          <cell r="D1132" t="str">
            <v>CE20</v>
          </cell>
          <cell r="E1132" t="str">
            <v>국내  담당</v>
          </cell>
          <cell r="F1132" t="str">
            <v>2320</v>
          </cell>
          <cell r="G1132" t="str">
            <v>2320</v>
          </cell>
          <cell r="H1132" t="str">
            <v>19860912</v>
          </cell>
          <cell r="I1132">
            <v>22954973</v>
          </cell>
        </row>
        <row r="1133">
          <cell r="A1133" t="str">
            <v>7300416</v>
          </cell>
          <cell r="B1133" t="str">
            <v>이　명　옥</v>
          </cell>
          <cell r="C1133" t="str">
            <v>7300416이　명　옥</v>
          </cell>
          <cell r="D1133" t="str">
            <v>CE20</v>
          </cell>
          <cell r="E1133" t="str">
            <v>국내  담당</v>
          </cell>
          <cell r="F1133" t="str">
            <v>2320</v>
          </cell>
          <cell r="G1133" t="str">
            <v>2320</v>
          </cell>
          <cell r="H1133" t="str">
            <v>19731012</v>
          </cell>
          <cell r="I1133">
            <v>50296357</v>
          </cell>
        </row>
        <row r="1134">
          <cell r="A1134" t="str">
            <v>8604000</v>
          </cell>
          <cell r="B1134" t="str">
            <v>이　병　두</v>
          </cell>
          <cell r="C1134" t="str">
            <v>8604000이　병　두</v>
          </cell>
          <cell r="D1134" t="str">
            <v>CE20</v>
          </cell>
          <cell r="E1134" t="str">
            <v>국내  담당</v>
          </cell>
          <cell r="F1134" t="str">
            <v>2320</v>
          </cell>
          <cell r="G1134" t="str">
            <v>2320</v>
          </cell>
          <cell r="H1134" t="str">
            <v>19860916</v>
          </cell>
          <cell r="I1134">
            <v>22428650</v>
          </cell>
        </row>
        <row r="1135">
          <cell r="A1135" t="str">
            <v>8800413</v>
          </cell>
          <cell r="B1135" t="str">
            <v>이　병　현</v>
          </cell>
          <cell r="C1135" t="str">
            <v>8800413이　병　현</v>
          </cell>
          <cell r="D1135" t="str">
            <v>CE20</v>
          </cell>
          <cell r="E1135" t="str">
            <v>국내  담당</v>
          </cell>
          <cell r="F1135" t="str">
            <v>2320</v>
          </cell>
          <cell r="G1135" t="str">
            <v>2320</v>
          </cell>
          <cell r="H1135" t="str">
            <v>19880406</v>
          </cell>
          <cell r="I1135">
            <v>18317277</v>
          </cell>
          <cell r="J1135" t="str">
            <v>2 월</v>
          </cell>
          <cell r="K1135">
            <v>18412481</v>
          </cell>
        </row>
        <row r="1136">
          <cell r="A1136" t="str">
            <v>9305267</v>
          </cell>
          <cell r="B1136" t="str">
            <v>이　복　선</v>
          </cell>
          <cell r="C1136" t="str">
            <v>9305267이　복　선</v>
          </cell>
          <cell r="D1136" t="str">
            <v>CE20</v>
          </cell>
          <cell r="E1136" t="str">
            <v>국내  담당</v>
          </cell>
          <cell r="F1136" t="str">
            <v>2320</v>
          </cell>
          <cell r="G1136" t="str">
            <v>2320</v>
          </cell>
          <cell r="H1136" t="str">
            <v>19930816</v>
          </cell>
          <cell r="I1136">
            <v>8791785</v>
          </cell>
        </row>
        <row r="1137">
          <cell r="A1137" t="str">
            <v>7700185</v>
          </cell>
          <cell r="B1137" t="str">
            <v>이　성　래</v>
          </cell>
          <cell r="C1137" t="str">
            <v>7700185이　성　래</v>
          </cell>
          <cell r="D1137" t="str">
            <v>CE20</v>
          </cell>
          <cell r="E1137" t="str">
            <v>국내  담당</v>
          </cell>
          <cell r="F1137" t="str">
            <v>2320</v>
          </cell>
          <cell r="G1137" t="e">
            <v>#N/A</v>
          </cell>
          <cell r="H1137" t="str">
            <v>19770406</v>
          </cell>
          <cell r="I1137">
            <v>41650512</v>
          </cell>
          <cell r="J1137" t="str">
            <v>6 월</v>
          </cell>
          <cell r="K1137">
            <v>43929149</v>
          </cell>
        </row>
        <row r="1138">
          <cell r="A1138" t="str">
            <v>7700185</v>
          </cell>
          <cell r="B1138" t="str">
            <v>이　성　래</v>
          </cell>
          <cell r="C1138" t="str">
            <v>7700185이　성　래</v>
          </cell>
          <cell r="D1138" t="str">
            <v>CE20</v>
          </cell>
          <cell r="E1138" t="str">
            <v>국내  담당</v>
          </cell>
          <cell r="F1138" t="str">
            <v>2320</v>
          </cell>
          <cell r="G1138" t="e">
            <v>#N/A</v>
          </cell>
          <cell r="H1138" t="str">
            <v>19770406</v>
          </cell>
          <cell r="J1138" t="str">
            <v>7 월</v>
          </cell>
          <cell r="K1138">
            <v>4458837</v>
          </cell>
        </row>
        <row r="1139">
          <cell r="A1139" t="str">
            <v>9502536</v>
          </cell>
          <cell r="B1139" t="str">
            <v>이　성　열</v>
          </cell>
          <cell r="C1139" t="str">
            <v>9502536이　성　열</v>
          </cell>
          <cell r="D1139" t="str">
            <v>CE20</v>
          </cell>
          <cell r="E1139" t="str">
            <v>국내  담당</v>
          </cell>
          <cell r="F1139" t="str">
            <v>2320</v>
          </cell>
          <cell r="G1139" t="str">
            <v>2320</v>
          </cell>
          <cell r="H1139" t="str">
            <v>19951005</v>
          </cell>
          <cell r="I1139">
            <v>5613841</v>
          </cell>
        </row>
        <row r="1140">
          <cell r="A1140" t="str">
            <v>9701357</v>
          </cell>
          <cell r="B1140" t="str">
            <v>이　성　우</v>
          </cell>
          <cell r="C1140" t="str">
            <v>9701357이　성　우</v>
          </cell>
          <cell r="D1140" t="str">
            <v>CE20</v>
          </cell>
          <cell r="E1140" t="str">
            <v>국내  담당</v>
          </cell>
          <cell r="F1140" t="str">
            <v>2320</v>
          </cell>
          <cell r="G1140" t="str">
            <v>2320</v>
          </cell>
          <cell r="H1140" t="str">
            <v>19970601</v>
          </cell>
          <cell r="I1140">
            <v>2693559</v>
          </cell>
        </row>
        <row r="1141">
          <cell r="A1141" t="str">
            <v>8500206</v>
          </cell>
          <cell r="B1141" t="str">
            <v>이　성　헌</v>
          </cell>
          <cell r="C1141" t="str">
            <v>8500206이　성　헌</v>
          </cell>
          <cell r="D1141" t="str">
            <v>CE20</v>
          </cell>
          <cell r="E1141" t="str">
            <v>국내  담당</v>
          </cell>
          <cell r="F1141" t="str">
            <v>2320</v>
          </cell>
          <cell r="G1141" t="str">
            <v>2320</v>
          </cell>
          <cell r="H1141" t="str">
            <v>19870907</v>
          </cell>
          <cell r="I1141">
            <v>21997681</v>
          </cell>
        </row>
        <row r="1142">
          <cell r="A1142" t="str">
            <v>9104747</v>
          </cell>
          <cell r="B1142" t="str">
            <v>이　세　영</v>
          </cell>
          <cell r="C1142" t="str">
            <v>9104747이　세　영</v>
          </cell>
          <cell r="D1142" t="str">
            <v>CE20</v>
          </cell>
          <cell r="E1142" t="str">
            <v>국내  담당</v>
          </cell>
          <cell r="F1142" t="str">
            <v>2320</v>
          </cell>
          <cell r="G1142" t="str">
            <v>2320</v>
          </cell>
          <cell r="H1142" t="str">
            <v>19911101</v>
          </cell>
          <cell r="I1142">
            <v>10274383</v>
          </cell>
        </row>
        <row r="1143">
          <cell r="A1143" t="str">
            <v>7300348</v>
          </cell>
          <cell r="B1143" t="str">
            <v>이　수　일</v>
          </cell>
          <cell r="C1143" t="str">
            <v>7300348이　수　일</v>
          </cell>
          <cell r="D1143" t="str">
            <v>CE20</v>
          </cell>
          <cell r="E1143" t="str">
            <v>국내  담당</v>
          </cell>
          <cell r="F1143" t="str">
            <v>2320</v>
          </cell>
          <cell r="G1143" t="str">
            <v>2320</v>
          </cell>
          <cell r="H1143" t="str">
            <v>19730309</v>
          </cell>
          <cell r="I1143">
            <v>53093763</v>
          </cell>
        </row>
        <row r="1144">
          <cell r="A1144" t="str">
            <v>9101237</v>
          </cell>
          <cell r="B1144" t="str">
            <v>이　승　효</v>
          </cell>
          <cell r="C1144" t="str">
            <v>9101237이　승　효</v>
          </cell>
          <cell r="D1144" t="str">
            <v>CE20</v>
          </cell>
          <cell r="E1144" t="str">
            <v>국내  담당</v>
          </cell>
          <cell r="F1144" t="str">
            <v>2320</v>
          </cell>
          <cell r="G1144" t="str">
            <v>2320</v>
          </cell>
          <cell r="H1144" t="str">
            <v>19910411</v>
          </cell>
          <cell r="I1144">
            <v>11702290</v>
          </cell>
        </row>
        <row r="1145">
          <cell r="A1145" t="str">
            <v>7900560</v>
          </cell>
          <cell r="B1145" t="str">
            <v>이　신　행</v>
          </cell>
          <cell r="C1145" t="str">
            <v>7900560이　신　행</v>
          </cell>
          <cell r="D1145" t="str">
            <v>CE20</v>
          </cell>
          <cell r="E1145" t="str">
            <v>국내  담당</v>
          </cell>
          <cell r="F1145" t="str">
            <v>2320</v>
          </cell>
          <cell r="G1145" t="str">
            <v>2320</v>
          </cell>
          <cell r="H1145" t="str">
            <v>19790801</v>
          </cell>
          <cell r="I1145">
            <v>34034229</v>
          </cell>
        </row>
        <row r="1146">
          <cell r="A1146" t="str">
            <v>8300327</v>
          </cell>
          <cell r="B1146" t="str">
            <v>이　영　근</v>
          </cell>
          <cell r="C1146" t="str">
            <v>8300327이　영　근</v>
          </cell>
          <cell r="D1146" t="str">
            <v>CE20</v>
          </cell>
          <cell r="E1146" t="str">
            <v>국내  담당</v>
          </cell>
          <cell r="F1146" t="str">
            <v>2320</v>
          </cell>
          <cell r="G1146" t="str">
            <v>2320</v>
          </cell>
          <cell r="H1146" t="str">
            <v>19830601</v>
          </cell>
          <cell r="I1146">
            <v>29547398</v>
          </cell>
        </row>
        <row r="1147">
          <cell r="A1147" t="str">
            <v>8401026</v>
          </cell>
          <cell r="B1147" t="str">
            <v>이　영　찬</v>
          </cell>
          <cell r="C1147" t="str">
            <v>8401026이　영　찬</v>
          </cell>
          <cell r="D1147" t="str">
            <v>CE20</v>
          </cell>
          <cell r="E1147" t="str">
            <v>국내  담당</v>
          </cell>
          <cell r="F1147" t="str">
            <v>2320</v>
          </cell>
          <cell r="G1147" t="str">
            <v>2320</v>
          </cell>
          <cell r="H1147" t="str">
            <v>19840901</v>
          </cell>
          <cell r="I1147">
            <v>28059209</v>
          </cell>
        </row>
        <row r="1148">
          <cell r="A1148" t="str">
            <v>9204581</v>
          </cell>
          <cell r="B1148" t="str">
            <v>이　정　우</v>
          </cell>
          <cell r="C1148" t="str">
            <v>9204581이　정　우</v>
          </cell>
          <cell r="D1148" t="str">
            <v>CE20</v>
          </cell>
          <cell r="E1148" t="str">
            <v>국내  담당</v>
          </cell>
          <cell r="F1148" t="str">
            <v>2320</v>
          </cell>
          <cell r="G1148" t="str">
            <v>2320</v>
          </cell>
          <cell r="H1148" t="str">
            <v>19920801</v>
          </cell>
          <cell r="I1148">
            <v>12613330</v>
          </cell>
        </row>
        <row r="1149">
          <cell r="A1149" t="str">
            <v>8800345</v>
          </cell>
          <cell r="B1149" t="str">
            <v>이　종　국</v>
          </cell>
          <cell r="C1149" t="str">
            <v>8800345이　종　국</v>
          </cell>
          <cell r="D1149" t="str">
            <v>CE20</v>
          </cell>
          <cell r="E1149" t="str">
            <v>국내  담당</v>
          </cell>
          <cell r="F1149" t="str">
            <v>2320</v>
          </cell>
          <cell r="G1149" t="str">
            <v>2320</v>
          </cell>
          <cell r="H1149" t="str">
            <v>19880406</v>
          </cell>
          <cell r="I1149">
            <v>15589852</v>
          </cell>
        </row>
        <row r="1150">
          <cell r="A1150" t="str">
            <v>8601478</v>
          </cell>
          <cell r="B1150" t="str">
            <v>이　창　수</v>
          </cell>
          <cell r="C1150" t="str">
            <v>8601478이　창　수</v>
          </cell>
          <cell r="D1150" t="str">
            <v>CE20</v>
          </cell>
          <cell r="E1150" t="str">
            <v>국내  담당</v>
          </cell>
          <cell r="F1150" t="str">
            <v>2320</v>
          </cell>
          <cell r="G1150" t="str">
            <v>2320</v>
          </cell>
          <cell r="H1150" t="str">
            <v>19860513</v>
          </cell>
          <cell r="I1150">
            <v>23178236</v>
          </cell>
        </row>
        <row r="1151">
          <cell r="A1151" t="str">
            <v>9002384</v>
          </cell>
          <cell r="B1151" t="str">
            <v>이　창　재</v>
          </cell>
          <cell r="C1151" t="str">
            <v>9002384이　창　재</v>
          </cell>
          <cell r="D1151" t="str">
            <v>CE20</v>
          </cell>
          <cell r="E1151" t="str">
            <v>국내  담당</v>
          </cell>
          <cell r="F1151" t="str">
            <v>2320</v>
          </cell>
          <cell r="G1151" t="str">
            <v>2320</v>
          </cell>
          <cell r="H1151" t="str">
            <v>19900110</v>
          </cell>
          <cell r="I1151">
            <v>14111608</v>
          </cell>
        </row>
        <row r="1152">
          <cell r="A1152" t="str">
            <v>8902168</v>
          </cell>
          <cell r="B1152" t="str">
            <v>이　창　진</v>
          </cell>
          <cell r="C1152" t="str">
            <v>8902168이　창　진</v>
          </cell>
          <cell r="D1152" t="str">
            <v>CE20</v>
          </cell>
          <cell r="E1152" t="str">
            <v>국내  담당</v>
          </cell>
          <cell r="F1152" t="str">
            <v>2320</v>
          </cell>
          <cell r="G1152" t="str">
            <v>2320</v>
          </cell>
          <cell r="H1152" t="str">
            <v>19881223</v>
          </cell>
          <cell r="I1152">
            <v>14760010</v>
          </cell>
        </row>
        <row r="1153">
          <cell r="A1153" t="str">
            <v>9002867</v>
          </cell>
          <cell r="B1153" t="str">
            <v>이　한　복</v>
          </cell>
          <cell r="C1153" t="str">
            <v>9002867이　한　복</v>
          </cell>
          <cell r="D1153" t="str">
            <v>CE20</v>
          </cell>
          <cell r="E1153" t="str">
            <v>국내  담당</v>
          </cell>
          <cell r="F1153" t="str">
            <v>2320</v>
          </cell>
          <cell r="G1153" t="str">
            <v>2320</v>
          </cell>
          <cell r="H1153" t="str">
            <v>19900302</v>
          </cell>
          <cell r="I1153">
            <v>14793401</v>
          </cell>
          <cell r="J1153" t="str">
            <v>2 월</v>
          </cell>
          <cell r="K1153">
            <v>15084133</v>
          </cell>
        </row>
        <row r="1154">
          <cell r="A1154" t="str">
            <v>8902607</v>
          </cell>
          <cell r="B1154" t="str">
            <v>이　회　석</v>
          </cell>
          <cell r="C1154" t="str">
            <v>8902607이　회　석</v>
          </cell>
          <cell r="D1154" t="str">
            <v>CE20</v>
          </cell>
          <cell r="E1154" t="str">
            <v>국내  담당</v>
          </cell>
          <cell r="F1154" t="str">
            <v>2320</v>
          </cell>
          <cell r="G1154" t="str">
            <v>2432</v>
          </cell>
          <cell r="H1154" t="str">
            <v>19890220</v>
          </cell>
          <cell r="I1154">
            <v>13616531</v>
          </cell>
        </row>
        <row r="1155">
          <cell r="A1155" t="str">
            <v>9200902</v>
          </cell>
          <cell r="B1155" t="str">
            <v>이　후　직</v>
          </cell>
          <cell r="C1155" t="str">
            <v>9200902이　후　직</v>
          </cell>
          <cell r="D1155" t="str">
            <v>CE20</v>
          </cell>
          <cell r="E1155" t="str">
            <v>국내  담당</v>
          </cell>
          <cell r="F1155" t="str">
            <v>2320</v>
          </cell>
          <cell r="G1155" t="str">
            <v>2320</v>
          </cell>
          <cell r="H1155" t="str">
            <v>19920210</v>
          </cell>
          <cell r="I1155">
            <v>10220182</v>
          </cell>
        </row>
        <row r="1156">
          <cell r="A1156" t="str">
            <v>9105164</v>
          </cell>
          <cell r="B1156" t="str">
            <v>임　종　순</v>
          </cell>
          <cell r="C1156" t="str">
            <v>9105164임　종　순</v>
          </cell>
          <cell r="D1156" t="str">
            <v>CE20</v>
          </cell>
          <cell r="E1156" t="str">
            <v>국내  담당</v>
          </cell>
          <cell r="F1156" t="str">
            <v>2320</v>
          </cell>
          <cell r="G1156" t="str">
            <v>2320</v>
          </cell>
          <cell r="H1156" t="str">
            <v>19911116</v>
          </cell>
          <cell r="I1156">
            <v>11157729</v>
          </cell>
        </row>
        <row r="1157">
          <cell r="A1157" t="str">
            <v>9103678</v>
          </cell>
          <cell r="B1157" t="str">
            <v>장　덕　수</v>
          </cell>
          <cell r="C1157" t="str">
            <v>9103678장　덕　수</v>
          </cell>
          <cell r="D1157" t="str">
            <v>CE20</v>
          </cell>
          <cell r="E1157" t="str">
            <v>국내  담당</v>
          </cell>
          <cell r="F1157" t="str">
            <v>2320</v>
          </cell>
          <cell r="G1157" t="str">
            <v>2320</v>
          </cell>
          <cell r="H1157" t="str">
            <v>19910910</v>
          </cell>
          <cell r="I1157">
            <v>11072068</v>
          </cell>
        </row>
        <row r="1158">
          <cell r="A1158" t="str">
            <v>9701482</v>
          </cell>
          <cell r="B1158" t="str">
            <v>장　영　준</v>
          </cell>
          <cell r="C1158" t="str">
            <v>9701482장　영　준</v>
          </cell>
          <cell r="D1158" t="str">
            <v>CE20</v>
          </cell>
          <cell r="E1158" t="str">
            <v>국내  담당</v>
          </cell>
          <cell r="F1158" t="str">
            <v>2320</v>
          </cell>
          <cell r="G1158" t="str">
            <v>2320</v>
          </cell>
          <cell r="H1158" t="str">
            <v>19970601</v>
          </cell>
          <cell r="I1158">
            <v>2944285</v>
          </cell>
        </row>
        <row r="1159">
          <cell r="A1159" t="str">
            <v>9303704</v>
          </cell>
          <cell r="B1159" t="str">
            <v>전　우　강</v>
          </cell>
          <cell r="C1159" t="str">
            <v>9303704전　우　강</v>
          </cell>
          <cell r="D1159" t="str">
            <v>CE20</v>
          </cell>
          <cell r="E1159" t="str">
            <v>국내  담당</v>
          </cell>
          <cell r="F1159" t="str">
            <v>2320</v>
          </cell>
          <cell r="G1159" t="str">
            <v>2320</v>
          </cell>
          <cell r="H1159" t="str">
            <v>19930701</v>
          </cell>
          <cell r="I1159">
            <v>9350320</v>
          </cell>
        </row>
        <row r="1160">
          <cell r="A1160" t="str">
            <v>9402851</v>
          </cell>
          <cell r="B1160" t="str">
            <v>전　은　환</v>
          </cell>
          <cell r="C1160" t="str">
            <v>9402851전　은　환</v>
          </cell>
          <cell r="D1160" t="str">
            <v>CE20</v>
          </cell>
          <cell r="E1160" t="str">
            <v>국내  담당</v>
          </cell>
          <cell r="F1160" t="str">
            <v>2320</v>
          </cell>
          <cell r="G1160" t="str">
            <v>2320</v>
          </cell>
          <cell r="H1160" t="str">
            <v>19940502</v>
          </cell>
          <cell r="I1160">
            <v>6523092</v>
          </cell>
        </row>
        <row r="1161">
          <cell r="A1161" t="str">
            <v>9305256</v>
          </cell>
          <cell r="B1161" t="str">
            <v>전　태　원</v>
          </cell>
          <cell r="C1161" t="str">
            <v>9305256전　태　원</v>
          </cell>
          <cell r="D1161" t="str">
            <v>CE20</v>
          </cell>
          <cell r="E1161" t="str">
            <v>국내  담당</v>
          </cell>
          <cell r="F1161" t="str">
            <v>2320</v>
          </cell>
          <cell r="G1161" t="e">
            <v>#N/A</v>
          </cell>
          <cell r="H1161" t="str">
            <v>19930816</v>
          </cell>
          <cell r="I1161">
            <v>7144533</v>
          </cell>
          <cell r="J1161" t="str">
            <v>4 월</v>
          </cell>
          <cell r="K1161">
            <v>7554265</v>
          </cell>
        </row>
        <row r="1162">
          <cell r="A1162" t="str">
            <v>9302310</v>
          </cell>
          <cell r="B1162" t="str">
            <v>정　관　수</v>
          </cell>
          <cell r="C1162" t="str">
            <v>9302310정　관　수</v>
          </cell>
          <cell r="D1162" t="str">
            <v>CE20</v>
          </cell>
          <cell r="E1162" t="str">
            <v>국내  담당</v>
          </cell>
          <cell r="F1162" t="str">
            <v>2320</v>
          </cell>
          <cell r="G1162" t="str">
            <v>2320</v>
          </cell>
          <cell r="H1162" t="str">
            <v>19930501</v>
          </cell>
          <cell r="I1162">
            <v>8776043</v>
          </cell>
        </row>
        <row r="1163">
          <cell r="A1163" t="str">
            <v>7700624</v>
          </cell>
          <cell r="B1163" t="str">
            <v>정　권　수</v>
          </cell>
          <cell r="C1163" t="str">
            <v>7700624정　권　수</v>
          </cell>
          <cell r="D1163" t="str">
            <v>CE20</v>
          </cell>
          <cell r="E1163" t="str">
            <v>국내  담당</v>
          </cell>
          <cell r="F1163" t="str">
            <v>2320</v>
          </cell>
          <cell r="G1163" t="str">
            <v>2420</v>
          </cell>
          <cell r="H1163" t="str">
            <v>19981201</v>
          </cell>
          <cell r="I1163">
            <v>2788879</v>
          </cell>
        </row>
        <row r="1164">
          <cell r="A1164" t="str">
            <v>8400273</v>
          </cell>
          <cell r="B1164" t="str">
            <v>정　남　수</v>
          </cell>
          <cell r="C1164" t="str">
            <v>8400273정　남　수</v>
          </cell>
          <cell r="D1164" t="str">
            <v>CE20</v>
          </cell>
          <cell r="E1164" t="str">
            <v>국내  담당</v>
          </cell>
          <cell r="F1164" t="str">
            <v>2320</v>
          </cell>
          <cell r="G1164" t="str">
            <v>2320</v>
          </cell>
          <cell r="H1164" t="str">
            <v>19840411</v>
          </cell>
          <cell r="I1164">
            <v>31935149</v>
          </cell>
        </row>
        <row r="1165">
          <cell r="A1165" t="str">
            <v>8700603</v>
          </cell>
          <cell r="B1165" t="str">
            <v>정　동　철</v>
          </cell>
          <cell r="C1165" t="str">
            <v>8700603정　동　철</v>
          </cell>
          <cell r="D1165" t="str">
            <v>CE20</v>
          </cell>
          <cell r="E1165" t="str">
            <v>국내  담당</v>
          </cell>
          <cell r="F1165" t="str">
            <v>2320</v>
          </cell>
          <cell r="G1165" t="str">
            <v>2320</v>
          </cell>
          <cell r="H1165" t="str">
            <v>19870521</v>
          </cell>
          <cell r="I1165">
            <v>20626728</v>
          </cell>
        </row>
        <row r="1166">
          <cell r="A1166" t="str">
            <v>8701053</v>
          </cell>
          <cell r="B1166" t="str">
            <v>정　용　인</v>
          </cell>
          <cell r="C1166" t="str">
            <v>8701053정　용　인</v>
          </cell>
          <cell r="D1166" t="str">
            <v>CE20</v>
          </cell>
          <cell r="E1166" t="str">
            <v>국내  담당</v>
          </cell>
          <cell r="F1166" t="str">
            <v>2320</v>
          </cell>
          <cell r="G1166" t="str">
            <v>2320</v>
          </cell>
          <cell r="H1166" t="str">
            <v>19870611</v>
          </cell>
          <cell r="I1166">
            <v>18434380</v>
          </cell>
        </row>
        <row r="1167">
          <cell r="A1167" t="str">
            <v>9402287</v>
          </cell>
          <cell r="B1167" t="str">
            <v>정　재　선</v>
          </cell>
          <cell r="C1167" t="str">
            <v>9402287정　재　선</v>
          </cell>
          <cell r="D1167" t="str">
            <v>CE20</v>
          </cell>
          <cell r="E1167" t="str">
            <v>국내  담당</v>
          </cell>
          <cell r="F1167" t="str">
            <v>2320</v>
          </cell>
          <cell r="G1167" t="str">
            <v>2320</v>
          </cell>
          <cell r="H1167" t="str">
            <v>19940418</v>
          </cell>
          <cell r="I1167">
            <v>7232935</v>
          </cell>
        </row>
        <row r="1168">
          <cell r="A1168" t="str">
            <v>8100652</v>
          </cell>
          <cell r="B1168" t="str">
            <v>정　재　철</v>
          </cell>
          <cell r="C1168" t="str">
            <v>8100652정　재　철</v>
          </cell>
          <cell r="D1168" t="str">
            <v>CE20</v>
          </cell>
          <cell r="E1168" t="str">
            <v>국내  담당</v>
          </cell>
          <cell r="F1168" t="str">
            <v>2320</v>
          </cell>
          <cell r="G1168" t="str">
            <v>2320</v>
          </cell>
          <cell r="H1168" t="str">
            <v>19811101</v>
          </cell>
          <cell r="I1168">
            <v>36958203</v>
          </cell>
        </row>
        <row r="1169">
          <cell r="A1169" t="str">
            <v>9702358</v>
          </cell>
          <cell r="B1169" t="str">
            <v>정　형　민</v>
          </cell>
          <cell r="C1169" t="str">
            <v>9702358정　형　민</v>
          </cell>
          <cell r="D1169" t="str">
            <v>CE20</v>
          </cell>
          <cell r="E1169" t="str">
            <v>국내  담당</v>
          </cell>
          <cell r="F1169" t="str">
            <v>2320</v>
          </cell>
          <cell r="G1169" t="str">
            <v>2320</v>
          </cell>
          <cell r="H1169" t="str">
            <v>19970821</v>
          </cell>
          <cell r="I1169">
            <v>2656224</v>
          </cell>
        </row>
        <row r="1170">
          <cell r="A1170" t="str">
            <v>8800255</v>
          </cell>
          <cell r="B1170" t="str">
            <v>조　병　모</v>
          </cell>
          <cell r="C1170" t="str">
            <v>8800255조　병　모</v>
          </cell>
          <cell r="D1170" t="str">
            <v>CE20</v>
          </cell>
          <cell r="E1170" t="str">
            <v>국내  담당</v>
          </cell>
          <cell r="F1170" t="str">
            <v>2320</v>
          </cell>
          <cell r="G1170" t="str">
            <v>2320</v>
          </cell>
          <cell r="H1170" t="str">
            <v>19880422</v>
          </cell>
          <cell r="I1170">
            <v>18145121</v>
          </cell>
        </row>
        <row r="1171">
          <cell r="A1171" t="str">
            <v>8201136</v>
          </cell>
          <cell r="B1171" t="str">
            <v>조　성　대</v>
          </cell>
          <cell r="C1171" t="str">
            <v>8201136조　성　대</v>
          </cell>
          <cell r="D1171" t="str">
            <v>CE20</v>
          </cell>
          <cell r="E1171" t="str">
            <v>국내  담당</v>
          </cell>
          <cell r="F1171" t="str">
            <v>2320</v>
          </cell>
          <cell r="G1171" t="str">
            <v>2320</v>
          </cell>
          <cell r="H1171" t="str">
            <v>19821016</v>
          </cell>
          <cell r="I1171">
            <v>28778621</v>
          </cell>
        </row>
        <row r="1172">
          <cell r="A1172" t="str">
            <v>8602907</v>
          </cell>
          <cell r="B1172" t="str">
            <v>조　세　일</v>
          </cell>
          <cell r="C1172" t="str">
            <v>8602907조　세　일</v>
          </cell>
          <cell r="D1172" t="str">
            <v>CE20</v>
          </cell>
          <cell r="E1172" t="str">
            <v>국내  담당</v>
          </cell>
          <cell r="F1172" t="str">
            <v>2320</v>
          </cell>
          <cell r="G1172" t="str">
            <v>2320</v>
          </cell>
          <cell r="H1172" t="str">
            <v>19860820</v>
          </cell>
          <cell r="I1172">
            <v>20964946</v>
          </cell>
        </row>
        <row r="1173">
          <cell r="A1173" t="str">
            <v>9203095</v>
          </cell>
          <cell r="B1173" t="str">
            <v>조　승　환</v>
          </cell>
          <cell r="C1173" t="str">
            <v>9203095조　승　환</v>
          </cell>
          <cell r="D1173" t="str">
            <v>CE20</v>
          </cell>
          <cell r="E1173" t="str">
            <v>국내  담당</v>
          </cell>
          <cell r="F1173" t="str">
            <v>2320</v>
          </cell>
          <cell r="G1173" t="str">
            <v>2320</v>
          </cell>
          <cell r="H1173" t="str">
            <v>19920601</v>
          </cell>
          <cell r="I1173">
            <v>10395370</v>
          </cell>
        </row>
        <row r="1174">
          <cell r="A1174" t="str">
            <v>8900807</v>
          </cell>
          <cell r="B1174" t="str">
            <v>조　영　배</v>
          </cell>
          <cell r="C1174" t="str">
            <v>8900807조　영　배</v>
          </cell>
          <cell r="D1174" t="str">
            <v>CE20</v>
          </cell>
          <cell r="E1174" t="str">
            <v>국내  담당</v>
          </cell>
          <cell r="F1174" t="str">
            <v>2320</v>
          </cell>
          <cell r="G1174" t="str">
            <v>2320</v>
          </cell>
          <cell r="H1174" t="str">
            <v>19880824</v>
          </cell>
          <cell r="I1174">
            <v>17414125</v>
          </cell>
        </row>
        <row r="1175">
          <cell r="A1175" t="str">
            <v>9700108</v>
          </cell>
          <cell r="B1175" t="str">
            <v>조　재　민</v>
          </cell>
          <cell r="C1175" t="str">
            <v>9700108조　재　민</v>
          </cell>
          <cell r="D1175" t="str">
            <v>CE20</v>
          </cell>
          <cell r="E1175" t="str">
            <v>국내  담당</v>
          </cell>
          <cell r="F1175" t="str">
            <v>2320</v>
          </cell>
          <cell r="G1175" t="str">
            <v>2320</v>
          </cell>
          <cell r="H1175" t="str">
            <v>19970205</v>
          </cell>
          <cell r="I1175">
            <v>3433046</v>
          </cell>
        </row>
        <row r="1176">
          <cell r="A1176" t="str">
            <v>9307686</v>
          </cell>
          <cell r="B1176" t="str">
            <v>조　중　형</v>
          </cell>
          <cell r="C1176" t="str">
            <v>9307686조　중　형</v>
          </cell>
          <cell r="D1176" t="str">
            <v>CE20</v>
          </cell>
          <cell r="E1176" t="str">
            <v>국내  담당</v>
          </cell>
          <cell r="F1176" t="str">
            <v>2320</v>
          </cell>
          <cell r="G1176" t="str">
            <v>2320</v>
          </cell>
          <cell r="H1176" t="str">
            <v>19931201</v>
          </cell>
          <cell r="I1176">
            <v>7749710</v>
          </cell>
        </row>
        <row r="1177">
          <cell r="A1177" t="str">
            <v>9001945</v>
          </cell>
          <cell r="B1177" t="str">
            <v>주　기　완</v>
          </cell>
          <cell r="C1177" t="str">
            <v>9001945주　기　완</v>
          </cell>
          <cell r="D1177" t="str">
            <v>CE20</v>
          </cell>
          <cell r="E1177" t="str">
            <v>국내  담당</v>
          </cell>
          <cell r="F1177" t="str">
            <v>2320</v>
          </cell>
          <cell r="G1177" t="str">
            <v>2320</v>
          </cell>
          <cell r="H1177" t="str">
            <v>19891220</v>
          </cell>
          <cell r="I1177">
            <v>13978349</v>
          </cell>
        </row>
        <row r="1178">
          <cell r="A1178" t="str">
            <v>8500285</v>
          </cell>
          <cell r="B1178" t="str">
            <v>주　낙　영</v>
          </cell>
          <cell r="C1178" t="str">
            <v>8500285주　낙　영</v>
          </cell>
          <cell r="D1178" t="str">
            <v>CE20</v>
          </cell>
          <cell r="E1178" t="str">
            <v>국내  담당</v>
          </cell>
          <cell r="F1178" t="str">
            <v>2320</v>
          </cell>
          <cell r="G1178" t="str">
            <v>2320</v>
          </cell>
          <cell r="H1178" t="str">
            <v>19981211</v>
          </cell>
          <cell r="I1178">
            <v>2241007</v>
          </cell>
        </row>
        <row r="1179">
          <cell r="A1179" t="str">
            <v>9102060</v>
          </cell>
          <cell r="B1179" t="str">
            <v>진　시　경</v>
          </cell>
          <cell r="C1179" t="str">
            <v>9102060진　시　경</v>
          </cell>
          <cell r="D1179" t="str">
            <v>CE20</v>
          </cell>
          <cell r="E1179" t="str">
            <v>국내  담당</v>
          </cell>
          <cell r="F1179" t="str">
            <v>2320</v>
          </cell>
          <cell r="G1179" t="str">
            <v>2320</v>
          </cell>
          <cell r="H1179" t="str">
            <v>19910621</v>
          </cell>
          <cell r="I1179">
            <v>10019308</v>
          </cell>
        </row>
        <row r="1180">
          <cell r="A1180" t="str">
            <v>8201215</v>
          </cell>
          <cell r="B1180" t="str">
            <v>차　성　희</v>
          </cell>
          <cell r="C1180" t="str">
            <v>8201215차　성　희</v>
          </cell>
          <cell r="D1180" t="str">
            <v>CE20</v>
          </cell>
          <cell r="E1180" t="str">
            <v>국내  담당</v>
          </cell>
          <cell r="F1180" t="str">
            <v>2320</v>
          </cell>
          <cell r="G1180" t="str">
            <v>2320</v>
          </cell>
          <cell r="H1180" t="str">
            <v>19971001</v>
          </cell>
          <cell r="I1180">
            <v>3817874</v>
          </cell>
        </row>
        <row r="1181">
          <cell r="A1181" t="str">
            <v>8700985</v>
          </cell>
          <cell r="B1181" t="str">
            <v>차　중　환</v>
          </cell>
          <cell r="C1181" t="str">
            <v>8700985차　중　환</v>
          </cell>
          <cell r="D1181" t="str">
            <v>CE20</v>
          </cell>
          <cell r="E1181" t="str">
            <v>국내  담당</v>
          </cell>
          <cell r="F1181" t="str">
            <v>2320</v>
          </cell>
          <cell r="G1181" t="str">
            <v>2320</v>
          </cell>
          <cell r="H1181" t="str">
            <v>19870611</v>
          </cell>
          <cell r="I1181">
            <v>18753062</v>
          </cell>
        </row>
        <row r="1182">
          <cell r="A1182" t="str">
            <v>9104264</v>
          </cell>
          <cell r="B1182" t="str">
            <v>최　광　현</v>
          </cell>
          <cell r="C1182" t="str">
            <v>9104264최　광　현</v>
          </cell>
          <cell r="D1182" t="str">
            <v>CE20</v>
          </cell>
          <cell r="E1182" t="str">
            <v>국내  담당</v>
          </cell>
          <cell r="F1182" t="str">
            <v>2320</v>
          </cell>
          <cell r="G1182" t="str">
            <v>2320</v>
          </cell>
          <cell r="H1182" t="str">
            <v>19991001</v>
          </cell>
          <cell r="I1182">
            <v>287820</v>
          </cell>
        </row>
        <row r="1183">
          <cell r="A1183" t="str">
            <v>9300442</v>
          </cell>
          <cell r="B1183" t="str">
            <v>최　백　규</v>
          </cell>
          <cell r="C1183" t="str">
            <v>9300442최　백　규</v>
          </cell>
          <cell r="D1183" t="str">
            <v>CE20</v>
          </cell>
          <cell r="E1183" t="str">
            <v>국내  담당</v>
          </cell>
          <cell r="F1183" t="str">
            <v>2320</v>
          </cell>
          <cell r="G1183" t="str">
            <v>2654</v>
          </cell>
          <cell r="H1183" t="str">
            <v>19930116</v>
          </cell>
          <cell r="I1183">
            <v>8561799</v>
          </cell>
        </row>
        <row r="1184">
          <cell r="A1184" t="str">
            <v>7200022</v>
          </cell>
          <cell r="B1184" t="str">
            <v>최　범　락</v>
          </cell>
          <cell r="C1184" t="str">
            <v>7200022최　범　락</v>
          </cell>
          <cell r="D1184" t="str">
            <v>CE20</v>
          </cell>
          <cell r="E1184" t="str">
            <v>국내  담당</v>
          </cell>
          <cell r="F1184" t="str">
            <v>2320</v>
          </cell>
          <cell r="G1184" t="str">
            <v>2320</v>
          </cell>
          <cell r="H1184" t="str">
            <v>19720601</v>
          </cell>
          <cell r="I1184">
            <v>53000068</v>
          </cell>
        </row>
        <row r="1185">
          <cell r="A1185" t="str">
            <v>9300104</v>
          </cell>
          <cell r="B1185" t="str">
            <v>최　성　구</v>
          </cell>
          <cell r="C1185" t="str">
            <v>9300104최　성　구</v>
          </cell>
          <cell r="D1185" t="str">
            <v>CE20</v>
          </cell>
          <cell r="E1185" t="str">
            <v>국내  담당</v>
          </cell>
          <cell r="F1185" t="str">
            <v>2320</v>
          </cell>
          <cell r="G1185" t="str">
            <v>2520</v>
          </cell>
          <cell r="H1185" t="str">
            <v>19930105</v>
          </cell>
          <cell r="I1185">
            <v>8576083</v>
          </cell>
        </row>
        <row r="1186">
          <cell r="A1186" t="str">
            <v>8501826</v>
          </cell>
          <cell r="B1186" t="str">
            <v>최　승　철</v>
          </cell>
          <cell r="C1186" t="str">
            <v>8501826최　승　철</v>
          </cell>
          <cell r="D1186" t="str">
            <v>CE20</v>
          </cell>
          <cell r="E1186" t="str">
            <v>국내  담당</v>
          </cell>
          <cell r="F1186" t="str">
            <v>2320</v>
          </cell>
          <cell r="G1186" t="str">
            <v>2320</v>
          </cell>
          <cell r="H1186" t="str">
            <v>19981201</v>
          </cell>
          <cell r="I1186">
            <v>1818774</v>
          </cell>
        </row>
        <row r="1187">
          <cell r="A1187" t="str">
            <v>9403288</v>
          </cell>
          <cell r="B1187" t="str">
            <v>최　진　호</v>
          </cell>
          <cell r="C1187" t="str">
            <v>9403288최　진　호</v>
          </cell>
          <cell r="D1187" t="str">
            <v>CE20</v>
          </cell>
          <cell r="E1187" t="str">
            <v>국내  담당</v>
          </cell>
          <cell r="F1187" t="str">
            <v>2320</v>
          </cell>
          <cell r="G1187" t="str">
            <v>2320</v>
          </cell>
          <cell r="H1187" t="str">
            <v>19940519</v>
          </cell>
          <cell r="I1187">
            <v>6146254</v>
          </cell>
        </row>
        <row r="1188">
          <cell r="A1188" t="str">
            <v>9207257</v>
          </cell>
          <cell r="B1188" t="str">
            <v>최　춘　식</v>
          </cell>
          <cell r="C1188" t="str">
            <v>9207257최　춘　식</v>
          </cell>
          <cell r="D1188" t="str">
            <v>CE20</v>
          </cell>
          <cell r="E1188" t="str">
            <v>국내  담당</v>
          </cell>
          <cell r="F1188" t="str">
            <v>2320</v>
          </cell>
          <cell r="G1188" t="str">
            <v>2320</v>
          </cell>
          <cell r="H1188" t="str">
            <v>19921116</v>
          </cell>
          <cell r="I1188">
            <v>9700046</v>
          </cell>
        </row>
        <row r="1189">
          <cell r="A1189" t="str">
            <v>9104185</v>
          </cell>
          <cell r="B1189" t="str">
            <v>한　창　석</v>
          </cell>
          <cell r="C1189" t="str">
            <v>9104185한　창　석</v>
          </cell>
          <cell r="D1189" t="str">
            <v>CE20</v>
          </cell>
          <cell r="E1189" t="str">
            <v>국내  담당</v>
          </cell>
          <cell r="F1189" t="str">
            <v>2320</v>
          </cell>
          <cell r="G1189" t="str">
            <v>2320</v>
          </cell>
          <cell r="H1189" t="str">
            <v>19911001</v>
          </cell>
          <cell r="I1189">
            <v>12397681</v>
          </cell>
        </row>
        <row r="1190">
          <cell r="A1190" t="str">
            <v>7800423</v>
          </cell>
          <cell r="B1190" t="str">
            <v>한　흥　수</v>
          </cell>
          <cell r="C1190" t="str">
            <v>7800423한　흥　수</v>
          </cell>
          <cell r="D1190" t="str">
            <v>CE20</v>
          </cell>
          <cell r="E1190" t="str">
            <v>국내  담당</v>
          </cell>
          <cell r="F1190" t="str">
            <v>2320</v>
          </cell>
          <cell r="G1190" t="str">
            <v>2320</v>
          </cell>
          <cell r="H1190" t="str">
            <v>19780601</v>
          </cell>
          <cell r="I1190">
            <v>33581288</v>
          </cell>
        </row>
        <row r="1191">
          <cell r="A1191" t="str">
            <v>8700524</v>
          </cell>
          <cell r="B1191" t="str">
            <v>허　금　철</v>
          </cell>
          <cell r="C1191" t="str">
            <v>8700524허　금　철</v>
          </cell>
          <cell r="D1191" t="str">
            <v>CE20</v>
          </cell>
          <cell r="E1191" t="str">
            <v>국내  담당</v>
          </cell>
          <cell r="F1191" t="str">
            <v>2320</v>
          </cell>
          <cell r="G1191" t="str">
            <v>2320</v>
          </cell>
          <cell r="H1191" t="str">
            <v>19870521</v>
          </cell>
          <cell r="I1191">
            <v>17049424</v>
          </cell>
        </row>
        <row r="1192">
          <cell r="A1192" t="str">
            <v>7600228</v>
          </cell>
          <cell r="B1192" t="str">
            <v>현　삼　수</v>
          </cell>
          <cell r="C1192" t="str">
            <v>7600228현　삼　수</v>
          </cell>
          <cell r="D1192" t="str">
            <v>CE20</v>
          </cell>
          <cell r="E1192" t="str">
            <v>국내  담당</v>
          </cell>
          <cell r="F1192" t="str">
            <v>2320</v>
          </cell>
          <cell r="G1192" t="str">
            <v>2320</v>
          </cell>
          <cell r="H1192" t="str">
            <v>19760802</v>
          </cell>
          <cell r="I1192">
            <v>44883150</v>
          </cell>
        </row>
        <row r="1193">
          <cell r="A1193" t="str">
            <v>8501927</v>
          </cell>
          <cell r="B1193" t="str">
            <v>홍　기　필</v>
          </cell>
          <cell r="C1193" t="str">
            <v>8501927홍　기　필</v>
          </cell>
          <cell r="D1193" t="str">
            <v>CE20</v>
          </cell>
          <cell r="E1193" t="str">
            <v>국내  담당</v>
          </cell>
          <cell r="F1193" t="str">
            <v>2320</v>
          </cell>
          <cell r="G1193" t="str">
            <v>2320</v>
          </cell>
          <cell r="H1193" t="str">
            <v>19850715</v>
          </cell>
          <cell r="I1193">
            <v>25244932</v>
          </cell>
        </row>
        <row r="1194">
          <cell r="A1194" t="str">
            <v>7100188</v>
          </cell>
          <cell r="B1194" t="str">
            <v>홍　성　열</v>
          </cell>
          <cell r="C1194" t="str">
            <v>7100188홍　성　열</v>
          </cell>
          <cell r="D1194" t="str">
            <v>CE20</v>
          </cell>
          <cell r="E1194" t="str">
            <v>국내  담당</v>
          </cell>
          <cell r="F1194" t="str">
            <v>2320</v>
          </cell>
          <cell r="G1194" t="str">
            <v>2320</v>
          </cell>
          <cell r="H1194" t="str">
            <v>19711101</v>
          </cell>
          <cell r="I1194">
            <v>50207996</v>
          </cell>
        </row>
        <row r="1195">
          <cell r="A1195" t="str">
            <v>8610467</v>
          </cell>
          <cell r="B1195" t="str">
            <v>이　강　섭</v>
          </cell>
          <cell r="C1195" t="str">
            <v>8610467이　강　섭</v>
          </cell>
          <cell r="D1195" t="str">
            <v>CG30</v>
          </cell>
          <cell r="E1195" t="str">
            <v>국내  담당</v>
          </cell>
          <cell r="F1195" t="str">
            <v>2320</v>
          </cell>
          <cell r="G1195" t="str">
            <v>2320</v>
          </cell>
          <cell r="H1195" t="str">
            <v>19860616</v>
          </cell>
          <cell r="I1195">
            <v>28261409</v>
          </cell>
        </row>
        <row r="1196">
          <cell r="A1196" t="str">
            <v>9812160</v>
          </cell>
          <cell r="B1196" t="str">
            <v>임　종　훈</v>
          </cell>
          <cell r="C1196" t="str">
            <v>9812160임　종　훈</v>
          </cell>
          <cell r="D1196" t="str">
            <v>GA40</v>
          </cell>
          <cell r="E1196" t="str">
            <v>국내  담당</v>
          </cell>
          <cell r="F1196" t="str">
            <v>2320</v>
          </cell>
          <cell r="G1196" t="str">
            <v>2320</v>
          </cell>
          <cell r="H1196" t="str">
            <v>19961001</v>
          </cell>
          <cell r="I1196">
            <v>3403487</v>
          </cell>
        </row>
        <row r="1197">
          <cell r="A1197" t="str">
            <v>8400712</v>
          </cell>
          <cell r="B1197" t="str">
            <v>김　경　호</v>
          </cell>
          <cell r="C1197" t="str">
            <v>8400712김　경　호</v>
          </cell>
          <cell r="D1197" t="str">
            <v>CE30</v>
          </cell>
          <cell r="E1197" t="str">
            <v>국내화물담당</v>
          </cell>
          <cell r="F1197" t="str">
            <v>2330</v>
          </cell>
          <cell r="G1197" t="str">
            <v>2330</v>
          </cell>
          <cell r="H1197" t="str">
            <v>19991201</v>
          </cell>
          <cell r="I1197">
            <v>127210</v>
          </cell>
        </row>
        <row r="1198">
          <cell r="A1198" t="str">
            <v>8700660</v>
          </cell>
          <cell r="B1198" t="str">
            <v>김　두　곤</v>
          </cell>
          <cell r="C1198" t="str">
            <v>8700660김　두　곤</v>
          </cell>
          <cell r="D1198" t="str">
            <v>CE30</v>
          </cell>
          <cell r="E1198" t="str">
            <v>국내화물담당</v>
          </cell>
          <cell r="F1198" t="str">
            <v>2330</v>
          </cell>
          <cell r="G1198" t="str">
            <v>2330</v>
          </cell>
          <cell r="H1198" t="str">
            <v>19870521</v>
          </cell>
          <cell r="I1198">
            <v>19703851</v>
          </cell>
        </row>
        <row r="1199">
          <cell r="A1199" t="str">
            <v>9204208</v>
          </cell>
          <cell r="B1199" t="str">
            <v>김　영　길</v>
          </cell>
          <cell r="C1199" t="str">
            <v>9204208김　영　길</v>
          </cell>
          <cell r="D1199" t="str">
            <v>CE30</v>
          </cell>
          <cell r="E1199" t="str">
            <v>국내화물담당</v>
          </cell>
          <cell r="F1199" t="str">
            <v>2330</v>
          </cell>
          <cell r="G1199" t="str">
            <v>2330</v>
          </cell>
          <cell r="H1199" t="str">
            <v>19920722</v>
          </cell>
          <cell r="I1199">
            <v>9299420</v>
          </cell>
        </row>
        <row r="1200">
          <cell r="A1200" t="str">
            <v>8901292</v>
          </cell>
          <cell r="B1200" t="str">
            <v>김　영　회</v>
          </cell>
          <cell r="C1200" t="str">
            <v>8901292김　영　회</v>
          </cell>
          <cell r="D1200" t="str">
            <v>CE30</v>
          </cell>
          <cell r="E1200" t="str">
            <v>국내화물담당</v>
          </cell>
          <cell r="F1200" t="str">
            <v>2330</v>
          </cell>
          <cell r="G1200" t="str">
            <v>2330</v>
          </cell>
          <cell r="H1200" t="str">
            <v>19881024</v>
          </cell>
          <cell r="I1200">
            <v>14534578</v>
          </cell>
        </row>
        <row r="1201">
          <cell r="A1201" t="str">
            <v>9503695</v>
          </cell>
          <cell r="B1201" t="str">
            <v>김　익　모</v>
          </cell>
          <cell r="C1201" t="str">
            <v>9503695김　익　모</v>
          </cell>
          <cell r="D1201" t="str">
            <v>CE30</v>
          </cell>
          <cell r="E1201" t="str">
            <v>국내화물담당</v>
          </cell>
          <cell r="F1201" t="str">
            <v>2330</v>
          </cell>
          <cell r="G1201" t="str">
            <v>2330</v>
          </cell>
          <cell r="H1201" t="str">
            <v>19951207</v>
          </cell>
          <cell r="I1201">
            <v>4252474</v>
          </cell>
        </row>
        <row r="1202">
          <cell r="A1202" t="str">
            <v>9702382</v>
          </cell>
          <cell r="B1202" t="str">
            <v>민　병　수</v>
          </cell>
          <cell r="C1202" t="str">
            <v>9702382민　병　수</v>
          </cell>
          <cell r="D1202" t="str">
            <v>CE30</v>
          </cell>
          <cell r="E1202" t="str">
            <v>국내화물담당</v>
          </cell>
          <cell r="F1202" t="str">
            <v>2330</v>
          </cell>
          <cell r="G1202" t="str">
            <v>2330</v>
          </cell>
          <cell r="H1202" t="str">
            <v>19970821</v>
          </cell>
          <cell r="I1202">
            <v>2532439</v>
          </cell>
        </row>
        <row r="1203">
          <cell r="A1203" t="str">
            <v>9304694</v>
          </cell>
          <cell r="B1203" t="str">
            <v>박　기　원</v>
          </cell>
          <cell r="C1203" t="str">
            <v>9304694박　기　원</v>
          </cell>
          <cell r="D1203" t="str">
            <v>CE30</v>
          </cell>
          <cell r="E1203" t="str">
            <v>국내화물담당</v>
          </cell>
          <cell r="F1203" t="str">
            <v>2330</v>
          </cell>
          <cell r="G1203" t="str">
            <v>2330</v>
          </cell>
          <cell r="H1203" t="str">
            <v>19930801</v>
          </cell>
          <cell r="I1203">
            <v>7566764</v>
          </cell>
        </row>
        <row r="1204">
          <cell r="A1204" t="str">
            <v>8701571</v>
          </cell>
          <cell r="B1204" t="str">
            <v>박　래　원</v>
          </cell>
          <cell r="C1204" t="str">
            <v>8701571박　래　원</v>
          </cell>
          <cell r="D1204" t="str">
            <v>CE30</v>
          </cell>
          <cell r="E1204" t="str">
            <v>국내화물담당</v>
          </cell>
          <cell r="F1204" t="str">
            <v>2330</v>
          </cell>
          <cell r="G1204" t="str">
            <v>2330</v>
          </cell>
          <cell r="H1204" t="str">
            <v>19870801</v>
          </cell>
          <cell r="I1204">
            <v>17883330</v>
          </cell>
        </row>
        <row r="1205">
          <cell r="A1205" t="str">
            <v>9303445</v>
          </cell>
          <cell r="B1205" t="str">
            <v>박　종　철</v>
          </cell>
          <cell r="C1205" t="str">
            <v>9303445박　종　철</v>
          </cell>
          <cell r="D1205" t="str">
            <v>CE30</v>
          </cell>
          <cell r="E1205" t="str">
            <v>국내화물담당</v>
          </cell>
          <cell r="F1205" t="str">
            <v>2330</v>
          </cell>
          <cell r="G1205" t="str">
            <v>2330</v>
          </cell>
          <cell r="H1205" t="str">
            <v>19930616</v>
          </cell>
          <cell r="I1205">
            <v>9617412</v>
          </cell>
        </row>
        <row r="1206">
          <cell r="A1206" t="str">
            <v>9404436</v>
          </cell>
          <cell r="B1206" t="str">
            <v>백　관　현</v>
          </cell>
          <cell r="C1206" t="str">
            <v>9404436백　관　현</v>
          </cell>
          <cell r="D1206" t="str">
            <v>CE30</v>
          </cell>
          <cell r="E1206" t="str">
            <v>국내화물담당</v>
          </cell>
          <cell r="F1206" t="str">
            <v>2330</v>
          </cell>
          <cell r="G1206" t="str">
            <v>2330</v>
          </cell>
          <cell r="H1206" t="str">
            <v>19940711</v>
          </cell>
          <cell r="I1206">
            <v>6063895</v>
          </cell>
        </row>
        <row r="1207">
          <cell r="A1207" t="str">
            <v>8603932</v>
          </cell>
          <cell r="B1207" t="str">
            <v>서　만　수</v>
          </cell>
          <cell r="C1207" t="str">
            <v>8603932서　만　수</v>
          </cell>
          <cell r="D1207" t="str">
            <v>CE30</v>
          </cell>
          <cell r="E1207" t="str">
            <v>국내화물담당</v>
          </cell>
          <cell r="F1207" t="str">
            <v>2330</v>
          </cell>
          <cell r="G1207" t="str">
            <v>2654</v>
          </cell>
          <cell r="H1207" t="str">
            <v>19860916</v>
          </cell>
          <cell r="I1207">
            <v>24795486</v>
          </cell>
        </row>
        <row r="1208">
          <cell r="A1208" t="str">
            <v>9500400</v>
          </cell>
          <cell r="B1208" t="str">
            <v>서　용　훈</v>
          </cell>
          <cell r="C1208" t="str">
            <v>9500400서　용　훈</v>
          </cell>
          <cell r="D1208" t="str">
            <v>CE30</v>
          </cell>
          <cell r="E1208" t="str">
            <v>국내화물담당</v>
          </cell>
          <cell r="F1208" t="str">
            <v>2330</v>
          </cell>
          <cell r="G1208" t="str">
            <v>2330</v>
          </cell>
          <cell r="H1208" t="str">
            <v>19950105</v>
          </cell>
          <cell r="I1208">
            <v>6436678</v>
          </cell>
        </row>
        <row r="1209">
          <cell r="A1209" t="str">
            <v>9307708</v>
          </cell>
          <cell r="B1209" t="str">
            <v>서　정　학</v>
          </cell>
          <cell r="C1209" t="str">
            <v>9307708서　정　학</v>
          </cell>
          <cell r="D1209" t="str">
            <v>CE30</v>
          </cell>
          <cell r="E1209" t="str">
            <v>국내화물담당</v>
          </cell>
          <cell r="F1209" t="str">
            <v>2330</v>
          </cell>
          <cell r="G1209" t="str">
            <v>2330</v>
          </cell>
          <cell r="H1209" t="str">
            <v>19931201</v>
          </cell>
          <cell r="I1209">
            <v>8172544</v>
          </cell>
        </row>
        <row r="1210">
          <cell r="A1210" t="str">
            <v>8200203</v>
          </cell>
          <cell r="B1210" t="str">
            <v>양　기　석</v>
          </cell>
          <cell r="C1210" t="str">
            <v>8200203양　기　석</v>
          </cell>
          <cell r="D1210" t="str">
            <v>CE30</v>
          </cell>
          <cell r="E1210" t="str">
            <v>국내화물담당</v>
          </cell>
          <cell r="F1210" t="str">
            <v>2330</v>
          </cell>
          <cell r="G1210" t="str">
            <v>2330</v>
          </cell>
          <cell r="H1210" t="str">
            <v>19820201</v>
          </cell>
          <cell r="I1210">
            <v>27230800</v>
          </cell>
        </row>
        <row r="1211">
          <cell r="A1211" t="str">
            <v>9300587</v>
          </cell>
          <cell r="B1211" t="str">
            <v>우　상　욱</v>
          </cell>
          <cell r="C1211" t="str">
            <v>9300587우　상　욱</v>
          </cell>
          <cell r="D1211" t="str">
            <v>CE30</v>
          </cell>
          <cell r="E1211" t="str">
            <v>국내화물담당</v>
          </cell>
          <cell r="F1211" t="str">
            <v>2330</v>
          </cell>
          <cell r="G1211" t="str">
            <v>2330</v>
          </cell>
          <cell r="H1211" t="str">
            <v>19930201</v>
          </cell>
          <cell r="I1211">
            <v>8222425</v>
          </cell>
        </row>
        <row r="1212">
          <cell r="A1212" t="str">
            <v>8400521</v>
          </cell>
          <cell r="B1212" t="str">
            <v>유　인　묵</v>
          </cell>
          <cell r="C1212" t="str">
            <v>8400521유　인　묵</v>
          </cell>
          <cell r="D1212" t="str">
            <v>CE30</v>
          </cell>
          <cell r="E1212" t="str">
            <v>국내화물담당</v>
          </cell>
          <cell r="F1212" t="str">
            <v>2330</v>
          </cell>
          <cell r="G1212" t="e">
            <v>#N/A</v>
          </cell>
          <cell r="H1212" t="str">
            <v>19840601</v>
          </cell>
          <cell r="I1212">
            <v>22062407</v>
          </cell>
          <cell r="J1212" t="str">
            <v>9 월</v>
          </cell>
          <cell r="K1212">
            <v>27703549</v>
          </cell>
        </row>
        <row r="1213">
          <cell r="A1213" t="str">
            <v>7300080</v>
          </cell>
          <cell r="B1213" t="str">
            <v>유　흥　주</v>
          </cell>
          <cell r="C1213" t="str">
            <v>7300080유　흥　주</v>
          </cell>
          <cell r="D1213" t="str">
            <v>CE30</v>
          </cell>
          <cell r="E1213" t="str">
            <v>국내화물담당</v>
          </cell>
          <cell r="F1213" t="str">
            <v>2330</v>
          </cell>
          <cell r="G1213" t="str">
            <v>2330</v>
          </cell>
          <cell r="H1213" t="str">
            <v>19730512</v>
          </cell>
          <cell r="I1213">
            <v>56212510</v>
          </cell>
        </row>
        <row r="1214">
          <cell r="A1214" t="str">
            <v>9406620</v>
          </cell>
          <cell r="B1214" t="str">
            <v>윤　승　훈</v>
          </cell>
          <cell r="C1214" t="str">
            <v>9406620윤　승　훈</v>
          </cell>
          <cell r="D1214" t="str">
            <v>CE30</v>
          </cell>
          <cell r="E1214" t="str">
            <v>국내화물담당</v>
          </cell>
          <cell r="F1214" t="str">
            <v>2330</v>
          </cell>
          <cell r="G1214" t="str">
            <v>2330</v>
          </cell>
          <cell r="H1214" t="str">
            <v>19941208</v>
          </cell>
          <cell r="I1214">
            <v>5694687</v>
          </cell>
        </row>
        <row r="1215">
          <cell r="A1215" t="str">
            <v>8550472</v>
          </cell>
          <cell r="B1215" t="str">
            <v>이　건　희</v>
          </cell>
          <cell r="C1215" t="str">
            <v>8550472이　건　희</v>
          </cell>
          <cell r="D1215" t="str">
            <v>CE30</v>
          </cell>
          <cell r="E1215" t="str">
            <v>국내화물담당</v>
          </cell>
          <cell r="F1215" t="str">
            <v>2330</v>
          </cell>
          <cell r="G1215" t="str">
            <v>2330</v>
          </cell>
          <cell r="H1215" t="str">
            <v>19850416</v>
          </cell>
          <cell r="I1215">
            <v>19917202</v>
          </cell>
        </row>
        <row r="1216">
          <cell r="A1216" t="str">
            <v>9103544</v>
          </cell>
          <cell r="B1216" t="str">
            <v>이　기　준</v>
          </cell>
          <cell r="C1216" t="str">
            <v>9103544이　기　준</v>
          </cell>
          <cell r="D1216" t="str">
            <v>CE30</v>
          </cell>
          <cell r="E1216" t="str">
            <v>국내화물담당</v>
          </cell>
          <cell r="F1216" t="str">
            <v>2330</v>
          </cell>
          <cell r="G1216" t="str">
            <v>2330</v>
          </cell>
          <cell r="H1216" t="str">
            <v>19910816</v>
          </cell>
          <cell r="I1216">
            <v>11085158</v>
          </cell>
        </row>
        <row r="1217">
          <cell r="A1217" t="str">
            <v>9100563</v>
          </cell>
          <cell r="B1217" t="str">
            <v>이　상　호</v>
          </cell>
          <cell r="C1217" t="str">
            <v>9100563이　상　호</v>
          </cell>
          <cell r="D1217" t="str">
            <v>CE30</v>
          </cell>
          <cell r="E1217" t="str">
            <v>국내화물담당</v>
          </cell>
          <cell r="F1217" t="str">
            <v>2330</v>
          </cell>
          <cell r="G1217" t="str">
            <v>2330</v>
          </cell>
          <cell r="H1217" t="str">
            <v>19910211</v>
          </cell>
          <cell r="I1217">
            <v>11116903</v>
          </cell>
        </row>
        <row r="1218">
          <cell r="A1218" t="str">
            <v>8900752</v>
          </cell>
          <cell r="B1218" t="str">
            <v>이　재　석</v>
          </cell>
          <cell r="C1218" t="str">
            <v>8900752이　재　석</v>
          </cell>
          <cell r="D1218" t="str">
            <v>CE30</v>
          </cell>
          <cell r="E1218" t="str">
            <v>국내화물담당</v>
          </cell>
          <cell r="F1218" t="str">
            <v>2330</v>
          </cell>
          <cell r="G1218" t="str">
            <v>2330</v>
          </cell>
          <cell r="H1218" t="str">
            <v>19880824</v>
          </cell>
          <cell r="I1218">
            <v>15994987</v>
          </cell>
        </row>
        <row r="1219">
          <cell r="A1219" t="str">
            <v>9303750</v>
          </cell>
          <cell r="B1219" t="str">
            <v>이　주　범</v>
          </cell>
          <cell r="C1219" t="str">
            <v>9303750이　주　범</v>
          </cell>
          <cell r="D1219" t="str">
            <v>CE30</v>
          </cell>
          <cell r="E1219" t="str">
            <v>국내화물담당</v>
          </cell>
          <cell r="F1219" t="str">
            <v>2330</v>
          </cell>
          <cell r="G1219" t="str">
            <v>2330</v>
          </cell>
          <cell r="H1219" t="str">
            <v>19930701</v>
          </cell>
          <cell r="I1219">
            <v>8019386</v>
          </cell>
        </row>
        <row r="1220">
          <cell r="A1220" t="str">
            <v>8701255</v>
          </cell>
          <cell r="B1220" t="str">
            <v>이　충　재</v>
          </cell>
          <cell r="C1220" t="str">
            <v>8701255이　충　재</v>
          </cell>
          <cell r="D1220" t="str">
            <v>CE30</v>
          </cell>
          <cell r="E1220" t="str">
            <v>국내화물담당</v>
          </cell>
          <cell r="F1220" t="str">
            <v>2330</v>
          </cell>
          <cell r="G1220" t="str">
            <v>2654</v>
          </cell>
          <cell r="H1220" t="str">
            <v>19870801</v>
          </cell>
          <cell r="I1220">
            <v>17116885</v>
          </cell>
        </row>
        <row r="1221">
          <cell r="A1221" t="str">
            <v>9105671</v>
          </cell>
          <cell r="B1221" t="str">
            <v>이　형　우</v>
          </cell>
          <cell r="C1221" t="str">
            <v>9105671이　형　우</v>
          </cell>
          <cell r="D1221" t="str">
            <v>CE30</v>
          </cell>
          <cell r="E1221" t="str">
            <v>국내화물담당</v>
          </cell>
          <cell r="F1221" t="str">
            <v>2330</v>
          </cell>
          <cell r="G1221" t="str">
            <v>2330</v>
          </cell>
          <cell r="H1221" t="str">
            <v>19911201</v>
          </cell>
          <cell r="I1221">
            <v>10048851</v>
          </cell>
        </row>
        <row r="1222">
          <cell r="A1222" t="str">
            <v>8900695</v>
          </cell>
          <cell r="B1222" t="str">
            <v>임　상　순</v>
          </cell>
          <cell r="C1222" t="str">
            <v>8900695임　상　순</v>
          </cell>
          <cell r="D1222" t="str">
            <v>CE30</v>
          </cell>
          <cell r="E1222" t="str">
            <v>국내화물담당</v>
          </cell>
          <cell r="F1222" t="str">
            <v>2330</v>
          </cell>
          <cell r="G1222" t="str">
            <v>2330</v>
          </cell>
          <cell r="H1222" t="str">
            <v>19880824</v>
          </cell>
          <cell r="I1222">
            <v>14923800</v>
          </cell>
        </row>
        <row r="1223">
          <cell r="A1223" t="str">
            <v>8400071</v>
          </cell>
          <cell r="B1223" t="str">
            <v>임　철　순</v>
          </cell>
          <cell r="C1223" t="str">
            <v>8400071임　철　순</v>
          </cell>
          <cell r="D1223" t="str">
            <v>CE30</v>
          </cell>
          <cell r="E1223" t="str">
            <v>국내화물담당</v>
          </cell>
          <cell r="F1223" t="str">
            <v>2330</v>
          </cell>
          <cell r="G1223" t="str">
            <v>2330</v>
          </cell>
          <cell r="H1223" t="str">
            <v>19840206</v>
          </cell>
          <cell r="I1223">
            <v>26573139</v>
          </cell>
        </row>
        <row r="1224">
          <cell r="A1224" t="str">
            <v>9207336</v>
          </cell>
          <cell r="B1224" t="str">
            <v>전　역　수</v>
          </cell>
          <cell r="C1224" t="str">
            <v>9207336전　역　수</v>
          </cell>
          <cell r="D1224" t="str">
            <v>CE30</v>
          </cell>
          <cell r="E1224" t="str">
            <v>국내화물담당</v>
          </cell>
          <cell r="F1224" t="str">
            <v>2330</v>
          </cell>
          <cell r="G1224" t="str">
            <v>2330</v>
          </cell>
          <cell r="H1224" t="str">
            <v>19921116</v>
          </cell>
          <cell r="I1224">
            <v>8687776</v>
          </cell>
        </row>
        <row r="1225">
          <cell r="A1225" t="str">
            <v>9500128</v>
          </cell>
          <cell r="B1225" t="str">
            <v>정　억　근</v>
          </cell>
          <cell r="C1225" t="str">
            <v>9500128정　억　근</v>
          </cell>
          <cell r="D1225" t="str">
            <v>CE30</v>
          </cell>
          <cell r="E1225" t="str">
            <v>국내화물담당</v>
          </cell>
          <cell r="F1225" t="str">
            <v>2330</v>
          </cell>
          <cell r="G1225" t="str">
            <v>2330</v>
          </cell>
          <cell r="H1225" t="str">
            <v>19950105</v>
          </cell>
          <cell r="I1225">
            <v>6011066</v>
          </cell>
        </row>
        <row r="1226">
          <cell r="A1226" t="str">
            <v>9350223</v>
          </cell>
          <cell r="B1226" t="str">
            <v>정　은　주</v>
          </cell>
          <cell r="C1226" t="str">
            <v>9350223정　은　주</v>
          </cell>
          <cell r="D1226" t="str">
            <v>CE30</v>
          </cell>
          <cell r="E1226" t="str">
            <v>국내화물담당</v>
          </cell>
          <cell r="F1226" t="str">
            <v>2330</v>
          </cell>
          <cell r="G1226" t="str">
            <v>2330</v>
          </cell>
          <cell r="H1226" t="str">
            <v>19930301</v>
          </cell>
          <cell r="I1226">
            <v>8969675</v>
          </cell>
        </row>
        <row r="1227">
          <cell r="A1227" t="str">
            <v>9251706</v>
          </cell>
          <cell r="B1227" t="str">
            <v>최　정　숙</v>
          </cell>
          <cell r="C1227" t="str">
            <v>9251706최　정　숙</v>
          </cell>
          <cell r="D1227" t="str">
            <v>CE30</v>
          </cell>
          <cell r="E1227" t="str">
            <v>국내화물담당</v>
          </cell>
          <cell r="F1227" t="str">
            <v>2330</v>
          </cell>
          <cell r="G1227" t="str">
            <v>2810</v>
          </cell>
          <cell r="H1227" t="str">
            <v>19920801</v>
          </cell>
          <cell r="I1227">
            <v>9771748</v>
          </cell>
        </row>
        <row r="1228">
          <cell r="A1228" t="str">
            <v>9503550</v>
          </cell>
          <cell r="B1228" t="str">
            <v>최　종　호</v>
          </cell>
          <cell r="C1228" t="str">
            <v>9503550최　종　호</v>
          </cell>
          <cell r="D1228" t="str">
            <v>CE30</v>
          </cell>
          <cell r="E1228" t="str">
            <v>국내화물담당</v>
          </cell>
          <cell r="F1228" t="str">
            <v>2330</v>
          </cell>
          <cell r="G1228" t="str">
            <v>2330</v>
          </cell>
          <cell r="H1228" t="str">
            <v>19951113</v>
          </cell>
          <cell r="I1228">
            <v>5094740</v>
          </cell>
        </row>
        <row r="1229">
          <cell r="A1229" t="str">
            <v>8710751</v>
          </cell>
          <cell r="B1229" t="str">
            <v>임　종　표</v>
          </cell>
          <cell r="C1229" t="str">
            <v>8710751임　종　표</v>
          </cell>
          <cell r="D1229" t="str">
            <v>CG54</v>
          </cell>
          <cell r="E1229" t="str">
            <v>국내화물담당</v>
          </cell>
          <cell r="F1229" t="str">
            <v>2330</v>
          </cell>
          <cell r="G1229" t="str">
            <v>2330</v>
          </cell>
          <cell r="H1229" t="str">
            <v>19870601</v>
          </cell>
          <cell r="I1229">
            <v>29771999</v>
          </cell>
        </row>
        <row r="1230">
          <cell r="A1230" t="str">
            <v>7700466</v>
          </cell>
          <cell r="B1230" t="str">
            <v>김　현　귀</v>
          </cell>
          <cell r="C1230" t="str">
            <v>7700466김　현　귀</v>
          </cell>
          <cell r="D1230" t="str">
            <v>CE30</v>
          </cell>
          <cell r="E1230" t="str">
            <v>장비지원팀</v>
          </cell>
          <cell r="F1230" t="str">
            <v>2340</v>
          </cell>
          <cell r="G1230" t="str">
            <v>2340</v>
          </cell>
          <cell r="H1230" t="str">
            <v>19981001</v>
          </cell>
          <cell r="I1230">
            <v>3040687</v>
          </cell>
        </row>
        <row r="1231">
          <cell r="A1231" t="str">
            <v>7800917</v>
          </cell>
          <cell r="B1231" t="str">
            <v>김　상　수</v>
          </cell>
          <cell r="C1231" t="str">
            <v>7800917김　상　수</v>
          </cell>
          <cell r="D1231" t="str">
            <v>CF10</v>
          </cell>
          <cell r="E1231" t="str">
            <v>장비지원팀</v>
          </cell>
          <cell r="F1231" t="str">
            <v>2340</v>
          </cell>
          <cell r="G1231" t="str">
            <v>2652</v>
          </cell>
          <cell r="H1231" t="str">
            <v>19781016</v>
          </cell>
          <cell r="I1231">
            <v>55795548</v>
          </cell>
        </row>
        <row r="1232">
          <cell r="A1232" t="str">
            <v>8900673</v>
          </cell>
          <cell r="B1232" t="str">
            <v>강　석　주</v>
          </cell>
          <cell r="C1232" t="str">
            <v>8900673강　석　주</v>
          </cell>
          <cell r="D1232" t="str">
            <v>CF20</v>
          </cell>
          <cell r="E1232" t="str">
            <v>장비지원팀</v>
          </cell>
          <cell r="F1232" t="str">
            <v>2340</v>
          </cell>
          <cell r="G1232" t="str">
            <v>2340</v>
          </cell>
          <cell r="H1232" t="str">
            <v>19880824</v>
          </cell>
          <cell r="I1232">
            <v>17027007</v>
          </cell>
        </row>
        <row r="1233">
          <cell r="A1233" t="str">
            <v>8100167</v>
          </cell>
          <cell r="B1233" t="str">
            <v>강　연　욱</v>
          </cell>
          <cell r="C1233" t="str">
            <v>8100167강　연　욱</v>
          </cell>
          <cell r="D1233" t="str">
            <v>CF20</v>
          </cell>
          <cell r="E1233" t="str">
            <v>장비지원팀</v>
          </cell>
          <cell r="F1233" t="str">
            <v>2340</v>
          </cell>
          <cell r="G1233" t="str">
            <v>2340</v>
          </cell>
          <cell r="H1233" t="str">
            <v>19810418</v>
          </cell>
          <cell r="I1233">
            <v>33354430</v>
          </cell>
        </row>
        <row r="1234">
          <cell r="A1234" t="str">
            <v>9001980</v>
          </cell>
          <cell r="B1234" t="str">
            <v>고　종　주</v>
          </cell>
          <cell r="C1234" t="str">
            <v>9001980고　종　주</v>
          </cell>
          <cell r="D1234" t="str">
            <v>CF20</v>
          </cell>
          <cell r="E1234" t="str">
            <v>장비지원팀</v>
          </cell>
          <cell r="F1234" t="str">
            <v>2340</v>
          </cell>
          <cell r="G1234" t="str">
            <v>2340</v>
          </cell>
          <cell r="H1234" t="str">
            <v>19891220</v>
          </cell>
          <cell r="I1234">
            <v>14431129</v>
          </cell>
        </row>
        <row r="1235">
          <cell r="A1235" t="str">
            <v>9700020</v>
          </cell>
          <cell r="B1235" t="str">
            <v>권　용　하</v>
          </cell>
          <cell r="C1235" t="str">
            <v>9700020권　용　하</v>
          </cell>
          <cell r="D1235" t="str">
            <v>CF20</v>
          </cell>
          <cell r="E1235" t="str">
            <v>장비지원팀</v>
          </cell>
          <cell r="F1235" t="str">
            <v>2340</v>
          </cell>
          <cell r="G1235" t="str">
            <v>2340</v>
          </cell>
          <cell r="H1235" t="str">
            <v>19970205</v>
          </cell>
          <cell r="I1235">
            <v>3560075</v>
          </cell>
        </row>
        <row r="1236">
          <cell r="A1236" t="str">
            <v>8601164</v>
          </cell>
          <cell r="B1236" t="str">
            <v>김　대　복</v>
          </cell>
          <cell r="C1236" t="str">
            <v>8601164김　대　복</v>
          </cell>
          <cell r="D1236" t="str">
            <v>CF20</v>
          </cell>
          <cell r="E1236" t="str">
            <v>장비지원팀</v>
          </cell>
          <cell r="F1236" t="str">
            <v>2340</v>
          </cell>
          <cell r="G1236" t="str">
            <v>2340</v>
          </cell>
          <cell r="H1236" t="str">
            <v>19860507</v>
          </cell>
          <cell r="I1236">
            <v>22152484</v>
          </cell>
        </row>
        <row r="1237">
          <cell r="A1237" t="str">
            <v>8200271</v>
          </cell>
          <cell r="B1237" t="str">
            <v>김　명　호</v>
          </cell>
          <cell r="C1237" t="str">
            <v>8200271김　명　호</v>
          </cell>
          <cell r="D1237" t="str">
            <v>CF20</v>
          </cell>
          <cell r="E1237" t="str">
            <v>장비지원팀</v>
          </cell>
          <cell r="F1237" t="str">
            <v>2340</v>
          </cell>
          <cell r="G1237" t="str">
            <v>2340</v>
          </cell>
          <cell r="H1237" t="str">
            <v>19820201</v>
          </cell>
          <cell r="I1237">
            <v>30863388</v>
          </cell>
        </row>
        <row r="1238">
          <cell r="A1238" t="str">
            <v>8902473</v>
          </cell>
          <cell r="B1238" t="str">
            <v>김　민　호</v>
          </cell>
          <cell r="C1238" t="str">
            <v>8902473김　민　호</v>
          </cell>
          <cell r="D1238" t="str">
            <v>CF20</v>
          </cell>
          <cell r="E1238" t="str">
            <v>장비지원팀</v>
          </cell>
          <cell r="F1238" t="str">
            <v>2340</v>
          </cell>
          <cell r="G1238" t="str">
            <v>2340</v>
          </cell>
          <cell r="H1238" t="str">
            <v>19890204</v>
          </cell>
          <cell r="I1238">
            <v>15934932</v>
          </cell>
        </row>
        <row r="1239">
          <cell r="A1239" t="str">
            <v>8100461</v>
          </cell>
          <cell r="B1239" t="str">
            <v>김　성　규</v>
          </cell>
          <cell r="C1239" t="str">
            <v>8100461김　성　규</v>
          </cell>
          <cell r="D1239" t="str">
            <v>CF20</v>
          </cell>
          <cell r="E1239" t="str">
            <v>장비지원팀</v>
          </cell>
          <cell r="F1239" t="str">
            <v>2340</v>
          </cell>
          <cell r="G1239" t="str">
            <v>2340</v>
          </cell>
          <cell r="H1239" t="str">
            <v>19811001</v>
          </cell>
          <cell r="I1239">
            <v>32166667</v>
          </cell>
        </row>
        <row r="1240">
          <cell r="A1240" t="str">
            <v>8701121</v>
          </cell>
          <cell r="B1240" t="str">
            <v>김　영　덕</v>
          </cell>
          <cell r="C1240" t="str">
            <v>8701121김　영　덕</v>
          </cell>
          <cell r="D1240" t="str">
            <v>CF20</v>
          </cell>
          <cell r="E1240" t="str">
            <v>장비지원팀</v>
          </cell>
          <cell r="F1240" t="str">
            <v>2340</v>
          </cell>
          <cell r="G1240" t="str">
            <v>2340</v>
          </cell>
          <cell r="H1240" t="str">
            <v>19870701</v>
          </cell>
          <cell r="I1240">
            <v>19553098</v>
          </cell>
        </row>
        <row r="1241">
          <cell r="A1241" t="str">
            <v>8601390</v>
          </cell>
          <cell r="B1241" t="str">
            <v>김　영　복</v>
          </cell>
          <cell r="C1241" t="str">
            <v>8601390김　영　복</v>
          </cell>
          <cell r="D1241" t="str">
            <v>CF20</v>
          </cell>
          <cell r="E1241" t="str">
            <v>장비지원팀</v>
          </cell>
          <cell r="F1241" t="str">
            <v>2340</v>
          </cell>
          <cell r="G1241" t="str">
            <v>2340</v>
          </cell>
          <cell r="H1241" t="str">
            <v>19860513</v>
          </cell>
          <cell r="I1241">
            <v>20281502</v>
          </cell>
        </row>
        <row r="1242">
          <cell r="A1242" t="str">
            <v>7300361</v>
          </cell>
          <cell r="B1242" t="str">
            <v>김　인　기</v>
          </cell>
          <cell r="C1242" t="str">
            <v>7300361김　인　기</v>
          </cell>
          <cell r="D1242" t="str">
            <v>CF20</v>
          </cell>
          <cell r="E1242" t="str">
            <v>장비지원팀</v>
          </cell>
          <cell r="F1242" t="str">
            <v>2340</v>
          </cell>
          <cell r="G1242" t="str">
            <v>2340</v>
          </cell>
          <cell r="H1242" t="str">
            <v>19731012</v>
          </cell>
          <cell r="I1242">
            <v>48588997</v>
          </cell>
        </row>
        <row r="1243">
          <cell r="A1243" t="str">
            <v>9302264</v>
          </cell>
          <cell r="B1243" t="str">
            <v>김　재　민</v>
          </cell>
          <cell r="C1243" t="str">
            <v>9302264김　재　민</v>
          </cell>
          <cell r="D1243" t="str">
            <v>CF20</v>
          </cell>
          <cell r="E1243" t="str">
            <v>장비지원팀</v>
          </cell>
          <cell r="F1243" t="str">
            <v>2340</v>
          </cell>
          <cell r="G1243" t="str">
            <v>2340</v>
          </cell>
          <cell r="H1243" t="str">
            <v>19930501</v>
          </cell>
          <cell r="I1243">
            <v>8867312</v>
          </cell>
        </row>
        <row r="1244">
          <cell r="A1244" t="str">
            <v>8603616</v>
          </cell>
          <cell r="B1244" t="str">
            <v>김　정　수</v>
          </cell>
          <cell r="C1244" t="str">
            <v>8603616김　정　수</v>
          </cell>
          <cell r="D1244" t="str">
            <v>CF20</v>
          </cell>
          <cell r="E1244" t="str">
            <v>장비지원팀</v>
          </cell>
          <cell r="F1244" t="str">
            <v>2340</v>
          </cell>
          <cell r="G1244" t="e">
            <v>#N/A</v>
          </cell>
          <cell r="H1244" t="str">
            <v>19860901</v>
          </cell>
          <cell r="I1244">
            <v>23654844</v>
          </cell>
          <cell r="J1244" t="str">
            <v>8 월</v>
          </cell>
          <cell r="K1244">
            <v>37862104</v>
          </cell>
        </row>
        <row r="1245">
          <cell r="A1245" t="str">
            <v>8603583</v>
          </cell>
          <cell r="B1245" t="str">
            <v>김　종　관</v>
          </cell>
          <cell r="C1245" t="str">
            <v>8603583김　종　관</v>
          </cell>
          <cell r="D1245" t="str">
            <v>CF20</v>
          </cell>
          <cell r="E1245" t="str">
            <v>장비지원팀</v>
          </cell>
          <cell r="F1245" t="str">
            <v>2340</v>
          </cell>
          <cell r="G1245" t="e">
            <v>#N/A</v>
          </cell>
          <cell r="H1245" t="str">
            <v>19860901</v>
          </cell>
          <cell r="I1245">
            <v>23354771</v>
          </cell>
          <cell r="J1245" t="str">
            <v>3 월</v>
          </cell>
          <cell r="K1245">
            <v>31991860</v>
          </cell>
        </row>
        <row r="1246">
          <cell r="A1246" t="str">
            <v>9305886</v>
          </cell>
          <cell r="B1246" t="str">
            <v>김　종　대</v>
          </cell>
          <cell r="C1246" t="str">
            <v>9305886김　종　대</v>
          </cell>
          <cell r="D1246" t="str">
            <v>CF20</v>
          </cell>
          <cell r="E1246" t="str">
            <v>장비지원팀</v>
          </cell>
          <cell r="F1246" t="str">
            <v>2340</v>
          </cell>
          <cell r="G1246" t="e">
            <v>#N/A</v>
          </cell>
          <cell r="H1246" t="str">
            <v>19930916</v>
          </cell>
          <cell r="I1246">
            <v>8062562</v>
          </cell>
          <cell r="J1246" t="str">
            <v>11 월</v>
          </cell>
          <cell r="K1246">
            <v>11045016</v>
          </cell>
        </row>
        <row r="1247">
          <cell r="A1247" t="str">
            <v>8701391</v>
          </cell>
          <cell r="B1247" t="str">
            <v>김　종　철</v>
          </cell>
          <cell r="C1247" t="str">
            <v>8701391김　종　철</v>
          </cell>
          <cell r="D1247" t="str">
            <v>CF20</v>
          </cell>
          <cell r="E1247" t="str">
            <v>장비지원팀</v>
          </cell>
          <cell r="F1247" t="str">
            <v>2340</v>
          </cell>
          <cell r="G1247" t="str">
            <v>2340</v>
          </cell>
          <cell r="H1247" t="str">
            <v>19991201</v>
          </cell>
          <cell r="I1247">
            <v>133988</v>
          </cell>
        </row>
        <row r="1248">
          <cell r="A1248" t="str">
            <v>8501670</v>
          </cell>
          <cell r="B1248" t="str">
            <v>김　홍　범</v>
          </cell>
          <cell r="C1248" t="str">
            <v>8501670김　홍　범</v>
          </cell>
          <cell r="D1248" t="str">
            <v>CF20</v>
          </cell>
          <cell r="E1248" t="str">
            <v>장비지원팀</v>
          </cell>
          <cell r="F1248" t="str">
            <v>2340</v>
          </cell>
          <cell r="G1248" t="str">
            <v>2340</v>
          </cell>
          <cell r="H1248" t="str">
            <v>19850701</v>
          </cell>
          <cell r="I1248">
            <v>23675521</v>
          </cell>
        </row>
        <row r="1249">
          <cell r="A1249" t="str">
            <v>8500487</v>
          </cell>
          <cell r="B1249" t="str">
            <v>김　황　종</v>
          </cell>
          <cell r="C1249" t="str">
            <v>8500487김　황　종</v>
          </cell>
          <cell r="D1249" t="str">
            <v>CF20</v>
          </cell>
          <cell r="E1249" t="str">
            <v>장비지원팀</v>
          </cell>
          <cell r="F1249" t="str">
            <v>2340</v>
          </cell>
          <cell r="G1249" t="str">
            <v>2340</v>
          </cell>
          <cell r="H1249" t="str">
            <v>19850305</v>
          </cell>
          <cell r="I1249">
            <v>24692910</v>
          </cell>
        </row>
        <row r="1250">
          <cell r="A1250" t="str">
            <v>7600331</v>
          </cell>
          <cell r="B1250" t="str">
            <v>김　휘　복</v>
          </cell>
          <cell r="C1250" t="str">
            <v>7600331김　휘　복</v>
          </cell>
          <cell r="D1250" t="str">
            <v>CF20</v>
          </cell>
          <cell r="E1250" t="str">
            <v>장비지원팀</v>
          </cell>
          <cell r="F1250" t="str">
            <v>2340</v>
          </cell>
          <cell r="G1250" t="str">
            <v>2340</v>
          </cell>
          <cell r="H1250" t="str">
            <v>19870907</v>
          </cell>
          <cell r="I1250">
            <v>21897587</v>
          </cell>
        </row>
        <row r="1251">
          <cell r="A1251" t="str">
            <v>8800244</v>
          </cell>
          <cell r="B1251" t="str">
            <v>나　동　용</v>
          </cell>
          <cell r="C1251" t="str">
            <v>8800244나　동　용</v>
          </cell>
          <cell r="D1251" t="str">
            <v>CF20</v>
          </cell>
          <cell r="E1251" t="str">
            <v>장비지원팀</v>
          </cell>
          <cell r="F1251" t="str">
            <v>2340</v>
          </cell>
          <cell r="G1251" t="str">
            <v>2340</v>
          </cell>
          <cell r="H1251" t="str">
            <v>19880422</v>
          </cell>
          <cell r="I1251">
            <v>17440472</v>
          </cell>
        </row>
        <row r="1252">
          <cell r="A1252" t="str">
            <v>9300611</v>
          </cell>
          <cell r="B1252" t="str">
            <v>박　상　민</v>
          </cell>
          <cell r="C1252" t="str">
            <v>9300611박　상　민</v>
          </cell>
          <cell r="D1252" t="str">
            <v>CF20</v>
          </cell>
          <cell r="E1252" t="str">
            <v>장비지원팀</v>
          </cell>
          <cell r="F1252" t="str">
            <v>2340</v>
          </cell>
          <cell r="G1252" t="str">
            <v>2340</v>
          </cell>
          <cell r="H1252" t="str">
            <v>19930201</v>
          </cell>
          <cell r="I1252">
            <v>9833240</v>
          </cell>
        </row>
        <row r="1253">
          <cell r="A1253" t="str">
            <v>7300258</v>
          </cell>
          <cell r="B1253" t="str">
            <v>박　성　배</v>
          </cell>
          <cell r="C1253" t="str">
            <v>7300258박　성　배</v>
          </cell>
          <cell r="D1253" t="str">
            <v>CF20</v>
          </cell>
          <cell r="E1253" t="str">
            <v>장비지원팀</v>
          </cell>
          <cell r="F1253" t="str">
            <v>2340</v>
          </cell>
          <cell r="G1253" t="str">
            <v>2340</v>
          </cell>
          <cell r="H1253" t="str">
            <v>19731012</v>
          </cell>
          <cell r="I1253">
            <v>46984662</v>
          </cell>
        </row>
        <row r="1254">
          <cell r="A1254" t="str">
            <v>8701457</v>
          </cell>
          <cell r="B1254" t="str">
            <v>박　종　오</v>
          </cell>
          <cell r="C1254" t="str">
            <v>8701457박　종　오</v>
          </cell>
          <cell r="D1254" t="str">
            <v>CF20</v>
          </cell>
          <cell r="E1254" t="str">
            <v>장비지원팀</v>
          </cell>
          <cell r="F1254" t="str">
            <v>2340</v>
          </cell>
          <cell r="G1254" t="e">
            <v>#N/A</v>
          </cell>
          <cell r="H1254" t="str">
            <v>19870801</v>
          </cell>
          <cell r="I1254">
            <v>19371274</v>
          </cell>
          <cell r="J1254" t="str">
            <v>5 월</v>
          </cell>
          <cell r="K1254">
            <v>20119192</v>
          </cell>
        </row>
        <row r="1255">
          <cell r="A1255" t="str">
            <v>7700117</v>
          </cell>
          <cell r="B1255" t="str">
            <v>박　천　웅</v>
          </cell>
          <cell r="C1255" t="str">
            <v>7700117박　천　웅</v>
          </cell>
          <cell r="D1255" t="str">
            <v>CF20</v>
          </cell>
          <cell r="E1255" t="str">
            <v>장비지원팀</v>
          </cell>
          <cell r="F1255" t="str">
            <v>2340</v>
          </cell>
          <cell r="G1255" t="str">
            <v>2340</v>
          </cell>
          <cell r="H1255" t="str">
            <v>19770406</v>
          </cell>
          <cell r="I1255">
            <v>44571699</v>
          </cell>
        </row>
        <row r="1256">
          <cell r="A1256" t="str">
            <v>8601142</v>
          </cell>
          <cell r="B1256" t="str">
            <v>배　병　기</v>
          </cell>
          <cell r="C1256" t="str">
            <v>8601142배　병　기</v>
          </cell>
          <cell r="D1256" t="str">
            <v>CF20</v>
          </cell>
          <cell r="E1256" t="str">
            <v>장비지원팀</v>
          </cell>
          <cell r="F1256" t="str">
            <v>2340</v>
          </cell>
          <cell r="G1256" t="str">
            <v>2340</v>
          </cell>
          <cell r="H1256" t="str">
            <v>19860507</v>
          </cell>
          <cell r="I1256">
            <v>22129052</v>
          </cell>
        </row>
        <row r="1257">
          <cell r="A1257" t="str">
            <v>8501095</v>
          </cell>
          <cell r="B1257" t="str">
            <v>배　순　용</v>
          </cell>
          <cell r="C1257" t="str">
            <v>8501095배　순　용</v>
          </cell>
          <cell r="D1257" t="str">
            <v>CF20</v>
          </cell>
          <cell r="E1257" t="str">
            <v>장비지원팀</v>
          </cell>
          <cell r="F1257" t="str">
            <v>2340</v>
          </cell>
          <cell r="G1257" t="str">
            <v>2340</v>
          </cell>
          <cell r="H1257" t="str">
            <v>19850501</v>
          </cell>
          <cell r="I1257">
            <v>23438459</v>
          </cell>
        </row>
        <row r="1258">
          <cell r="A1258" t="str">
            <v>8600670</v>
          </cell>
          <cell r="B1258" t="str">
            <v>서　육　구</v>
          </cell>
          <cell r="C1258" t="str">
            <v>8600670서　육　구</v>
          </cell>
          <cell r="D1258" t="str">
            <v>CF20</v>
          </cell>
          <cell r="E1258" t="str">
            <v>장비지원팀</v>
          </cell>
          <cell r="F1258" t="str">
            <v>2340</v>
          </cell>
          <cell r="G1258" t="str">
            <v>2340</v>
          </cell>
          <cell r="H1258" t="str">
            <v>19870907</v>
          </cell>
          <cell r="I1258">
            <v>19826053</v>
          </cell>
        </row>
        <row r="1259">
          <cell r="A1259" t="str">
            <v>7700837</v>
          </cell>
          <cell r="B1259" t="str">
            <v>서　채　동</v>
          </cell>
          <cell r="C1259" t="str">
            <v>7700837서　채　동</v>
          </cell>
          <cell r="D1259" t="str">
            <v>CF20</v>
          </cell>
          <cell r="E1259" t="str">
            <v>장비지원팀</v>
          </cell>
          <cell r="F1259" t="str">
            <v>2340</v>
          </cell>
          <cell r="G1259" t="str">
            <v>2340</v>
          </cell>
          <cell r="H1259" t="str">
            <v>19981201</v>
          </cell>
          <cell r="I1259">
            <v>2509425</v>
          </cell>
        </row>
        <row r="1260">
          <cell r="A1260" t="str">
            <v>8400238</v>
          </cell>
          <cell r="B1260" t="str">
            <v>소　용　운</v>
          </cell>
          <cell r="C1260" t="str">
            <v>8400238소　용　운</v>
          </cell>
          <cell r="D1260" t="str">
            <v>CF20</v>
          </cell>
          <cell r="E1260" t="str">
            <v>장비지원팀</v>
          </cell>
          <cell r="F1260" t="str">
            <v>2340</v>
          </cell>
          <cell r="G1260" t="str">
            <v>2340</v>
          </cell>
          <cell r="H1260" t="str">
            <v>19840401</v>
          </cell>
          <cell r="I1260">
            <v>28795104</v>
          </cell>
        </row>
        <row r="1261">
          <cell r="A1261" t="str">
            <v>8603684</v>
          </cell>
          <cell r="B1261" t="str">
            <v>송　영　민</v>
          </cell>
          <cell r="C1261" t="str">
            <v>8603684송　영　민</v>
          </cell>
          <cell r="D1261" t="str">
            <v>CF20</v>
          </cell>
          <cell r="E1261" t="str">
            <v>장비지원팀</v>
          </cell>
          <cell r="F1261" t="str">
            <v>2340</v>
          </cell>
          <cell r="G1261" t="str">
            <v>2340</v>
          </cell>
          <cell r="H1261" t="str">
            <v>19860901</v>
          </cell>
          <cell r="I1261">
            <v>23856577</v>
          </cell>
        </row>
        <row r="1262">
          <cell r="A1262" t="str">
            <v>8902541</v>
          </cell>
          <cell r="B1262" t="str">
            <v>신　현　석</v>
          </cell>
          <cell r="C1262" t="str">
            <v>8902541신　현　석</v>
          </cell>
          <cell r="D1262" t="str">
            <v>CF20</v>
          </cell>
          <cell r="E1262" t="str">
            <v>장비지원팀</v>
          </cell>
          <cell r="F1262" t="str">
            <v>2340</v>
          </cell>
          <cell r="G1262" t="str">
            <v>2340</v>
          </cell>
          <cell r="H1262" t="str">
            <v>19890119</v>
          </cell>
          <cell r="I1262">
            <v>15803270</v>
          </cell>
          <cell r="J1262" t="str">
            <v>2 월</v>
          </cell>
          <cell r="K1262">
            <v>15973393</v>
          </cell>
        </row>
        <row r="1263">
          <cell r="A1263" t="str">
            <v>9200755</v>
          </cell>
          <cell r="B1263" t="str">
            <v>신　현　석</v>
          </cell>
          <cell r="C1263" t="str">
            <v>9200755신　현　석</v>
          </cell>
          <cell r="D1263" t="str">
            <v>CF20</v>
          </cell>
          <cell r="E1263" t="str">
            <v>장비지원팀</v>
          </cell>
          <cell r="F1263" t="str">
            <v>2340</v>
          </cell>
          <cell r="G1263" t="str">
            <v>2340</v>
          </cell>
          <cell r="H1263" t="str">
            <v>19920210</v>
          </cell>
          <cell r="I1263">
            <v>10051556</v>
          </cell>
        </row>
        <row r="1264">
          <cell r="A1264" t="str">
            <v>9403514</v>
          </cell>
          <cell r="B1264" t="str">
            <v>심　재　복</v>
          </cell>
          <cell r="C1264" t="str">
            <v>9403514심　재　복</v>
          </cell>
          <cell r="D1264" t="str">
            <v>CF20</v>
          </cell>
          <cell r="E1264" t="str">
            <v>장비지원팀</v>
          </cell>
          <cell r="F1264" t="str">
            <v>2340</v>
          </cell>
          <cell r="G1264" t="str">
            <v>2340</v>
          </cell>
          <cell r="H1264" t="str">
            <v>19940601</v>
          </cell>
          <cell r="I1264">
            <v>7114700</v>
          </cell>
        </row>
        <row r="1265">
          <cell r="A1265" t="str">
            <v>8501837</v>
          </cell>
          <cell r="B1265" t="str">
            <v>안　광　복</v>
          </cell>
          <cell r="C1265" t="str">
            <v>8501837안　광　복</v>
          </cell>
          <cell r="D1265" t="str">
            <v>CF20</v>
          </cell>
          <cell r="E1265" t="str">
            <v>장비지원팀</v>
          </cell>
          <cell r="F1265" t="str">
            <v>2340</v>
          </cell>
          <cell r="G1265" t="str">
            <v>2340</v>
          </cell>
          <cell r="H1265" t="str">
            <v>19850710</v>
          </cell>
          <cell r="I1265">
            <v>23671198</v>
          </cell>
        </row>
        <row r="1266">
          <cell r="A1266" t="str">
            <v>8201250</v>
          </cell>
          <cell r="B1266" t="str">
            <v>양　명　수</v>
          </cell>
          <cell r="C1266" t="str">
            <v>8201250양　명　수</v>
          </cell>
          <cell r="D1266" t="str">
            <v>CF20</v>
          </cell>
          <cell r="E1266" t="str">
            <v>장비지원팀</v>
          </cell>
          <cell r="F1266" t="str">
            <v>2340</v>
          </cell>
          <cell r="G1266" t="str">
            <v>2340</v>
          </cell>
          <cell r="H1266" t="str">
            <v>19821015</v>
          </cell>
          <cell r="I1266">
            <v>28592805</v>
          </cell>
        </row>
        <row r="1267">
          <cell r="A1267" t="str">
            <v>9103487</v>
          </cell>
          <cell r="B1267" t="str">
            <v>오　순　성</v>
          </cell>
          <cell r="C1267" t="str">
            <v>9103487오　순　성</v>
          </cell>
          <cell r="D1267" t="str">
            <v>CF20</v>
          </cell>
          <cell r="E1267" t="str">
            <v>장비지원팀</v>
          </cell>
          <cell r="F1267" t="str">
            <v>2340</v>
          </cell>
          <cell r="G1267" t="e">
            <v>#N/A</v>
          </cell>
          <cell r="H1267" t="str">
            <v>19910801</v>
          </cell>
          <cell r="I1267">
            <v>16083099</v>
          </cell>
          <cell r="J1267" t="str">
            <v>8 월</v>
          </cell>
          <cell r="K1267">
            <v>21451138</v>
          </cell>
        </row>
        <row r="1268">
          <cell r="A1268" t="str">
            <v>8000550</v>
          </cell>
          <cell r="B1268" t="str">
            <v>우　태　균</v>
          </cell>
          <cell r="C1268" t="str">
            <v>8000550우　태　균</v>
          </cell>
          <cell r="D1268" t="str">
            <v>CF20</v>
          </cell>
          <cell r="E1268" t="str">
            <v>장비지원팀</v>
          </cell>
          <cell r="F1268" t="str">
            <v>2340</v>
          </cell>
          <cell r="G1268" t="e">
            <v>#N/A</v>
          </cell>
          <cell r="H1268" t="str">
            <v>19801101</v>
          </cell>
          <cell r="I1268">
            <v>38129955</v>
          </cell>
          <cell r="J1268" t="str">
            <v>11 월</v>
          </cell>
          <cell r="K1268">
            <v>62169530</v>
          </cell>
        </row>
        <row r="1269">
          <cell r="A1269" t="str">
            <v>8600815</v>
          </cell>
          <cell r="B1269" t="str">
            <v>유　생　우</v>
          </cell>
          <cell r="C1269" t="str">
            <v>8600815유　생　우</v>
          </cell>
          <cell r="D1269" t="str">
            <v>CF20</v>
          </cell>
          <cell r="E1269" t="str">
            <v>장비지원팀</v>
          </cell>
          <cell r="F1269" t="str">
            <v>2340</v>
          </cell>
          <cell r="G1269" t="str">
            <v>2340</v>
          </cell>
          <cell r="H1269" t="str">
            <v>19860501</v>
          </cell>
          <cell r="I1269">
            <v>23114376</v>
          </cell>
        </row>
        <row r="1270">
          <cell r="A1270" t="str">
            <v>8700456</v>
          </cell>
          <cell r="B1270" t="str">
            <v>유　제　학</v>
          </cell>
          <cell r="C1270" t="str">
            <v>8700456유　제　학</v>
          </cell>
          <cell r="D1270" t="str">
            <v>CF20</v>
          </cell>
          <cell r="E1270" t="str">
            <v>장비지원팀</v>
          </cell>
          <cell r="F1270" t="str">
            <v>2340</v>
          </cell>
          <cell r="G1270" t="str">
            <v>2340</v>
          </cell>
          <cell r="H1270" t="str">
            <v>19870521</v>
          </cell>
          <cell r="I1270">
            <v>19799332</v>
          </cell>
        </row>
        <row r="1271">
          <cell r="A1271" t="str">
            <v>7801020</v>
          </cell>
          <cell r="B1271" t="str">
            <v>윤　성　옥</v>
          </cell>
          <cell r="C1271" t="str">
            <v>7801020윤　성　옥</v>
          </cell>
          <cell r="D1271" t="str">
            <v>CF20</v>
          </cell>
          <cell r="E1271" t="str">
            <v>장비지원팀</v>
          </cell>
          <cell r="F1271" t="str">
            <v>2340</v>
          </cell>
          <cell r="G1271" t="str">
            <v>2340</v>
          </cell>
          <cell r="H1271" t="str">
            <v>19781215</v>
          </cell>
          <cell r="I1271">
            <v>37455740</v>
          </cell>
        </row>
        <row r="1272">
          <cell r="A1272" t="str">
            <v>8100134</v>
          </cell>
          <cell r="B1272" t="str">
            <v>윤　영　호</v>
          </cell>
          <cell r="C1272" t="str">
            <v>8100134윤　영　호</v>
          </cell>
          <cell r="D1272" t="str">
            <v>CF20</v>
          </cell>
          <cell r="E1272" t="str">
            <v>장비지원팀</v>
          </cell>
          <cell r="F1272" t="str">
            <v>2340</v>
          </cell>
          <cell r="G1272" t="str">
            <v>2340</v>
          </cell>
          <cell r="H1272" t="str">
            <v>19981211</v>
          </cell>
          <cell r="I1272">
            <v>1818516</v>
          </cell>
        </row>
        <row r="1273">
          <cell r="A1273" t="str">
            <v>8603774</v>
          </cell>
          <cell r="B1273" t="str">
            <v>이　경　옥</v>
          </cell>
          <cell r="C1273" t="str">
            <v>8603774이　경　옥</v>
          </cell>
          <cell r="D1273" t="str">
            <v>CF20</v>
          </cell>
          <cell r="E1273" t="str">
            <v>장비지원팀</v>
          </cell>
          <cell r="F1273" t="str">
            <v>2340</v>
          </cell>
          <cell r="G1273" t="str">
            <v>2340</v>
          </cell>
          <cell r="H1273" t="str">
            <v>19860901</v>
          </cell>
          <cell r="I1273">
            <v>22257779</v>
          </cell>
        </row>
        <row r="1274">
          <cell r="A1274" t="str">
            <v>9103858</v>
          </cell>
          <cell r="B1274" t="str">
            <v>이　문　구</v>
          </cell>
          <cell r="C1274" t="str">
            <v>9103858이　문　구</v>
          </cell>
          <cell r="D1274" t="str">
            <v>CF20</v>
          </cell>
          <cell r="E1274" t="str">
            <v>장비지원팀</v>
          </cell>
          <cell r="F1274" t="str">
            <v>2340</v>
          </cell>
          <cell r="G1274" t="str">
            <v>2340</v>
          </cell>
          <cell r="H1274" t="str">
            <v>19910910</v>
          </cell>
          <cell r="I1274">
            <v>11498436</v>
          </cell>
        </row>
        <row r="1275">
          <cell r="A1275" t="str">
            <v>8801324</v>
          </cell>
          <cell r="B1275" t="str">
            <v>이　병　근</v>
          </cell>
          <cell r="C1275" t="str">
            <v>8801324이　병　근</v>
          </cell>
          <cell r="D1275" t="str">
            <v>CF20</v>
          </cell>
          <cell r="E1275" t="str">
            <v>장비지원팀</v>
          </cell>
          <cell r="F1275" t="str">
            <v>2340</v>
          </cell>
          <cell r="G1275" t="str">
            <v>2340</v>
          </cell>
          <cell r="H1275" t="str">
            <v>19880623</v>
          </cell>
          <cell r="I1275">
            <v>17292480</v>
          </cell>
        </row>
        <row r="1276">
          <cell r="A1276" t="str">
            <v>8400251</v>
          </cell>
          <cell r="B1276" t="str">
            <v>이　병　충</v>
          </cell>
          <cell r="C1276" t="str">
            <v>8400251이　병　충</v>
          </cell>
          <cell r="D1276" t="str">
            <v>CF20</v>
          </cell>
          <cell r="E1276" t="str">
            <v>장비지원팀</v>
          </cell>
          <cell r="F1276" t="str">
            <v>2340</v>
          </cell>
          <cell r="G1276" t="str">
            <v>2340</v>
          </cell>
          <cell r="H1276" t="str">
            <v>19840401</v>
          </cell>
          <cell r="I1276">
            <v>27579682</v>
          </cell>
        </row>
        <row r="1277">
          <cell r="A1277" t="str">
            <v>7800300</v>
          </cell>
          <cell r="B1277" t="str">
            <v>이　승　만</v>
          </cell>
          <cell r="C1277" t="str">
            <v>7800300이　승　만</v>
          </cell>
          <cell r="D1277" t="str">
            <v>CF20</v>
          </cell>
          <cell r="E1277" t="str">
            <v>장비지원팀</v>
          </cell>
          <cell r="F1277" t="str">
            <v>2340</v>
          </cell>
          <cell r="G1277" t="str">
            <v>2340</v>
          </cell>
          <cell r="H1277" t="str">
            <v>19981211</v>
          </cell>
          <cell r="I1277">
            <v>2029643</v>
          </cell>
        </row>
        <row r="1278">
          <cell r="A1278" t="str">
            <v>9100236</v>
          </cell>
          <cell r="B1278" t="str">
            <v>이　용　권</v>
          </cell>
          <cell r="C1278" t="str">
            <v>9100236이　용　권</v>
          </cell>
          <cell r="D1278" t="str">
            <v>CF20</v>
          </cell>
          <cell r="E1278" t="str">
            <v>장비지원팀</v>
          </cell>
          <cell r="F1278" t="str">
            <v>2340</v>
          </cell>
          <cell r="G1278" t="str">
            <v>2340</v>
          </cell>
          <cell r="H1278" t="str">
            <v>19910116</v>
          </cell>
          <cell r="I1278">
            <v>12052891</v>
          </cell>
        </row>
        <row r="1279">
          <cell r="A1279" t="str">
            <v>9004757</v>
          </cell>
          <cell r="B1279" t="str">
            <v>이　원　진</v>
          </cell>
          <cell r="C1279" t="str">
            <v>9004757이　원　진</v>
          </cell>
          <cell r="D1279" t="str">
            <v>CF20</v>
          </cell>
          <cell r="E1279" t="str">
            <v>장비지원팀</v>
          </cell>
          <cell r="F1279" t="str">
            <v>2340</v>
          </cell>
          <cell r="G1279" t="str">
            <v>2340</v>
          </cell>
          <cell r="H1279" t="str">
            <v>19901102</v>
          </cell>
          <cell r="I1279">
            <v>12292597</v>
          </cell>
        </row>
        <row r="1280">
          <cell r="A1280" t="str">
            <v>8301014</v>
          </cell>
          <cell r="B1280" t="str">
            <v>이　원　희</v>
          </cell>
          <cell r="C1280" t="str">
            <v>8301014이　원　희</v>
          </cell>
          <cell r="D1280" t="str">
            <v>CF20</v>
          </cell>
          <cell r="E1280" t="str">
            <v>장비지원팀</v>
          </cell>
          <cell r="F1280" t="str">
            <v>2340</v>
          </cell>
          <cell r="G1280" t="str">
            <v>2340</v>
          </cell>
          <cell r="H1280" t="str">
            <v>19831226</v>
          </cell>
          <cell r="I1280">
            <v>25466700</v>
          </cell>
        </row>
        <row r="1281">
          <cell r="A1281" t="str">
            <v>7700297</v>
          </cell>
          <cell r="B1281" t="str">
            <v>이　재　진</v>
          </cell>
          <cell r="C1281" t="str">
            <v>7700297이　재　진</v>
          </cell>
          <cell r="D1281" t="str">
            <v>CF20</v>
          </cell>
          <cell r="E1281" t="str">
            <v>장비지원팀</v>
          </cell>
          <cell r="F1281" t="str">
            <v>2340</v>
          </cell>
          <cell r="G1281" t="str">
            <v>2652</v>
          </cell>
          <cell r="H1281" t="str">
            <v>19901101</v>
          </cell>
          <cell r="I1281">
            <v>16020726</v>
          </cell>
        </row>
        <row r="1282">
          <cell r="A1282" t="str">
            <v>9204467</v>
          </cell>
          <cell r="B1282" t="str">
            <v>이　재　하</v>
          </cell>
          <cell r="C1282" t="str">
            <v>9204467이　재　하</v>
          </cell>
          <cell r="D1282" t="str">
            <v>CF20</v>
          </cell>
          <cell r="E1282" t="str">
            <v>장비지원팀</v>
          </cell>
          <cell r="F1282" t="str">
            <v>2340</v>
          </cell>
          <cell r="G1282" t="str">
            <v>2340</v>
          </cell>
          <cell r="H1282" t="str">
            <v>19920722</v>
          </cell>
          <cell r="I1282">
            <v>10341341</v>
          </cell>
        </row>
        <row r="1283">
          <cell r="A1283" t="str">
            <v>8300474</v>
          </cell>
          <cell r="B1283" t="str">
            <v>이　정　순</v>
          </cell>
          <cell r="C1283" t="str">
            <v>8300474이　정　순</v>
          </cell>
          <cell r="D1283" t="str">
            <v>CF20</v>
          </cell>
          <cell r="E1283" t="str">
            <v>장비지원팀</v>
          </cell>
          <cell r="F1283" t="str">
            <v>2340</v>
          </cell>
          <cell r="G1283" t="str">
            <v>2340</v>
          </cell>
          <cell r="H1283" t="str">
            <v>19830615</v>
          </cell>
          <cell r="I1283">
            <v>29012771</v>
          </cell>
        </row>
        <row r="1284">
          <cell r="A1284" t="str">
            <v>9302332</v>
          </cell>
          <cell r="B1284" t="str">
            <v>이　종　섭</v>
          </cell>
          <cell r="C1284" t="str">
            <v>9302332이　종　섭</v>
          </cell>
          <cell r="D1284" t="str">
            <v>CF20</v>
          </cell>
          <cell r="E1284" t="str">
            <v>장비지원팀</v>
          </cell>
          <cell r="F1284" t="str">
            <v>2340</v>
          </cell>
          <cell r="G1284" t="str">
            <v>2340</v>
          </cell>
          <cell r="H1284" t="str">
            <v>19930501</v>
          </cell>
          <cell r="I1284">
            <v>9301080</v>
          </cell>
        </row>
        <row r="1285">
          <cell r="A1285" t="str">
            <v>8300485</v>
          </cell>
          <cell r="B1285" t="str">
            <v>이　춘　세</v>
          </cell>
          <cell r="C1285" t="str">
            <v>8300485이　춘　세</v>
          </cell>
          <cell r="D1285" t="str">
            <v>CF20</v>
          </cell>
          <cell r="E1285" t="str">
            <v>장비지원팀</v>
          </cell>
          <cell r="F1285" t="str">
            <v>2340</v>
          </cell>
          <cell r="G1285" t="str">
            <v>2340</v>
          </cell>
          <cell r="H1285" t="str">
            <v>19830615</v>
          </cell>
          <cell r="I1285">
            <v>29382848</v>
          </cell>
        </row>
        <row r="1286">
          <cell r="A1286" t="str">
            <v>8902980</v>
          </cell>
          <cell r="B1286" t="str">
            <v>이　헌　우</v>
          </cell>
          <cell r="C1286" t="str">
            <v>8902980이　헌　우</v>
          </cell>
          <cell r="D1286" t="str">
            <v>CF20</v>
          </cell>
          <cell r="E1286" t="str">
            <v>장비지원팀</v>
          </cell>
          <cell r="F1286" t="str">
            <v>2340</v>
          </cell>
          <cell r="G1286" t="str">
            <v>2340</v>
          </cell>
          <cell r="H1286" t="str">
            <v>19890313</v>
          </cell>
          <cell r="I1286">
            <v>15560780</v>
          </cell>
        </row>
        <row r="1287">
          <cell r="A1287" t="str">
            <v>9306426</v>
          </cell>
          <cell r="B1287" t="str">
            <v>이　화　춘</v>
          </cell>
          <cell r="C1287" t="str">
            <v>9306426이　화　춘</v>
          </cell>
          <cell r="D1287" t="str">
            <v>CF20</v>
          </cell>
          <cell r="E1287" t="str">
            <v>장비지원팀</v>
          </cell>
          <cell r="F1287" t="str">
            <v>2340</v>
          </cell>
          <cell r="G1287" t="str">
            <v>2340</v>
          </cell>
          <cell r="H1287" t="str">
            <v>19930916</v>
          </cell>
          <cell r="I1287">
            <v>8087904</v>
          </cell>
        </row>
        <row r="1288">
          <cell r="A1288" t="str">
            <v>8100742</v>
          </cell>
          <cell r="B1288" t="str">
            <v>이　희　구</v>
          </cell>
          <cell r="C1288" t="str">
            <v>8100742이　희　구</v>
          </cell>
          <cell r="D1288" t="str">
            <v>CF20</v>
          </cell>
          <cell r="E1288" t="str">
            <v>장비지원팀</v>
          </cell>
          <cell r="F1288" t="str">
            <v>2340</v>
          </cell>
          <cell r="G1288" t="str">
            <v>2340</v>
          </cell>
          <cell r="H1288" t="str">
            <v>19811101</v>
          </cell>
          <cell r="I1288">
            <v>35495479</v>
          </cell>
        </row>
        <row r="1289">
          <cell r="A1289" t="str">
            <v>9101834</v>
          </cell>
          <cell r="B1289" t="str">
            <v>임　규　호</v>
          </cell>
          <cell r="C1289" t="str">
            <v>9101834임　규　호</v>
          </cell>
          <cell r="D1289" t="str">
            <v>CF20</v>
          </cell>
          <cell r="E1289" t="str">
            <v>장비지원팀</v>
          </cell>
          <cell r="F1289" t="str">
            <v>2340</v>
          </cell>
          <cell r="G1289" t="str">
            <v>2340</v>
          </cell>
          <cell r="H1289" t="str">
            <v>19910520</v>
          </cell>
          <cell r="I1289">
            <v>10984999</v>
          </cell>
        </row>
        <row r="1290">
          <cell r="A1290" t="str">
            <v>8710334</v>
          </cell>
          <cell r="B1290" t="str">
            <v>임　덕　섭</v>
          </cell>
          <cell r="C1290" t="str">
            <v>8710334임　덕　섭</v>
          </cell>
          <cell r="D1290" t="str">
            <v>CF20</v>
          </cell>
          <cell r="E1290" t="str">
            <v>장비지원팀</v>
          </cell>
          <cell r="F1290" t="str">
            <v>2340</v>
          </cell>
          <cell r="G1290" t="str">
            <v>2340</v>
          </cell>
          <cell r="H1290" t="str">
            <v>19870420</v>
          </cell>
          <cell r="I1290">
            <v>21058336</v>
          </cell>
        </row>
        <row r="1291">
          <cell r="A1291" t="str">
            <v>8301003</v>
          </cell>
          <cell r="B1291" t="str">
            <v>임　서　빈</v>
          </cell>
          <cell r="C1291" t="str">
            <v>8301003임　서　빈</v>
          </cell>
          <cell r="D1291" t="str">
            <v>CF20</v>
          </cell>
          <cell r="E1291" t="str">
            <v>장비지원팀</v>
          </cell>
          <cell r="F1291" t="str">
            <v>2340</v>
          </cell>
          <cell r="G1291" t="str">
            <v>2340</v>
          </cell>
          <cell r="H1291" t="str">
            <v>19831226</v>
          </cell>
          <cell r="I1291">
            <v>23710934</v>
          </cell>
        </row>
        <row r="1292">
          <cell r="A1292" t="str">
            <v>8300125</v>
          </cell>
          <cell r="B1292" t="str">
            <v>임　인　성</v>
          </cell>
          <cell r="C1292" t="str">
            <v>8300125임　인　성</v>
          </cell>
          <cell r="D1292" t="str">
            <v>CF20</v>
          </cell>
          <cell r="E1292" t="str">
            <v>장비지원팀</v>
          </cell>
          <cell r="F1292" t="str">
            <v>2340</v>
          </cell>
          <cell r="G1292" t="str">
            <v>2340</v>
          </cell>
          <cell r="H1292" t="str">
            <v>19981211</v>
          </cell>
          <cell r="I1292">
            <v>1782307</v>
          </cell>
        </row>
        <row r="1293">
          <cell r="A1293" t="str">
            <v>8100707</v>
          </cell>
          <cell r="B1293" t="str">
            <v>임　장　호</v>
          </cell>
          <cell r="C1293" t="str">
            <v>8100707임　장　호</v>
          </cell>
          <cell r="D1293" t="str">
            <v>CF20</v>
          </cell>
          <cell r="E1293" t="str">
            <v>장비지원팀</v>
          </cell>
          <cell r="F1293" t="str">
            <v>2340</v>
          </cell>
          <cell r="G1293" t="str">
            <v>2340</v>
          </cell>
          <cell r="H1293" t="str">
            <v>19811101</v>
          </cell>
          <cell r="I1293">
            <v>32408925</v>
          </cell>
        </row>
        <row r="1294">
          <cell r="A1294" t="str">
            <v>9001157</v>
          </cell>
          <cell r="B1294" t="str">
            <v>임　헌　종</v>
          </cell>
          <cell r="C1294" t="str">
            <v>9001157임　헌　종</v>
          </cell>
          <cell r="D1294" t="str">
            <v>CF20</v>
          </cell>
          <cell r="E1294" t="str">
            <v>장비지원팀</v>
          </cell>
          <cell r="F1294" t="str">
            <v>2340</v>
          </cell>
          <cell r="G1294" t="str">
            <v>2340</v>
          </cell>
          <cell r="H1294" t="str">
            <v>19890922</v>
          </cell>
          <cell r="I1294">
            <v>14952783</v>
          </cell>
        </row>
        <row r="1295">
          <cell r="A1295" t="str">
            <v>7600195</v>
          </cell>
          <cell r="B1295" t="str">
            <v>장　근　경</v>
          </cell>
          <cell r="C1295" t="str">
            <v>7600195장　근　경</v>
          </cell>
          <cell r="D1295" t="str">
            <v>CF20</v>
          </cell>
          <cell r="E1295" t="str">
            <v>장비지원팀</v>
          </cell>
          <cell r="F1295" t="str">
            <v>2340</v>
          </cell>
          <cell r="G1295" t="str">
            <v>2340</v>
          </cell>
          <cell r="H1295" t="str">
            <v>19760802</v>
          </cell>
          <cell r="I1295">
            <v>42825855</v>
          </cell>
        </row>
        <row r="1296">
          <cell r="A1296" t="str">
            <v>9001934</v>
          </cell>
          <cell r="B1296" t="str">
            <v>장　병　윤</v>
          </cell>
          <cell r="C1296" t="str">
            <v>9001934장　병　윤</v>
          </cell>
          <cell r="D1296" t="str">
            <v>CF20</v>
          </cell>
          <cell r="E1296" t="str">
            <v>장비지원팀</v>
          </cell>
          <cell r="F1296" t="str">
            <v>2340</v>
          </cell>
          <cell r="G1296" t="str">
            <v>2340</v>
          </cell>
          <cell r="H1296" t="str">
            <v>19891220</v>
          </cell>
          <cell r="I1296">
            <v>14443098</v>
          </cell>
        </row>
        <row r="1297">
          <cell r="A1297" t="str">
            <v>8604347</v>
          </cell>
          <cell r="B1297" t="str">
            <v>장　주　신</v>
          </cell>
          <cell r="C1297" t="str">
            <v>8604347장　주　신</v>
          </cell>
          <cell r="D1297" t="str">
            <v>CF20</v>
          </cell>
          <cell r="E1297" t="str">
            <v>장비지원팀</v>
          </cell>
          <cell r="F1297" t="str">
            <v>2340</v>
          </cell>
          <cell r="G1297" t="str">
            <v>2340</v>
          </cell>
          <cell r="H1297" t="str">
            <v>19861020</v>
          </cell>
          <cell r="I1297">
            <v>20868751</v>
          </cell>
        </row>
        <row r="1298">
          <cell r="A1298" t="str">
            <v>8000627</v>
          </cell>
          <cell r="B1298" t="str">
            <v>장　한　익</v>
          </cell>
          <cell r="C1298" t="str">
            <v>8000627장　한　익</v>
          </cell>
          <cell r="D1298" t="str">
            <v>CF20</v>
          </cell>
          <cell r="E1298" t="str">
            <v>장비지원팀</v>
          </cell>
          <cell r="F1298" t="str">
            <v>2340</v>
          </cell>
          <cell r="G1298" t="str">
            <v>2340</v>
          </cell>
          <cell r="H1298" t="str">
            <v>19870907</v>
          </cell>
          <cell r="I1298">
            <v>20235657</v>
          </cell>
        </row>
        <row r="1299">
          <cell r="A1299" t="str">
            <v>9700277</v>
          </cell>
          <cell r="B1299" t="str">
            <v>전　경　　</v>
          </cell>
          <cell r="C1299" t="str">
            <v>9700277전　경　　</v>
          </cell>
          <cell r="D1299" t="str">
            <v>CF20</v>
          </cell>
          <cell r="E1299" t="str">
            <v>장비지원팀</v>
          </cell>
          <cell r="F1299" t="str">
            <v>2340</v>
          </cell>
          <cell r="G1299" t="str">
            <v>2340</v>
          </cell>
          <cell r="H1299" t="str">
            <v>19970221</v>
          </cell>
          <cell r="I1299">
            <v>3561260</v>
          </cell>
        </row>
        <row r="1300">
          <cell r="A1300" t="str">
            <v>9404087</v>
          </cell>
          <cell r="B1300" t="str">
            <v>전　창　학</v>
          </cell>
          <cell r="C1300" t="str">
            <v>9404087전　창　학</v>
          </cell>
          <cell r="D1300" t="str">
            <v>CF20</v>
          </cell>
          <cell r="E1300" t="str">
            <v>장비지원팀</v>
          </cell>
          <cell r="F1300" t="str">
            <v>2340</v>
          </cell>
          <cell r="G1300" t="str">
            <v>2340</v>
          </cell>
          <cell r="H1300" t="str">
            <v>19940620</v>
          </cell>
          <cell r="I1300">
            <v>7092752</v>
          </cell>
        </row>
        <row r="1301">
          <cell r="A1301" t="str">
            <v>8502570</v>
          </cell>
          <cell r="B1301" t="str">
            <v>정　용　한</v>
          </cell>
          <cell r="C1301" t="str">
            <v>8502570정　용　한</v>
          </cell>
          <cell r="D1301" t="str">
            <v>CF20</v>
          </cell>
          <cell r="E1301" t="str">
            <v>장비지원팀</v>
          </cell>
          <cell r="F1301" t="str">
            <v>2340</v>
          </cell>
          <cell r="G1301" t="str">
            <v>2340</v>
          </cell>
          <cell r="H1301" t="str">
            <v>19851210</v>
          </cell>
          <cell r="I1301">
            <v>23937448</v>
          </cell>
        </row>
        <row r="1302">
          <cell r="A1302" t="str">
            <v>7900918</v>
          </cell>
          <cell r="B1302" t="str">
            <v>조　수　현</v>
          </cell>
          <cell r="C1302" t="str">
            <v>7900918조　수　현</v>
          </cell>
          <cell r="D1302" t="str">
            <v>CF20</v>
          </cell>
          <cell r="E1302" t="str">
            <v>장비지원팀</v>
          </cell>
          <cell r="F1302" t="str">
            <v>2340</v>
          </cell>
          <cell r="G1302" t="str">
            <v>2340</v>
          </cell>
          <cell r="H1302" t="str">
            <v>19791203</v>
          </cell>
          <cell r="I1302">
            <v>36159947</v>
          </cell>
        </row>
        <row r="1303">
          <cell r="A1303" t="str">
            <v>7100278</v>
          </cell>
          <cell r="B1303" t="str">
            <v>지　송　길</v>
          </cell>
          <cell r="C1303" t="str">
            <v>7100278지　송　길</v>
          </cell>
          <cell r="D1303" t="str">
            <v>CF20</v>
          </cell>
          <cell r="E1303" t="str">
            <v>장비지원팀</v>
          </cell>
          <cell r="F1303" t="str">
            <v>2340</v>
          </cell>
          <cell r="G1303" t="str">
            <v>2340</v>
          </cell>
          <cell r="H1303" t="str">
            <v>19710401</v>
          </cell>
          <cell r="I1303">
            <v>58993695</v>
          </cell>
        </row>
        <row r="1304">
          <cell r="A1304" t="str">
            <v>8604731</v>
          </cell>
          <cell r="B1304" t="str">
            <v>진　덕　교</v>
          </cell>
          <cell r="C1304" t="str">
            <v>8604731진　덕　교</v>
          </cell>
          <cell r="D1304" t="str">
            <v>CF20</v>
          </cell>
          <cell r="E1304" t="str">
            <v>장비지원팀</v>
          </cell>
          <cell r="F1304" t="str">
            <v>2340</v>
          </cell>
          <cell r="G1304" t="str">
            <v>2340</v>
          </cell>
          <cell r="H1304" t="str">
            <v>19861001</v>
          </cell>
          <cell r="I1304">
            <v>22784150</v>
          </cell>
        </row>
        <row r="1305">
          <cell r="A1305" t="str">
            <v>9301983</v>
          </cell>
          <cell r="B1305" t="str">
            <v>최　남　열</v>
          </cell>
          <cell r="C1305" t="str">
            <v>9301983최　남　열</v>
          </cell>
          <cell r="D1305" t="str">
            <v>CF20</v>
          </cell>
          <cell r="E1305" t="str">
            <v>장비지원팀</v>
          </cell>
          <cell r="F1305" t="str">
            <v>2340</v>
          </cell>
          <cell r="G1305" t="str">
            <v>2340</v>
          </cell>
          <cell r="H1305" t="str">
            <v>19930401</v>
          </cell>
          <cell r="I1305">
            <v>9533754</v>
          </cell>
        </row>
        <row r="1306">
          <cell r="A1306" t="str">
            <v>8201340</v>
          </cell>
          <cell r="B1306" t="str">
            <v>최　영　호</v>
          </cell>
          <cell r="C1306" t="str">
            <v>8201340최　영　호</v>
          </cell>
          <cell r="D1306" t="str">
            <v>CF20</v>
          </cell>
          <cell r="E1306" t="str">
            <v>장비지원팀</v>
          </cell>
          <cell r="F1306" t="str">
            <v>2340</v>
          </cell>
          <cell r="G1306" t="str">
            <v>2340</v>
          </cell>
          <cell r="H1306" t="str">
            <v>19821015</v>
          </cell>
          <cell r="I1306">
            <v>28159521</v>
          </cell>
        </row>
        <row r="1307">
          <cell r="A1307" t="str">
            <v>9308035</v>
          </cell>
          <cell r="B1307" t="str">
            <v>최　재　환</v>
          </cell>
          <cell r="C1307" t="str">
            <v>9308035최　재　환</v>
          </cell>
          <cell r="D1307" t="str">
            <v>CF20</v>
          </cell>
          <cell r="E1307" t="str">
            <v>장비지원팀</v>
          </cell>
          <cell r="F1307" t="str">
            <v>2340</v>
          </cell>
          <cell r="G1307" t="str">
            <v>2340</v>
          </cell>
          <cell r="H1307" t="str">
            <v>19931216</v>
          </cell>
          <cell r="I1307">
            <v>8445998</v>
          </cell>
        </row>
        <row r="1308">
          <cell r="A1308" t="str">
            <v>8600376</v>
          </cell>
          <cell r="B1308" t="str">
            <v>최　형　선</v>
          </cell>
          <cell r="C1308" t="str">
            <v>8600376최　형　선</v>
          </cell>
          <cell r="D1308" t="str">
            <v>CF20</v>
          </cell>
          <cell r="E1308" t="str">
            <v>장비지원팀</v>
          </cell>
          <cell r="F1308" t="str">
            <v>2340</v>
          </cell>
          <cell r="G1308" t="str">
            <v>2340</v>
          </cell>
          <cell r="H1308" t="str">
            <v>19860912</v>
          </cell>
          <cell r="I1308">
            <v>22725597</v>
          </cell>
        </row>
        <row r="1309">
          <cell r="A1309" t="str">
            <v>8903013</v>
          </cell>
          <cell r="B1309" t="str">
            <v>한　만　우</v>
          </cell>
          <cell r="C1309" t="str">
            <v>8903013한　만　우</v>
          </cell>
          <cell r="D1309" t="str">
            <v>CF20</v>
          </cell>
          <cell r="E1309" t="str">
            <v>장비지원팀</v>
          </cell>
          <cell r="F1309" t="str">
            <v>2340</v>
          </cell>
          <cell r="G1309" t="str">
            <v>2340</v>
          </cell>
          <cell r="H1309" t="str">
            <v>19890313</v>
          </cell>
          <cell r="I1309">
            <v>15384188</v>
          </cell>
        </row>
        <row r="1310">
          <cell r="A1310" t="str">
            <v>9101002</v>
          </cell>
          <cell r="B1310" t="str">
            <v>한　상　봉</v>
          </cell>
          <cell r="C1310" t="str">
            <v>9101002한　상　봉</v>
          </cell>
          <cell r="D1310" t="str">
            <v>CF20</v>
          </cell>
          <cell r="E1310" t="str">
            <v>장비지원팀</v>
          </cell>
          <cell r="F1310" t="str">
            <v>2340</v>
          </cell>
          <cell r="G1310" t="str">
            <v>2340</v>
          </cell>
          <cell r="H1310" t="str">
            <v>19910325</v>
          </cell>
          <cell r="I1310">
            <v>12647080</v>
          </cell>
        </row>
        <row r="1311">
          <cell r="A1311" t="str">
            <v>9303298</v>
          </cell>
          <cell r="B1311" t="str">
            <v>허　경　무</v>
          </cell>
          <cell r="C1311" t="str">
            <v>9303298허　경　무</v>
          </cell>
          <cell r="D1311" t="str">
            <v>CF20</v>
          </cell>
          <cell r="E1311" t="str">
            <v>장비지원팀</v>
          </cell>
          <cell r="F1311" t="str">
            <v>2340</v>
          </cell>
          <cell r="G1311" t="str">
            <v>2340</v>
          </cell>
          <cell r="H1311" t="str">
            <v>19930616</v>
          </cell>
          <cell r="I1311">
            <v>8439662</v>
          </cell>
        </row>
        <row r="1312">
          <cell r="A1312" t="str">
            <v>9305177</v>
          </cell>
          <cell r="B1312" t="str">
            <v>황　경　일</v>
          </cell>
          <cell r="C1312" t="str">
            <v>9305177황　경　일</v>
          </cell>
          <cell r="D1312" t="str">
            <v>CF20</v>
          </cell>
          <cell r="E1312" t="str">
            <v>장비지원팀</v>
          </cell>
          <cell r="F1312" t="str">
            <v>2340</v>
          </cell>
          <cell r="G1312" t="str">
            <v>2340</v>
          </cell>
          <cell r="H1312" t="str">
            <v>19930726</v>
          </cell>
          <cell r="I1312">
            <v>8344585</v>
          </cell>
        </row>
        <row r="1313">
          <cell r="A1313" t="str">
            <v>8602942</v>
          </cell>
          <cell r="B1313" t="str">
            <v>황　덕　환</v>
          </cell>
          <cell r="C1313" t="str">
            <v>8602942황　덕　환</v>
          </cell>
          <cell r="D1313" t="str">
            <v>CF20</v>
          </cell>
          <cell r="E1313" t="str">
            <v>장비지원팀</v>
          </cell>
          <cell r="F1313" t="str">
            <v>2340</v>
          </cell>
          <cell r="G1313" t="str">
            <v>2340</v>
          </cell>
          <cell r="H1313" t="str">
            <v>19870907</v>
          </cell>
          <cell r="I1313">
            <v>19759401</v>
          </cell>
        </row>
        <row r="1314">
          <cell r="A1314" t="str">
            <v>8903136</v>
          </cell>
          <cell r="B1314" t="str">
            <v>이　훈　　</v>
          </cell>
          <cell r="C1314" t="str">
            <v>8903136이　훈　　</v>
          </cell>
          <cell r="D1314" t="str">
            <v>IA10</v>
          </cell>
          <cell r="E1314" t="str">
            <v>장비지원팀</v>
          </cell>
          <cell r="F1314" t="str">
            <v>2340</v>
          </cell>
          <cell r="G1314" t="str">
            <v>2340</v>
          </cell>
          <cell r="H1314" t="str">
            <v>19891101</v>
          </cell>
          <cell r="I1314">
            <v>15254137</v>
          </cell>
        </row>
        <row r="1315">
          <cell r="A1315" t="str">
            <v>0007020</v>
          </cell>
          <cell r="B1315" t="str">
            <v>정　용　광</v>
          </cell>
          <cell r="C1315" t="str">
            <v>0007020정　용　광</v>
          </cell>
          <cell r="D1315" t="str">
            <v>항공기지원팀</v>
          </cell>
          <cell r="E1315" t="str">
            <v>객실2(KALl)</v>
          </cell>
          <cell r="F1315" t="str">
            <v>2420</v>
          </cell>
          <cell r="G1315" t="str">
            <v>2420</v>
          </cell>
          <cell r="H1315" t="str">
            <v>19970301</v>
          </cell>
          <cell r="I1315">
            <v>32780000</v>
          </cell>
        </row>
        <row r="1316">
          <cell r="A1316" t="str">
            <v>8150297</v>
          </cell>
          <cell r="B1316" t="str">
            <v>임　옥　순</v>
          </cell>
          <cell r="C1316" t="str">
            <v>8150297임　옥　순</v>
          </cell>
          <cell r="D1316" t="str">
            <v>CG34</v>
          </cell>
          <cell r="E1316" t="str">
            <v>객실2(KALl)</v>
          </cell>
          <cell r="F1316" t="str">
            <v>2420</v>
          </cell>
          <cell r="G1316" t="str">
            <v>2420</v>
          </cell>
          <cell r="H1316" t="str">
            <v>19811101</v>
          </cell>
          <cell r="I1316">
            <v>23673239</v>
          </cell>
        </row>
        <row r="1317">
          <cell r="A1317" t="str">
            <v>9451721</v>
          </cell>
          <cell r="B1317" t="str">
            <v>전　장　순</v>
          </cell>
          <cell r="C1317" t="str">
            <v>9451721전　장　순</v>
          </cell>
          <cell r="D1317" t="str">
            <v>CG34</v>
          </cell>
          <cell r="E1317" t="str">
            <v>객실2(KALl)</v>
          </cell>
          <cell r="F1317" t="str">
            <v>2420</v>
          </cell>
          <cell r="G1317" t="str">
            <v>2420</v>
          </cell>
          <cell r="H1317" t="str">
            <v>19940801</v>
          </cell>
          <cell r="I1317">
            <v>4959376</v>
          </cell>
        </row>
        <row r="1318">
          <cell r="A1318" t="str">
            <v>8350345</v>
          </cell>
          <cell r="B1318" t="str">
            <v>김　영　자</v>
          </cell>
          <cell r="C1318" t="str">
            <v>8350345김　영　자</v>
          </cell>
          <cell r="D1318" t="str">
            <v>CG44</v>
          </cell>
          <cell r="E1318" t="str">
            <v>객실2(KALl)</v>
          </cell>
          <cell r="F1318" t="str">
            <v>2420</v>
          </cell>
          <cell r="G1318" t="str">
            <v>2420</v>
          </cell>
          <cell r="H1318" t="str">
            <v>19830806</v>
          </cell>
          <cell r="I1318">
            <v>21387637</v>
          </cell>
        </row>
        <row r="1319">
          <cell r="A1319" t="str">
            <v>9251987</v>
          </cell>
          <cell r="B1319" t="str">
            <v>신　용　순</v>
          </cell>
          <cell r="C1319" t="str">
            <v>9251987신　용　순</v>
          </cell>
          <cell r="D1319" t="str">
            <v>CG44</v>
          </cell>
          <cell r="E1319" t="str">
            <v>객실2(KALl)</v>
          </cell>
          <cell r="F1319" t="str">
            <v>2420</v>
          </cell>
          <cell r="G1319" t="str">
            <v>2420</v>
          </cell>
          <cell r="H1319" t="str">
            <v>19920810</v>
          </cell>
          <cell r="I1319">
            <v>7059898</v>
          </cell>
        </row>
        <row r="1320">
          <cell r="A1320" t="str">
            <v>9151986</v>
          </cell>
          <cell r="B1320" t="str">
            <v>유　영　순</v>
          </cell>
          <cell r="C1320" t="str">
            <v>9151986유　영　순</v>
          </cell>
          <cell r="D1320" t="str">
            <v>CG44</v>
          </cell>
          <cell r="E1320" t="str">
            <v>객실2(KALl)</v>
          </cell>
          <cell r="F1320" t="str">
            <v>2420</v>
          </cell>
          <cell r="G1320" t="str">
            <v>2420</v>
          </cell>
          <cell r="H1320" t="str">
            <v>19910916</v>
          </cell>
          <cell r="I1320">
            <v>7994739</v>
          </cell>
        </row>
        <row r="1321">
          <cell r="A1321" t="str">
            <v>9051873</v>
          </cell>
          <cell r="B1321" t="str">
            <v>이　낙　희</v>
          </cell>
          <cell r="C1321" t="str">
            <v>9051873이　낙　희</v>
          </cell>
          <cell r="D1321" t="str">
            <v>CG44</v>
          </cell>
          <cell r="E1321" t="str">
            <v>객실2(KALl)</v>
          </cell>
          <cell r="F1321" t="str">
            <v>2420</v>
          </cell>
          <cell r="G1321" t="str">
            <v>2420</v>
          </cell>
          <cell r="H1321" t="str">
            <v>19901116</v>
          </cell>
          <cell r="I1321">
            <v>10467257</v>
          </cell>
        </row>
        <row r="1322">
          <cell r="A1322" t="str">
            <v>9250244</v>
          </cell>
          <cell r="B1322" t="str">
            <v>김　명　석</v>
          </cell>
          <cell r="C1322" t="str">
            <v>9250244김　명　석</v>
          </cell>
          <cell r="D1322" t="str">
            <v>CG54</v>
          </cell>
          <cell r="E1322" t="str">
            <v>객실2(KALl)</v>
          </cell>
          <cell r="F1322" t="str">
            <v>2420</v>
          </cell>
          <cell r="G1322" t="str">
            <v>2420</v>
          </cell>
          <cell r="H1322" t="str">
            <v>19920210</v>
          </cell>
          <cell r="I1322">
            <v>7751079</v>
          </cell>
        </row>
        <row r="1323">
          <cell r="A1323" t="str">
            <v>9152256</v>
          </cell>
          <cell r="B1323" t="str">
            <v>문　정　애</v>
          </cell>
          <cell r="C1323" t="str">
            <v>9152256문　정　애</v>
          </cell>
          <cell r="D1323" t="str">
            <v>CG54</v>
          </cell>
          <cell r="E1323" t="str">
            <v>객실2(KALl)</v>
          </cell>
          <cell r="F1323" t="str">
            <v>2420</v>
          </cell>
          <cell r="G1323" t="str">
            <v>2420</v>
          </cell>
          <cell r="H1323" t="str">
            <v>19911001</v>
          </cell>
          <cell r="I1323">
            <v>8184696</v>
          </cell>
        </row>
        <row r="1324">
          <cell r="A1324" t="str">
            <v>9152280</v>
          </cell>
          <cell r="B1324" t="str">
            <v>서　순　옥</v>
          </cell>
          <cell r="C1324" t="str">
            <v>9152280서　순　옥</v>
          </cell>
          <cell r="D1324" t="str">
            <v>CG54</v>
          </cell>
          <cell r="E1324" t="str">
            <v>객실2(KALl)</v>
          </cell>
          <cell r="F1324" t="str">
            <v>2420</v>
          </cell>
          <cell r="G1324" t="str">
            <v>2420</v>
          </cell>
          <cell r="H1324" t="str">
            <v>19911001</v>
          </cell>
          <cell r="I1324">
            <v>8727859</v>
          </cell>
        </row>
        <row r="1325">
          <cell r="A1325" t="str">
            <v>9252022</v>
          </cell>
          <cell r="B1325" t="str">
            <v>이　안　진</v>
          </cell>
          <cell r="C1325" t="str">
            <v>9252022이　안　진</v>
          </cell>
          <cell r="D1325" t="str">
            <v>CG54</v>
          </cell>
          <cell r="E1325" t="str">
            <v>객실2(KALl)</v>
          </cell>
          <cell r="F1325" t="str">
            <v>2420</v>
          </cell>
          <cell r="G1325" t="str">
            <v>2420</v>
          </cell>
          <cell r="H1325" t="str">
            <v>19920810</v>
          </cell>
          <cell r="I1325">
            <v>7239045</v>
          </cell>
        </row>
        <row r="1326">
          <cell r="A1326" t="str">
            <v>9550416</v>
          </cell>
          <cell r="B1326" t="str">
            <v>김　희　은</v>
          </cell>
          <cell r="C1326" t="str">
            <v>9550416김　희　은</v>
          </cell>
          <cell r="D1326" t="str">
            <v>CH10</v>
          </cell>
          <cell r="E1326" t="str">
            <v>객실2(KALl)</v>
          </cell>
          <cell r="F1326" t="str">
            <v>2420</v>
          </cell>
          <cell r="G1326" t="str">
            <v>2420</v>
          </cell>
          <cell r="H1326" t="str">
            <v>19950916</v>
          </cell>
          <cell r="I1326">
            <v>3826938</v>
          </cell>
        </row>
        <row r="1327">
          <cell r="A1327" t="str">
            <v>8200765</v>
          </cell>
          <cell r="B1327" t="str">
            <v>신　현　국</v>
          </cell>
          <cell r="C1327" t="str">
            <v>8200765신　현　국</v>
          </cell>
          <cell r="D1327" t="str">
            <v>CH10</v>
          </cell>
          <cell r="E1327" t="str">
            <v>객실2(KALl)</v>
          </cell>
          <cell r="F1327" t="str">
            <v>2420</v>
          </cell>
          <cell r="G1327" t="str">
            <v>2420</v>
          </cell>
          <cell r="H1327" t="str">
            <v>19820901</v>
          </cell>
          <cell r="I1327">
            <v>39950130</v>
          </cell>
        </row>
        <row r="1328">
          <cell r="A1328" t="str">
            <v>9051715</v>
          </cell>
          <cell r="B1328" t="str">
            <v>유　미　자</v>
          </cell>
          <cell r="C1328" t="str">
            <v>9051715유　미　자</v>
          </cell>
          <cell r="D1328" t="str">
            <v>CH10</v>
          </cell>
          <cell r="E1328" t="str">
            <v>객실2(KALl)</v>
          </cell>
          <cell r="F1328" t="str">
            <v>2420</v>
          </cell>
          <cell r="G1328" t="str">
            <v>2420</v>
          </cell>
          <cell r="H1328" t="str">
            <v>19901101</v>
          </cell>
          <cell r="I1328">
            <v>14466930</v>
          </cell>
        </row>
        <row r="1329">
          <cell r="A1329" t="str">
            <v>8000267</v>
          </cell>
          <cell r="B1329" t="str">
            <v>이　권　규</v>
          </cell>
          <cell r="C1329" t="str">
            <v>8000267이　권　규</v>
          </cell>
          <cell r="D1329" t="str">
            <v>CH10</v>
          </cell>
          <cell r="E1329" t="str">
            <v>객실2(KALl)</v>
          </cell>
          <cell r="F1329" t="str">
            <v>2420</v>
          </cell>
          <cell r="G1329" t="str">
            <v>2420</v>
          </cell>
          <cell r="H1329" t="str">
            <v>19981211</v>
          </cell>
          <cell r="I1329">
            <v>2501440</v>
          </cell>
        </row>
        <row r="1330">
          <cell r="A1330" t="str">
            <v>9150963</v>
          </cell>
          <cell r="B1330" t="str">
            <v>이　선　화</v>
          </cell>
          <cell r="C1330" t="str">
            <v>9150963이　선　화</v>
          </cell>
          <cell r="D1330" t="str">
            <v>CH10</v>
          </cell>
          <cell r="E1330" t="str">
            <v>객실2(KALl)</v>
          </cell>
          <cell r="F1330" t="str">
            <v>2420</v>
          </cell>
          <cell r="G1330" t="str">
            <v>2420</v>
          </cell>
          <cell r="H1330" t="str">
            <v>19910508</v>
          </cell>
          <cell r="I1330">
            <v>10507127</v>
          </cell>
        </row>
        <row r="1331">
          <cell r="A1331" t="str">
            <v>7700758</v>
          </cell>
          <cell r="B1331" t="str">
            <v>이　윤　월</v>
          </cell>
          <cell r="C1331" t="str">
            <v>7700758이　윤　월</v>
          </cell>
          <cell r="D1331" t="str">
            <v>CH10</v>
          </cell>
          <cell r="E1331" t="str">
            <v>객실2(KALl)</v>
          </cell>
          <cell r="F1331" t="str">
            <v>2420</v>
          </cell>
          <cell r="G1331" t="str">
            <v>2420</v>
          </cell>
          <cell r="H1331" t="str">
            <v>19771111</v>
          </cell>
          <cell r="I1331">
            <v>42434543</v>
          </cell>
        </row>
        <row r="1332">
          <cell r="A1332" t="str">
            <v>7300225</v>
          </cell>
          <cell r="B1332" t="str">
            <v>장　승　훈</v>
          </cell>
          <cell r="C1332" t="str">
            <v>7300225장　승　훈</v>
          </cell>
          <cell r="D1332" t="str">
            <v>CH10</v>
          </cell>
          <cell r="E1332" t="str">
            <v>객실2(KALl)</v>
          </cell>
          <cell r="F1332" t="str">
            <v>2420</v>
          </cell>
          <cell r="G1332" t="str">
            <v>2420</v>
          </cell>
          <cell r="H1332" t="str">
            <v>19981001</v>
          </cell>
          <cell r="I1332">
            <v>3269172</v>
          </cell>
        </row>
        <row r="1333">
          <cell r="A1333" t="str">
            <v>8551192</v>
          </cell>
          <cell r="B1333" t="str">
            <v>강　순　옥</v>
          </cell>
          <cell r="C1333" t="str">
            <v>8551192강　순　옥</v>
          </cell>
          <cell r="D1333" t="str">
            <v>CH20</v>
          </cell>
          <cell r="E1333" t="str">
            <v>객실2(KALl)</v>
          </cell>
          <cell r="F1333" t="str">
            <v>2420</v>
          </cell>
          <cell r="G1333" t="str">
            <v>2420</v>
          </cell>
          <cell r="H1333" t="str">
            <v>19851101</v>
          </cell>
          <cell r="I1333">
            <v>16890724</v>
          </cell>
        </row>
        <row r="1334">
          <cell r="A1334" t="str">
            <v>9251392</v>
          </cell>
          <cell r="B1334" t="str">
            <v>강　은　자</v>
          </cell>
          <cell r="C1334" t="str">
            <v>9251392강　은　자</v>
          </cell>
          <cell r="D1334" t="str">
            <v>CH20</v>
          </cell>
          <cell r="E1334" t="str">
            <v>객실2(KALl)</v>
          </cell>
          <cell r="F1334" t="str">
            <v>2420</v>
          </cell>
          <cell r="G1334" t="str">
            <v>2432</v>
          </cell>
          <cell r="H1334" t="str">
            <v>19920701</v>
          </cell>
          <cell r="I1334">
            <v>7987716</v>
          </cell>
        </row>
        <row r="1335">
          <cell r="A1335" t="str">
            <v>8201057</v>
          </cell>
          <cell r="B1335" t="str">
            <v>고　길　엽</v>
          </cell>
          <cell r="C1335" t="str">
            <v>8201057고　길　엽</v>
          </cell>
          <cell r="D1335" t="str">
            <v>CH20</v>
          </cell>
          <cell r="E1335" t="str">
            <v>객실2(KALl)</v>
          </cell>
          <cell r="F1335" t="str">
            <v>2420</v>
          </cell>
          <cell r="G1335" t="str">
            <v>2432</v>
          </cell>
          <cell r="H1335" t="str">
            <v>19821016</v>
          </cell>
          <cell r="I1335">
            <v>32167981</v>
          </cell>
        </row>
        <row r="1336">
          <cell r="A1336" t="str">
            <v>9550721</v>
          </cell>
          <cell r="B1336" t="str">
            <v>고　현　숙</v>
          </cell>
          <cell r="C1336" t="str">
            <v>9550721고　현　숙</v>
          </cell>
          <cell r="D1336" t="str">
            <v>CH20</v>
          </cell>
          <cell r="E1336" t="str">
            <v>객실2(KALl)</v>
          </cell>
          <cell r="F1336" t="str">
            <v>2420</v>
          </cell>
          <cell r="G1336" t="str">
            <v>2432</v>
          </cell>
          <cell r="H1336" t="str">
            <v>19951106</v>
          </cell>
          <cell r="I1336">
            <v>3702407</v>
          </cell>
        </row>
        <row r="1337">
          <cell r="A1337" t="str">
            <v>9404111</v>
          </cell>
          <cell r="B1337" t="str">
            <v>곽　태　성</v>
          </cell>
          <cell r="C1337" t="str">
            <v>9404111곽　태　성</v>
          </cell>
          <cell r="D1337" t="str">
            <v>CH20</v>
          </cell>
          <cell r="E1337" t="str">
            <v>객실2(KALl)</v>
          </cell>
          <cell r="F1337" t="str">
            <v>2420</v>
          </cell>
          <cell r="G1337" t="str">
            <v>2433</v>
          </cell>
          <cell r="H1337" t="str">
            <v>19940620</v>
          </cell>
          <cell r="I1337">
            <v>7211062</v>
          </cell>
        </row>
        <row r="1338">
          <cell r="A1338" t="str">
            <v>9550710</v>
          </cell>
          <cell r="B1338" t="str">
            <v>김　경　리</v>
          </cell>
          <cell r="C1338" t="str">
            <v>9550710김　경　리</v>
          </cell>
          <cell r="D1338" t="str">
            <v>CH20</v>
          </cell>
          <cell r="E1338" t="str">
            <v>객실2(KALl)</v>
          </cell>
          <cell r="F1338" t="str">
            <v>2420</v>
          </cell>
          <cell r="G1338" t="e">
            <v>#N/A</v>
          </cell>
          <cell r="H1338" t="str">
            <v>19951106</v>
          </cell>
          <cell r="I1338">
            <v>3702407</v>
          </cell>
          <cell r="J1338" t="str">
            <v>6 월</v>
          </cell>
          <cell r="K1338">
            <v>4146922</v>
          </cell>
        </row>
        <row r="1339">
          <cell r="A1339" t="str">
            <v>9450775</v>
          </cell>
          <cell r="B1339" t="str">
            <v>김　경　이</v>
          </cell>
          <cell r="C1339" t="str">
            <v>9450775김　경　이</v>
          </cell>
          <cell r="D1339" t="str">
            <v>CH20</v>
          </cell>
          <cell r="E1339" t="str">
            <v>객실2(KALl)</v>
          </cell>
          <cell r="F1339" t="str">
            <v>2420</v>
          </cell>
          <cell r="G1339" t="str">
            <v>2432</v>
          </cell>
          <cell r="H1339" t="str">
            <v>19940418</v>
          </cell>
          <cell r="I1339">
            <v>5222669</v>
          </cell>
        </row>
        <row r="1340">
          <cell r="A1340" t="str">
            <v>9350302</v>
          </cell>
          <cell r="B1340" t="str">
            <v>김　근　남</v>
          </cell>
          <cell r="C1340" t="str">
            <v>9350302김　근　남</v>
          </cell>
          <cell r="D1340" t="str">
            <v>CH20</v>
          </cell>
          <cell r="E1340" t="str">
            <v>객실2(KALl)</v>
          </cell>
          <cell r="F1340" t="str">
            <v>2420</v>
          </cell>
          <cell r="G1340" t="str">
            <v>2432</v>
          </cell>
          <cell r="H1340" t="str">
            <v>19930401</v>
          </cell>
          <cell r="I1340">
            <v>6340875</v>
          </cell>
        </row>
        <row r="1341">
          <cell r="A1341" t="str">
            <v>8150196</v>
          </cell>
          <cell r="B1341" t="str">
            <v>김　덕　희</v>
          </cell>
          <cell r="C1341" t="str">
            <v>8150196김　덕　희</v>
          </cell>
          <cell r="D1341" t="str">
            <v>CH20</v>
          </cell>
          <cell r="E1341" t="str">
            <v>객실2(KALl)</v>
          </cell>
          <cell r="F1341" t="str">
            <v>2420</v>
          </cell>
          <cell r="G1341" t="str">
            <v>2432</v>
          </cell>
          <cell r="H1341" t="str">
            <v>19811101</v>
          </cell>
          <cell r="I1341">
            <v>32314856</v>
          </cell>
        </row>
        <row r="1342">
          <cell r="A1342" t="str">
            <v>9103792</v>
          </cell>
          <cell r="B1342" t="str">
            <v>김　동　집</v>
          </cell>
          <cell r="C1342" t="str">
            <v>9103792김　동　집</v>
          </cell>
          <cell r="D1342" t="str">
            <v>CH20</v>
          </cell>
          <cell r="E1342" t="str">
            <v>객실2(KALl)</v>
          </cell>
          <cell r="F1342" t="str">
            <v>2420</v>
          </cell>
          <cell r="G1342" t="str">
            <v>2432</v>
          </cell>
          <cell r="H1342" t="str">
            <v>19910910</v>
          </cell>
          <cell r="I1342">
            <v>9453460</v>
          </cell>
        </row>
        <row r="1343">
          <cell r="A1343" t="str">
            <v>8500342</v>
          </cell>
          <cell r="B1343" t="str">
            <v>김　명　수</v>
          </cell>
          <cell r="C1343" t="str">
            <v>8500342김　명　수</v>
          </cell>
          <cell r="D1343" t="str">
            <v>CH20</v>
          </cell>
          <cell r="E1343" t="str">
            <v>객실2(KALl)</v>
          </cell>
          <cell r="F1343" t="str">
            <v>2420</v>
          </cell>
          <cell r="G1343" t="str">
            <v>2433</v>
          </cell>
          <cell r="H1343" t="str">
            <v>19981211</v>
          </cell>
          <cell r="I1343">
            <v>2047732</v>
          </cell>
        </row>
        <row r="1344">
          <cell r="A1344" t="str">
            <v>9150502</v>
          </cell>
          <cell r="B1344" t="str">
            <v>김　명　순</v>
          </cell>
          <cell r="C1344" t="str">
            <v>9150502김　명　순</v>
          </cell>
          <cell r="D1344" t="str">
            <v>CH20</v>
          </cell>
          <cell r="E1344" t="str">
            <v>객실2(KALl)</v>
          </cell>
          <cell r="F1344" t="str">
            <v>2420</v>
          </cell>
          <cell r="G1344" t="str">
            <v>2432</v>
          </cell>
          <cell r="H1344" t="str">
            <v>19910401</v>
          </cell>
          <cell r="I1344">
            <v>9258173</v>
          </cell>
        </row>
        <row r="1345">
          <cell r="A1345" t="str">
            <v>7400215</v>
          </cell>
          <cell r="B1345" t="str">
            <v>김　삼　규</v>
          </cell>
          <cell r="C1345" t="str">
            <v>7400215김　삼　규</v>
          </cell>
          <cell r="D1345" t="str">
            <v>CH20</v>
          </cell>
          <cell r="E1345" t="str">
            <v>객실2(KALl)</v>
          </cell>
          <cell r="F1345" t="str">
            <v>2420</v>
          </cell>
          <cell r="G1345" t="e">
            <v>#N/A</v>
          </cell>
          <cell r="H1345" t="str">
            <v>19740710</v>
          </cell>
          <cell r="I1345">
            <v>45116730</v>
          </cell>
          <cell r="J1345" t="str">
            <v>4 월</v>
          </cell>
          <cell r="K1345">
            <v>47879018</v>
          </cell>
        </row>
        <row r="1346">
          <cell r="A1346" t="str">
            <v>7400215</v>
          </cell>
          <cell r="B1346" t="str">
            <v>김　삼　규</v>
          </cell>
          <cell r="C1346" t="str">
            <v>7400215김　삼　규</v>
          </cell>
          <cell r="D1346" t="str">
            <v>CH20</v>
          </cell>
          <cell r="E1346" t="str">
            <v>객실2(KALl)</v>
          </cell>
          <cell r="F1346" t="str">
            <v>2420</v>
          </cell>
          <cell r="G1346" t="e">
            <v>#N/A</v>
          </cell>
          <cell r="H1346" t="str">
            <v>19740710</v>
          </cell>
          <cell r="J1346" t="str">
            <v>7 월</v>
          </cell>
          <cell r="K1346">
            <v>1770877</v>
          </cell>
        </row>
        <row r="1347">
          <cell r="A1347" t="str">
            <v>9350875</v>
          </cell>
          <cell r="B1347" t="str">
            <v>김　선　수</v>
          </cell>
          <cell r="C1347" t="str">
            <v>9350875김　선　수</v>
          </cell>
          <cell r="D1347" t="str">
            <v>CH20</v>
          </cell>
          <cell r="E1347" t="str">
            <v>객실2(KALl)</v>
          </cell>
          <cell r="F1347" t="str">
            <v>2420</v>
          </cell>
          <cell r="G1347" t="str">
            <v>2432</v>
          </cell>
          <cell r="H1347" t="str">
            <v>19930601</v>
          </cell>
          <cell r="I1347">
            <v>6183982</v>
          </cell>
        </row>
        <row r="1348">
          <cell r="A1348" t="str">
            <v>9201183</v>
          </cell>
          <cell r="B1348" t="str">
            <v>김　성　용</v>
          </cell>
          <cell r="C1348" t="str">
            <v>9201183김　성　용</v>
          </cell>
          <cell r="D1348" t="str">
            <v>CH20</v>
          </cell>
          <cell r="E1348" t="str">
            <v>객실2(KALl)</v>
          </cell>
          <cell r="F1348" t="str">
            <v>2420</v>
          </cell>
          <cell r="G1348" t="str">
            <v>2432</v>
          </cell>
          <cell r="H1348" t="str">
            <v>19920316</v>
          </cell>
          <cell r="I1348">
            <v>9646493</v>
          </cell>
        </row>
        <row r="1349">
          <cell r="A1349" t="str">
            <v>8651700</v>
          </cell>
          <cell r="B1349" t="str">
            <v>김　순　임</v>
          </cell>
          <cell r="C1349" t="str">
            <v>8651700김　순　임</v>
          </cell>
          <cell r="D1349" t="str">
            <v>CH20</v>
          </cell>
          <cell r="E1349" t="str">
            <v>객실2(KALl)</v>
          </cell>
          <cell r="F1349" t="str">
            <v>2420</v>
          </cell>
          <cell r="G1349" t="str">
            <v>2432</v>
          </cell>
          <cell r="H1349" t="str">
            <v>19861015</v>
          </cell>
          <cell r="I1349">
            <v>15230867</v>
          </cell>
        </row>
        <row r="1350">
          <cell r="A1350" t="str">
            <v>9051401</v>
          </cell>
          <cell r="B1350" t="str">
            <v>김　양　님</v>
          </cell>
          <cell r="C1350" t="str">
            <v>9051401김　양　님</v>
          </cell>
          <cell r="D1350" t="str">
            <v>CH20</v>
          </cell>
          <cell r="E1350" t="str">
            <v>객실2(KALl)</v>
          </cell>
          <cell r="F1350" t="str">
            <v>2420</v>
          </cell>
          <cell r="G1350" t="str">
            <v>2432</v>
          </cell>
          <cell r="H1350" t="str">
            <v>19900901</v>
          </cell>
          <cell r="I1350">
            <v>12701587</v>
          </cell>
        </row>
        <row r="1351">
          <cell r="A1351" t="str">
            <v>9303941</v>
          </cell>
          <cell r="B1351" t="str">
            <v>김　영　욱</v>
          </cell>
          <cell r="C1351" t="str">
            <v>9303941김　영　욱</v>
          </cell>
          <cell r="D1351" t="str">
            <v>CH20</v>
          </cell>
          <cell r="E1351" t="str">
            <v>객실2(KALl)</v>
          </cell>
          <cell r="F1351" t="str">
            <v>2420</v>
          </cell>
          <cell r="G1351" t="str">
            <v>2433</v>
          </cell>
          <cell r="H1351" t="str">
            <v>19930701</v>
          </cell>
          <cell r="I1351">
            <v>7309671</v>
          </cell>
        </row>
        <row r="1352">
          <cell r="A1352" t="str">
            <v>7900266</v>
          </cell>
          <cell r="B1352" t="str">
            <v>김　영　일</v>
          </cell>
          <cell r="C1352" t="str">
            <v>7900266김　영　일</v>
          </cell>
          <cell r="D1352" t="str">
            <v>CH20</v>
          </cell>
          <cell r="E1352" t="str">
            <v>객실2(KALl)</v>
          </cell>
          <cell r="F1352" t="str">
            <v>2420</v>
          </cell>
          <cell r="G1352" t="str">
            <v>2433</v>
          </cell>
          <cell r="H1352" t="str">
            <v>19790510</v>
          </cell>
          <cell r="I1352">
            <v>35019808</v>
          </cell>
          <cell r="J1352" t="str">
            <v>5 월</v>
          </cell>
          <cell r="K1352">
            <v>37571988</v>
          </cell>
        </row>
        <row r="1353">
          <cell r="A1353" t="str">
            <v>9151020</v>
          </cell>
          <cell r="B1353" t="str">
            <v>김　영　희</v>
          </cell>
          <cell r="C1353" t="str">
            <v>9151020김　영　희</v>
          </cell>
          <cell r="D1353" t="str">
            <v>CH20</v>
          </cell>
          <cell r="E1353" t="str">
            <v>객실2(KALl)</v>
          </cell>
          <cell r="F1353" t="str">
            <v>2420</v>
          </cell>
          <cell r="G1353" t="str">
            <v>2432</v>
          </cell>
          <cell r="H1353" t="str">
            <v>19910508</v>
          </cell>
          <cell r="I1353">
            <v>9250727</v>
          </cell>
        </row>
        <row r="1354">
          <cell r="A1354" t="str">
            <v>9000933</v>
          </cell>
          <cell r="B1354" t="str">
            <v>김　원　석</v>
          </cell>
          <cell r="C1354" t="str">
            <v>9000933김　원　석</v>
          </cell>
          <cell r="D1354" t="str">
            <v>CH20</v>
          </cell>
          <cell r="E1354" t="str">
            <v>객실2(KALl)</v>
          </cell>
          <cell r="F1354" t="str">
            <v>2420</v>
          </cell>
          <cell r="G1354" t="str">
            <v>2433</v>
          </cell>
          <cell r="H1354" t="str">
            <v>19890826</v>
          </cell>
          <cell r="I1354">
            <v>13848098</v>
          </cell>
        </row>
        <row r="1355">
          <cell r="A1355" t="str">
            <v>9152785</v>
          </cell>
          <cell r="B1355" t="str">
            <v>김　점　순</v>
          </cell>
          <cell r="C1355" t="str">
            <v>9152785김　점　순</v>
          </cell>
          <cell r="D1355" t="str">
            <v>CH20</v>
          </cell>
          <cell r="E1355" t="str">
            <v>객실2(KALl)</v>
          </cell>
          <cell r="F1355" t="str">
            <v>2420</v>
          </cell>
          <cell r="G1355" t="str">
            <v>2432</v>
          </cell>
          <cell r="H1355" t="str">
            <v>19911116</v>
          </cell>
          <cell r="I1355">
            <v>8612763</v>
          </cell>
        </row>
        <row r="1356">
          <cell r="A1356" t="str">
            <v>8500533</v>
          </cell>
          <cell r="B1356" t="str">
            <v>김　정　윤</v>
          </cell>
          <cell r="C1356" t="str">
            <v>8500533김　정　윤</v>
          </cell>
          <cell r="D1356" t="str">
            <v>CH20</v>
          </cell>
          <cell r="E1356" t="str">
            <v>객실2(KALl)</v>
          </cell>
          <cell r="F1356" t="str">
            <v>2420</v>
          </cell>
          <cell r="G1356" t="str">
            <v>2433</v>
          </cell>
          <cell r="H1356" t="str">
            <v>19850305</v>
          </cell>
          <cell r="I1356">
            <v>23838784</v>
          </cell>
        </row>
        <row r="1357">
          <cell r="A1357" t="str">
            <v>9701741</v>
          </cell>
          <cell r="B1357" t="str">
            <v>김　지　환</v>
          </cell>
          <cell r="C1357" t="str">
            <v>9701741김　지　환</v>
          </cell>
          <cell r="D1357" t="str">
            <v>CH20</v>
          </cell>
          <cell r="E1357" t="str">
            <v>객실2(KALl)</v>
          </cell>
          <cell r="F1357" t="str">
            <v>2420</v>
          </cell>
          <cell r="G1357" t="str">
            <v>2433</v>
          </cell>
          <cell r="H1357" t="str">
            <v>19970601</v>
          </cell>
          <cell r="I1357">
            <v>2870609</v>
          </cell>
        </row>
        <row r="1358">
          <cell r="A1358" t="str">
            <v>9205064</v>
          </cell>
          <cell r="B1358" t="str">
            <v>김　태　훈</v>
          </cell>
          <cell r="C1358" t="str">
            <v>9205064김　태　훈</v>
          </cell>
          <cell r="D1358" t="str">
            <v>CH20</v>
          </cell>
          <cell r="E1358" t="str">
            <v>객실2(KALl)</v>
          </cell>
          <cell r="F1358" t="str">
            <v>2420</v>
          </cell>
          <cell r="G1358" t="str">
            <v>2432</v>
          </cell>
          <cell r="H1358" t="str">
            <v>19981201</v>
          </cell>
          <cell r="I1358">
            <v>1342210</v>
          </cell>
        </row>
        <row r="1359">
          <cell r="A1359" t="str">
            <v>9701728</v>
          </cell>
          <cell r="B1359" t="str">
            <v>김　판　규</v>
          </cell>
          <cell r="C1359" t="str">
            <v>9701728김　판　규</v>
          </cell>
          <cell r="D1359" t="str">
            <v>CH20</v>
          </cell>
          <cell r="E1359" t="str">
            <v>객실2(KALl)</v>
          </cell>
          <cell r="F1359" t="str">
            <v>2420</v>
          </cell>
          <cell r="G1359" t="str">
            <v>2433</v>
          </cell>
          <cell r="H1359" t="str">
            <v>19970601</v>
          </cell>
          <cell r="I1359">
            <v>3123420</v>
          </cell>
        </row>
        <row r="1360">
          <cell r="A1360" t="str">
            <v>9550438</v>
          </cell>
          <cell r="B1360" t="str">
            <v>김　회　경</v>
          </cell>
          <cell r="C1360" t="str">
            <v>9550438김　회　경</v>
          </cell>
          <cell r="D1360" t="str">
            <v>CH20</v>
          </cell>
          <cell r="E1360" t="str">
            <v>객실2(KALl)</v>
          </cell>
          <cell r="F1360" t="str">
            <v>2420</v>
          </cell>
          <cell r="G1360" t="str">
            <v>2432</v>
          </cell>
          <cell r="H1360" t="str">
            <v>19950916</v>
          </cell>
          <cell r="I1360">
            <v>3826938</v>
          </cell>
        </row>
        <row r="1361">
          <cell r="A1361" t="str">
            <v>8100314</v>
          </cell>
          <cell r="B1361" t="str">
            <v>나　기　석</v>
          </cell>
          <cell r="C1361" t="str">
            <v>8100314나　기　석</v>
          </cell>
          <cell r="D1361" t="str">
            <v>CH20</v>
          </cell>
          <cell r="E1361" t="str">
            <v>객실2(KALl)</v>
          </cell>
          <cell r="F1361" t="str">
            <v>2420</v>
          </cell>
          <cell r="G1361" t="str">
            <v>2433</v>
          </cell>
          <cell r="H1361" t="str">
            <v>19810914</v>
          </cell>
          <cell r="I1361">
            <v>28017846</v>
          </cell>
        </row>
        <row r="1362">
          <cell r="A1362" t="str">
            <v>9550912</v>
          </cell>
          <cell r="B1362" t="str">
            <v>남　연　우</v>
          </cell>
          <cell r="C1362" t="str">
            <v>9550912남　연　우</v>
          </cell>
          <cell r="D1362" t="str">
            <v>CH20</v>
          </cell>
          <cell r="E1362" t="str">
            <v>객실2(KALl)</v>
          </cell>
          <cell r="F1362" t="str">
            <v>2420</v>
          </cell>
          <cell r="G1362" t="str">
            <v>2432</v>
          </cell>
          <cell r="H1362" t="str">
            <v>19951207</v>
          </cell>
          <cell r="I1362">
            <v>3626636</v>
          </cell>
        </row>
        <row r="1363">
          <cell r="A1363" t="str">
            <v>9403896</v>
          </cell>
          <cell r="B1363" t="str">
            <v>노　진　철</v>
          </cell>
          <cell r="C1363" t="str">
            <v>9403896노　진　철</v>
          </cell>
          <cell r="D1363" t="str">
            <v>CH20</v>
          </cell>
          <cell r="E1363" t="str">
            <v>객실2(KALl)</v>
          </cell>
          <cell r="F1363" t="str">
            <v>2420</v>
          </cell>
          <cell r="G1363" t="str">
            <v>2432</v>
          </cell>
          <cell r="H1363" t="str">
            <v>19940616</v>
          </cell>
          <cell r="I1363">
            <v>7424623</v>
          </cell>
        </row>
        <row r="1364">
          <cell r="A1364" t="str">
            <v>9550653</v>
          </cell>
          <cell r="B1364" t="str">
            <v>명　금　순</v>
          </cell>
          <cell r="C1364" t="str">
            <v>9550653명　금　순</v>
          </cell>
          <cell r="D1364" t="str">
            <v>CH20</v>
          </cell>
          <cell r="E1364" t="str">
            <v>객실2(KALl)</v>
          </cell>
          <cell r="F1364" t="str">
            <v>2420</v>
          </cell>
          <cell r="G1364" t="e">
            <v>#N/A</v>
          </cell>
          <cell r="H1364" t="str">
            <v>19951023</v>
          </cell>
          <cell r="I1364">
            <v>3736548</v>
          </cell>
          <cell r="J1364" t="str">
            <v>11 월</v>
          </cell>
          <cell r="K1364">
            <v>5431502</v>
          </cell>
        </row>
        <row r="1365">
          <cell r="A1365" t="str">
            <v>9450538</v>
          </cell>
          <cell r="B1365" t="str">
            <v>박　봉　자</v>
          </cell>
          <cell r="C1365" t="str">
            <v>9450538박　봉　자</v>
          </cell>
          <cell r="D1365" t="str">
            <v>CH20</v>
          </cell>
          <cell r="E1365" t="str">
            <v>객실2(KALl)</v>
          </cell>
          <cell r="F1365" t="str">
            <v>2420</v>
          </cell>
          <cell r="G1365" t="str">
            <v>2420</v>
          </cell>
          <cell r="H1365" t="str">
            <v>19940401</v>
          </cell>
          <cell r="I1365">
            <v>5219772</v>
          </cell>
        </row>
        <row r="1366">
          <cell r="A1366" t="str">
            <v>7700850</v>
          </cell>
          <cell r="B1366" t="str">
            <v>박　선　재</v>
          </cell>
          <cell r="C1366" t="str">
            <v>7700850박　선　재</v>
          </cell>
          <cell r="D1366" t="str">
            <v>CH20</v>
          </cell>
          <cell r="E1366" t="str">
            <v>객실2(KALl)</v>
          </cell>
          <cell r="F1366" t="str">
            <v>2420</v>
          </cell>
          <cell r="G1366" t="str">
            <v>2432</v>
          </cell>
          <cell r="H1366" t="str">
            <v>19771228</v>
          </cell>
          <cell r="I1366">
            <v>37245414</v>
          </cell>
        </row>
        <row r="1367">
          <cell r="A1367" t="str">
            <v>8550876</v>
          </cell>
          <cell r="B1367" t="str">
            <v>박　순　자</v>
          </cell>
          <cell r="C1367" t="str">
            <v>8550876박　순　자</v>
          </cell>
          <cell r="D1367" t="str">
            <v>CH20</v>
          </cell>
          <cell r="E1367" t="str">
            <v>객실2(KALl)</v>
          </cell>
          <cell r="F1367" t="str">
            <v>2420</v>
          </cell>
          <cell r="G1367" t="str">
            <v>2432</v>
          </cell>
          <cell r="H1367" t="str">
            <v>19850909</v>
          </cell>
          <cell r="I1367">
            <v>16950529</v>
          </cell>
        </row>
        <row r="1368">
          <cell r="A1368" t="str">
            <v>9151863</v>
          </cell>
          <cell r="B1368" t="str">
            <v>박　애　자</v>
          </cell>
          <cell r="C1368" t="str">
            <v>9151863박　애　자</v>
          </cell>
          <cell r="D1368" t="str">
            <v>CH20</v>
          </cell>
          <cell r="E1368" t="str">
            <v>객실2(KALl)</v>
          </cell>
          <cell r="F1368" t="str">
            <v>2420</v>
          </cell>
          <cell r="G1368" t="e">
            <v>#N/A</v>
          </cell>
          <cell r="H1368" t="str">
            <v>19910910</v>
          </cell>
          <cell r="I1368">
            <v>8070743</v>
          </cell>
          <cell r="J1368" t="str">
            <v>9 월</v>
          </cell>
          <cell r="K1368">
            <v>18653286</v>
          </cell>
        </row>
        <row r="1369">
          <cell r="A1369" t="str">
            <v>8451123</v>
          </cell>
          <cell r="B1369" t="str">
            <v>박　영　해</v>
          </cell>
          <cell r="C1369" t="str">
            <v>8451123박　영　해</v>
          </cell>
          <cell r="D1369" t="str">
            <v>CH20</v>
          </cell>
          <cell r="E1369" t="str">
            <v>객실2(KALl)</v>
          </cell>
          <cell r="F1369" t="str">
            <v>2420</v>
          </cell>
          <cell r="G1369" t="str">
            <v>2432</v>
          </cell>
          <cell r="H1369" t="str">
            <v>19841115</v>
          </cell>
          <cell r="I1369">
            <v>19474419</v>
          </cell>
        </row>
        <row r="1370">
          <cell r="A1370" t="str">
            <v>9051625</v>
          </cell>
          <cell r="B1370" t="str">
            <v>박　인　순</v>
          </cell>
          <cell r="C1370" t="str">
            <v>9051625박　인　순</v>
          </cell>
          <cell r="D1370" t="str">
            <v>CH20</v>
          </cell>
          <cell r="E1370" t="str">
            <v>객실2(KALl)</v>
          </cell>
          <cell r="F1370" t="str">
            <v>2420</v>
          </cell>
          <cell r="G1370" t="str">
            <v>2432</v>
          </cell>
          <cell r="H1370" t="str">
            <v>19901005</v>
          </cell>
          <cell r="I1370">
            <v>9847052</v>
          </cell>
        </row>
        <row r="1371">
          <cell r="A1371" t="str">
            <v>8900842</v>
          </cell>
          <cell r="B1371" t="str">
            <v>박　정　성</v>
          </cell>
          <cell r="C1371" t="str">
            <v>8900842박　정　성</v>
          </cell>
          <cell r="D1371" t="str">
            <v>CH20</v>
          </cell>
          <cell r="E1371" t="str">
            <v>객실2(KALl)</v>
          </cell>
          <cell r="F1371" t="str">
            <v>2420</v>
          </cell>
          <cell r="G1371" t="str">
            <v>2433</v>
          </cell>
          <cell r="H1371" t="str">
            <v>19880824</v>
          </cell>
          <cell r="I1371">
            <v>14660180</v>
          </cell>
        </row>
        <row r="1372">
          <cell r="A1372" t="str">
            <v>9550743</v>
          </cell>
          <cell r="B1372" t="str">
            <v>박　정　애</v>
          </cell>
          <cell r="C1372" t="str">
            <v>9550743박　정　애</v>
          </cell>
          <cell r="D1372" t="str">
            <v>CH20</v>
          </cell>
          <cell r="E1372" t="str">
            <v>객실2(KALl)</v>
          </cell>
          <cell r="F1372" t="str">
            <v>2420</v>
          </cell>
          <cell r="G1372" t="str">
            <v>2432</v>
          </cell>
          <cell r="H1372" t="str">
            <v>19951106</v>
          </cell>
          <cell r="I1372">
            <v>3741553</v>
          </cell>
        </row>
        <row r="1373">
          <cell r="A1373" t="str">
            <v>8750103</v>
          </cell>
          <cell r="B1373" t="str">
            <v>박　정　자</v>
          </cell>
          <cell r="C1373" t="str">
            <v>8750103박　정　자</v>
          </cell>
          <cell r="D1373" t="str">
            <v>CH20</v>
          </cell>
          <cell r="E1373" t="str">
            <v>객실2(KALl)</v>
          </cell>
          <cell r="F1373" t="str">
            <v>2420</v>
          </cell>
          <cell r="G1373" t="str">
            <v>2432</v>
          </cell>
          <cell r="H1373" t="str">
            <v>19870205</v>
          </cell>
          <cell r="I1373">
            <v>14874117</v>
          </cell>
        </row>
        <row r="1374">
          <cell r="A1374" t="str">
            <v>8451180</v>
          </cell>
          <cell r="B1374" t="str">
            <v>박　정　혜</v>
          </cell>
          <cell r="C1374" t="str">
            <v>8451180박　정　혜</v>
          </cell>
          <cell r="D1374" t="str">
            <v>CH20</v>
          </cell>
          <cell r="E1374" t="str">
            <v>객실2(KALl)</v>
          </cell>
          <cell r="F1374" t="str">
            <v>2420</v>
          </cell>
          <cell r="G1374" t="str">
            <v>2432</v>
          </cell>
          <cell r="H1374" t="str">
            <v>19841115</v>
          </cell>
          <cell r="I1374">
            <v>19438246</v>
          </cell>
        </row>
        <row r="1375">
          <cell r="A1375" t="str">
            <v>9451776</v>
          </cell>
          <cell r="B1375" t="str">
            <v>방　도　순</v>
          </cell>
          <cell r="C1375" t="str">
            <v>9451776방　도　순</v>
          </cell>
          <cell r="D1375" t="str">
            <v>CH20</v>
          </cell>
          <cell r="E1375" t="str">
            <v>객실2(KALl)</v>
          </cell>
          <cell r="F1375" t="str">
            <v>2420</v>
          </cell>
          <cell r="G1375" t="str">
            <v>2432</v>
          </cell>
          <cell r="H1375" t="str">
            <v>19940901</v>
          </cell>
          <cell r="I1375">
            <v>4881678</v>
          </cell>
        </row>
        <row r="1376">
          <cell r="A1376" t="str">
            <v>8250063</v>
          </cell>
          <cell r="B1376" t="str">
            <v>배　복　선</v>
          </cell>
          <cell r="C1376" t="str">
            <v>8250063배　복　선</v>
          </cell>
          <cell r="D1376" t="str">
            <v>CH20</v>
          </cell>
          <cell r="E1376" t="str">
            <v>객실2(KALl)</v>
          </cell>
          <cell r="F1376" t="str">
            <v>2420</v>
          </cell>
          <cell r="G1376" t="str">
            <v>2432</v>
          </cell>
          <cell r="H1376" t="str">
            <v>19820201</v>
          </cell>
          <cell r="I1376">
            <v>23061083</v>
          </cell>
        </row>
        <row r="1377">
          <cell r="A1377" t="str">
            <v>8400813</v>
          </cell>
          <cell r="B1377" t="str">
            <v>변　세　진</v>
          </cell>
          <cell r="C1377" t="str">
            <v>8400813변　세　진</v>
          </cell>
          <cell r="D1377" t="str">
            <v>CH20</v>
          </cell>
          <cell r="E1377" t="str">
            <v>객실2(KALl)</v>
          </cell>
          <cell r="F1377" t="str">
            <v>2420</v>
          </cell>
          <cell r="G1377" t="str">
            <v>2433</v>
          </cell>
          <cell r="H1377" t="str">
            <v>19840821</v>
          </cell>
          <cell r="I1377">
            <v>22777620</v>
          </cell>
        </row>
        <row r="1378">
          <cell r="A1378" t="str">
            <v>8450458</v>
          </cell>
          <cell r="B1378" t="str">
            <v>소　진　순</v>
          </cell>
          <cell r="C1378" t="str">
            <v>8450458소　진　순</v>
          </cell>
          <cell r="D1378" t="str">
            <v>CH20</v>
          </cell>
          <cell r="E1378" t="str">
            <v>객실2(KALl)</v>
          </cell>
          <cell r="F1378" t="str">
            <v>2420</v>
          </cell>
          <cell r="G1378" t="str">
            <v>2432</v>
          </cell>
          <cell r="H1378" t="str">
            <v>19840510</v>
          </cell>
          <cell r="I1378">
            <v>18902270</v>
          </cell>
        </row>
        <row r="1379">
          <cell r="A1379" t="str">
            <v>8901281</v>
          </cell>
          <cell r="B1379" t="str">
            <v>신　호　상</v>
          </cell>
          <cell r="C1379" t="str">
            <v>8901281신　호　상</v>
          </cell>
          <cell r="D1379" t="str">
            <v>CH20</v>
          </cell>
          <cell r="E1379" t="str">
            <v>객실2(KALl)</v>
          </cell>
          <cell r="F1379" t="str">
            <v>2420</v>
          </cell>
          <cell r="G1379" t="str">
            <v>2433</v>
          </cell>
          <cell r="H1379" t="str">
            <v>19880901</v>
          </cell>
          <cell r="I1379">
            <v>13571367</v>
          </cell>
        </row>
        <row r="1380">
          <cell r="A1380" t="str">
            <v>9550697</v>
          </cell>
          <cell r="B1380" t="str">
            <v>심　순　임</v>
          </cell>
          <cell r="C1380" t="str">
            <v>9550697심　순　임</v>
          </cell>
          <cell r="D1380" t="str">
            <v>CH20</v>
          </cell>
          <cell r="E1380" t="str">
            <v>객실2(KALl)</v>
          </cell>
          <cell r="F1380" t="str">
            <v>2420</v>
          </cell>
          <cell r="G1380" t="str">
            <v>2432</v>
          </cell>
          <cell r="H1380" t="str">
            <v>19951106</v>
          </cell>
          <cell r="I1380">
            <v>3702407</v>
          </cell>
        </row>
        <row r="1381">
          <cell r="A1381" t="str">
            <v>9150333</v>
          </cell>
          <cell r="B1381" t="str">
            <v>양　경　철</v>
          </cell>
          <cell r="C1381" t="str">
            <v>9150333양　경　철</v>
          </cell>
          <cell r="D1381" t="str">
            <v>CH20</v>
          </cell>
          <cell r="E1381" t="str">
            <v>객실2(KALl)</v>
          </cell>
          <cell r="F1381" t="str">
            <v>2420</v>
          </cell>
          <cell r="G1381" t="str">
            <v>2432</v>
          </cell>
          <cell r="H1381" t="str">
            <v>19910220</v>
          </cell>
          <cell r="I1381">
            <v>10576687</v>
          </cell>
        </row>
        <row r="1382">
          <cell r="A1382" t="str">
            <v>9550732</v>
          </cell>
          <cell r="B1382" t="str">
            <v>양　승　미</v>
          </cell>
          <cell r="C1382" t="str">
            <v>9550732양　승　미</v>
          </cell>
          <cell r="D1382" t="str">
            <v>CH20</v>
          </cell>
          <cell r="E1382" t="str">
            <v>객실2(KALl)</v>
          </cell>
          <cell r="F1382" t="str">
            <v>2420</v>
          </cell>
          <cell r="G1382" t="str">
            <v>2432</v>
          </cell>
          <cell r="H1382" t="str">
            <v>19951106</v>
          </cell>
          <cell r="I1382">
            <v>3702407</v>
          </cell>
        </row>
        <row r="1383">
          <cell r="A1383" t="str">
            <v>9451675</v>
          </cell>
          <cell r="B1383" t="str">
            <v>오　미　환</v>
          </cell>
          <cell r="C1383" t="str">
            <v>9451675오　미　환</v>
          </cell>
          <cell r="D1383" t="str">
            <v>CH20</v>
          </cell>
          <cell r="E1383" t="str">
            <v>객실2(KALl)</v>
          </cell>
          <cell r="F1383" t="str">
            <v>2420</v>
          </cell>
          <cell r="G1383" t="str">
            <v>2432</v>
          </cell>
          <cell r="H1383" t="str">
            <v>19940801</v>
          </cell>
          <cell r="I1383">
            <v>4959376</v>
          </cell>
        </row>
        <row r="1384">
          <cell r="A1384" t="str">
            <v>8250445</v>
          </cell>
          <cell r="B1384" t="str">
            <v>오　수　숙</v>
          </cell>
          <cell r="C1384" t="str">
            <v>8250445오　수　숙</v>
          </cell>
          <cell r="D1384" t="str">
            <v>CH20</v>
          </cell>
          <cell r="E1384" t="str">
            <v>객실2(KALl)</v>
          </cell>
          <cell r="F1384" t="str">
            <v>2420</v>
          </cell>
          <cell r="G1384" t="str">
            <v>2432</v>
          </cell>
          <cell r="H1384" t="str">
            <v>19821216</v>
          </cell>
          <cell r="I1384">
            <v>20455389</v>
          </cell>
        </row>
        <row r="1385">
          <cell r="A1385" t="str">
            <v>9351066</v>
          </cell>
          <cell r="B1385" t="str">
            <v>용　영　자</v>
          </cell>
          <cell r="C1385" t="str">
            <v>9351066용　영　자</v>
          </cell>
          <cell r="D1385" t="str">
            <v>CH20</v>
          </cell>
          <cell r="E1385" t="str">
            <v>객실2(KALl)</v>
          </cell>
          <cell r="F1385" t="str">
            <v>2420</v>
          </cell>
          <cell r="G1385" t="str">
            <v>2432</v>
          </cell>
          <cell r="H1385" t="str">
            <v>19930616</v>
          </cell>
          <cell r="I1385">
            <v>6500601</v>
          </cell>
        </row>
        <row r="1386">
          <cell r="A1386" t="str">
            <v>8201272</v>
          </cell>
          <cell r="B1386" t="str">
            <v>원　동　우</v>
          </cell>
          <cell r="C1386" t="str">
            <v>8201272원　동　우</v>
          </cell>
          <cell r="D1386" t="str">
            <v>CH20</v>
          </cell>
          <cell r="E1386" t="str">
            <v>객실2(KALl)</v>
          </cell>
          <cell r="F1386" t="str">
            <v>2420</v>
          </cell>
          <cell r="G1386" t="str">
            <v>2432</v>
          </cell>
          <cell r="H1386" t="str">
            <v>19981211</v>
          </cell>
          <cell r="I1386">
            <v>1699461</v>
          </cell>
        </row>
        <row r="1387">
          <cell r="A1387" t="str">
            <v>9550642</v>
          </cell>
          <cell r="B1387" t="str">
            <v>위　미　영</v>
          </cell>
          <cell r="C1387" t="str">
            <v>9550642위　미　영</v>
          </cell>
          <cell r="D1387" t="str">
            <v>CH20</v>
          </cell>
          <cell r="E1387" t="str">
            <v>객실2(KALl)</v>
          </cell>
          <cell r="F1387" t="str">
            <v>2420</v>
          </cell>
          <cell r="G1387" t="str">
            <v>2432</v>
          </cell>
          <cell r="H1387" t="str">
            <v>19940316</v>
          </cell>
          <cell r="I1387">
            <v>5167716</v>
          </cell>
        </row>
        <row r="1388">
          <cell r="A1388" t="str">
            <v>8550516</v>
          </cell>
          <cell r="B1388" t="str">
            <v>위　청　자</v>
          </cell>
          <cell r="C1388" t="str">
            <v>8550516위　청　자</v>
          </cell>
          <cell r="D1388" t="str">
            <v>CH20</v>
          </cell>
          <cell r="E1388" t="str">
            <v>객실2(KALl)</v>
          </cell>
          <cell r="F1388" t="str">
            <v>2420</v>
          </cell>
          <cell r="G1388" t="str">
            <v>2432</v>
          </cell>
          <cell r="H1388" t="str">
            <v>19850501</v>
          </cell>
          <cell r="I1388">
            <v>17607875</v>
          </cell>
          <cell r="J1388" t="str">
            <v>2 월</v>
          </cell>
          <cell r="K1388">
            <v>17628713</v>
          </cell>
        </row>
        <row r="1389">
          <cell r="A1389" t="str">
            <v>9151110</v>
          </cell>
          <cell r="B1389" t="str">
            <v>유　민　숙</v>
          </cell>
          <cell r="C1389" t="str">
            <v>9151110유　민　숙</v>
          </cell>
          <cell r="D1389" t="str">
            <v>CH20</v>
          </cell>
          <cell r="E1389" t="str">
            <v>객실2(KALl)</v>
          </cell>
          <cell r="F1389" t="str">
            <v>2420</v>
          </cell>
          <cell r="G1389" t="str">
            <v>2432</v>
          </cell>
          <cell r="H1389" t="str">
            <v>19910508</v>
          </cell>
          <cell r="I1389">
            <v>8397484</v>
          </cell>
        </row>
        <row r="1390">
          <cell r="A1390" t="str">
            <v>9451067</v>
          </cell>
          <cell r="B1390" t="str">
            <v>유　숙　희</v>
          </cell>
          <cell r="C1390" t="str">
            <v>9451067유　숙　희</v>
          </cell>
          <cell r="D1390" t="str">
            <v>CH20</v>
          </cell>
          <cell r="E1390" t="str">
            <v>객실2(KALl)</v>
          </cell>
          <cell r="F1390" t="str">
            <v>2420</v>
          </cell>
          <cell r="G1390" t="str">
            <v>2432</v>
          </cell>
          <cell r="H1390" t="str">
            <v>19940519</v>
          </cell>
          <cell r="I1390">
            <v>5144971</v>
          </cell>
        </row>
        <row r="1391">
          <cell r="A1391" t="str">
            <v>7600061</v>
          </cell>
          <cell r="B1391" t="str">
            <v>유　재　원</v>
          </cell>
          <cell r="C1391" t="str">
            <v>7600061유　재　원</v>
          </cell>
          <cell r="D1391" t="str">
            <v>CH20</v>
          </cell>
          <cell r="E1391" t="str">
            <v>객실2(KALl)</v>
          </cell>
          <cell r="F1391" t="str">
            <v>2420</v>
          </cell>
          <cell r="G1391" t="str">
            <v>2432</v>
          </cell>
          <cell r="H1391" t="str">
            <v>19981001</v>
          </cell>
          <cell r="I1391">
            <v>2231167</v>
          </cell>
        </row>
        <row r="1392">
          <cell r="A1392" t="str">
            <v>9152741</v>
          </cell>
          <cell r="B1392" t="str">
            <v>이　만　자</v>
          </cell>
          <cell r="C1392" t="str">
            <v>9152741이　만　자</v>
          </cell>
          <cell r="D1392" t="str">
            <v>CH20</v>
          </cell>
          <cell r="E1392" t="str">
            <v>객실2(KALl)</v>
          </cell>
          <cell r="F1392" t="str">
            <v>2420</v>
          </cell>
          <cell r="G1392" t="str">
            <v>2432</v>
          </cell>
          <cell r="H1392" t="str">
            <v>19911116</v>
          </cell>
          <cell r="I1392">
            <v>8609537</v>
          </cell>
        </row>
        <row r="1393">
          <cell r="A1393" t="str">
            <v>9152155</v>
          </cell>
          <cell r="B1393" t="str">
            <v>이　명　애</v>
          </cell>
          <cell r="C1393" t="str">
            <v>9152155이　명　애</v>
          </cell>
          <cell r="D1393" t="str">
            <v>CH20</v>
          </cell>
          <cell r="E1393" t="str">
            <v>객실2(KALl)</v>
          </cell>
          <cell r="F1393" t="str">
            <v>2420</v>
          </cell>
          <cell r="G1393" t="str">
            <v>2432</v>
          </cell>
          <cell r="H1393" t="str">
            <v>19911001</v>
          </cell>
          <cell r="I1393">
            <v>8946240</v>
          </cell>
        </row>
        <row r="1394">
          <cell r="A1394" t="str">
            <v>9303963</v>
          </cell>
          <cell r="B1394" t="str">
            <v>이　병　란</v>
          </cell>
          <cell r="C1394" t="str">
            <v>9303963이　병　란</v>
          </cell>
          <cell r="D1394" t="str">
            <v>CH20</v>
          </cell>
          <cell r="E1394" t="str">
            <v>객실2(KALl)</v>
          </cell>
          <cell r="F1394" t="str">
            <v>2420</v>
          </cell>
          <cell r="G1394" t="str">
            <v>2432</v>
          </cell>
          <cell r="H1394" t="str">
            <v>19930701</v>
          </cell>
          <cell r="I1394">
            <v>8390828</v>
          </cell>
        </row>
        <row r="1395">
          <cell r="A1395" t="str">
            <v>9250391</v>
          </cell>
          <cell r="B1395" t="str">
            <v>이　소　은</v>
          </cell>
          <cell r="C1395" t="str">
            <v>9250391이　소　은</v>
          </cell>
          <cell r="D1395" t="str">
            <v>CH20</v>
          </cell>
          <cell r="E1395" t="str">
            <v>객실2(KALl)</v>
          </cell>
          <cell r="F1395" t="str">
            <v>2420</v>
          </cell>
          <cell r="G1395" t="str">
            <v>2432</v>
          </cell>
          <cell r="H1395" t="str">
            <v>19920316</v>
          </cell>
          <cell r="I1395">
            <v>7938196</v>
          </cell>
        </row>
        <row r="1396">
          <cell r="A1396" t="str">
            <v>7200178</v>
          </cell>
          <cell r="B1396" t="str">
            <v>이　수　재</v>
          </cell>
          <cell r="C1396" t="str">
            <v>7200178이　수　재</v>
          </cell>
          <cell r="D1396" t="str">
            <v>CH20</v>
          </cell>
          <cell r="E1396" t="str">
            <v>객실2(KALl)</v>
          </cell>
          <cell r="F1396" t="str">
            <v>2420</v>
          </cell>
          <cell r="G1396" t="str">
            <v>2432</v>
          </cell>
          <cell r="H1396" t="str">
            <v>19981201</v>
          </cell>
          <cell r="I1396">
            <v>2610630</v>
          </cell>
        </row>
        <row r="1397">
          <cell r="A1397" t="str">
            <v>9250481</v>
          </cell>
          <cell r="B1397" t="str">
            <v>이　연　하</v>
          </cell>
          <cell r="C1397" t="str">
            <v>9250481이　연　하</v>
          </cell>
          <cell r="D1397" t="str">
            <v>CH20</v>
          </cell>
          <cell r="E1397" t="str">
            <v>객실2(KALl)</v>
          </cell>
          <cell r="F1397" t="str">
            <v>2420</v>
          </cell>
          <cell r="G1397" t="str">
            <v>2432</v>
          </cell>
          <cell r="H1397" t="str">
            <v>19920316</v>
          </cell>
          <cell r="I1397">
            <v>7444376</v>
          </cell>
        </row>
        <row r="1398">
          <cell r="A1398" t="str">
            <v>9550440</v>
          </cell>
          <cell r="B1398" t="str">
            <v>이　옥　남</v>
          </cell>
          <cell r="C1398" t="str">
            <v>9550440이　옥　남</v>
          </cell>
          <cell r="D1398" t="str">
            <v>CH20</v>
          </cell>
          <cell r="E1398" t="str">
            <v>객실2(KALl)</v>
          </cell>
          <cell r="F1398" t="str">
            <v>2420</v>
          </cell>
          <cell r="G1398" t="str">
            <v>2432</v>
          </cell>
          <cell r="H1398" t="str">
            <v>19950916</v>
          </cell>
          <cell r="I1398">
            <v>3826938</v>
          </cell>
        </row>
        <row r="1399">
          <cell r="A1399" t="str">
            <v>9351426</v>
          </cell>
          <cell r="B1399" t="str">
            <v>이　옥　하</v>
          </cell>
          <cell r="C1399" t="str">
            <v>9351426이　옥　하</v>
          </cell>
          <cell r="D1399" t="str">
            <v>CH20</v>
          </cell>
          <cell r="E1399" t="str">
            <v>객실2(KALl)</v>
          </cell>
          <cell r="F1399" t="str">
            <v>2420</v>
          </cell>
          <cell r="G1399" t="str">
            <v>2432</v>
          </cell>
          <cell r="H1399" t="str">
            <v>19930716</v>
          </cell>
          <cell r="I1399">
            <v>6733366</v>
          </cell>
        </row>
        <row r="1400">
          <cell r="A1400" t="str">
            <v>8551326</v>
          </cell>
          <cell r="B1400" t="str">
            <v>이　유　예</v>
          </cell>
          <cell r="C1400" t="str">
            <v>8551326이　유　예</v>
          </cell>
          <cell r="D1400" t="str">
            <v>CH20</v>
          </cell>
          <cell r="E1400" t="str">
            <v>객실2(KALl)</v>
          </cell>
          <cell r="F1400" t="str">
            <v>2420</v>
          </cell>
          <cell r="G1400" t="str">
            <v>2432</v>
          </cell>
          <cell r="H1400" t="str">
            <v>19851210</v>
          </cell>
          <cell r="I1400">
            <v>16206714</v>
          </cell>
        </row>
        <row r="1401">
          <cell r="A1401" t="str">
            <v>9152177</v>
          </cell>
          <cell r="B1401" t="str">
            <v>이　윤　희</v>
          </cell>
          <cell r="C1401" t="str">
            <v>9152177이　윤　희</v>
          </cell>
          <cell r="D1401" t="str">
            <v>CH20</v>
          </cell>
          <cell r="E1401" t="str">
            <v>객실2(KALl)</v>
          </cell>
          <cell r="F1401" t="str">
            <v>2420</v>
          </cell>
          <cell r="G1401" t="str">
            <v>2432</v>
          </cell>
          <cell r="H1401" t="str">
            <v>19911001</v>
          </cell>
          <cell r="I1401">
            <v>9146954</v>
          </cell>
        </row>
        <row r="1402">
          <cell r="A1402" t="str">
            <v>9304312</v>
          </cell>
          <cell r="B1402" t="str">
            <v>이　종　현</v>
          </cell>
          <cell r="C1402" t="str">
            <v>9304312이　종　현</v>
          </cell>
          <cell r="D1402" t="str">
            <v>CH20</v>
          </cell>
          <cell r="E1402" t="str">
            <v>객실2(KALl)</v>
          </cell>
          <cell r="F1402" t="str">
            <v>2420</v>
          </cell>
          <cell r="G1402" t="str">
            <v>2432</v>
          </cell>
          <cell r="H1402" t="str">
            <v>19930716</v>
          </cell>
          <cell r="I1402">
            <v>8661893</v>
          </cell>
        </row>
        <row r="1403">
          <cell r="A1403" t="str">
            <v>8500735</v>
          </cell>
          <cell r="B1403" t="str">
            <v>임　성　실</v>
          </cell>
          <cell r="C1403" t="str">
            <v>8500735임　성　실</v>
          </cell>
          <cell r="D1403" t="str">
            <v>CH20</v>
          </cell>
          <cell r="E1403" t="str">
            <v>객실2(KALl)</v>
          </cell>
          <cell r="F1403" t="str">
            <v>2420</v>
          </cell>
          <cell r="G1403" t="str">
            <v>2432</v>
          </cell>
          <cell r="H1403" t="str">
            <v>19981201</v>
          </cell>
          <cell r="I1403">
            <v>1877419</v>
          </cell>
        </row>
        <row r="1404">
          <cell r="A1404" t="str">
            <v>9151492</v>
          </cell>
          <cell r="B1404" t="str">
            <v>임　순　길</v>
          </cell>
          <cell r="C1404" t="str">
            <v>9151492임　순　길</v>
          </cell>
          <cell r="D1404" t="str">
            <v>CH20</v>
          </cell>
          <cell r="E1404" t="str">
            <v>객실2(KALl)</v>
          </cell>
          <cell r="F1404" t="str">
            <v>2420</v>
          </cell>
          <cell r="G1404" t="str">
            <v>2432</v>
          </cell>
          <cell r="H1404" t="str">
            <v>19910801</v>
          </cell>
          <cell r="I1404">
            <v>8171435</v>
          </cell>
        </row>
        <row r="1405">
          <cell r="A1405" t="str">
            <v>9450494</v>
          </cell>
          <cell r="B1405" t="str">
            <v>임　영　애</v>
          </cell>
          <cell r="C1405" t="str">
            <v>9450494임　영　애</v>
          </cell>
          <cell r="D1405" t="str">
            <v>CH20</v>
          </cell>
          <cell r="E1405" t="str">
            <v>객실2(KALl)</v>
          </cell>
          <cell r="F1405" t="str">
            <v>2420</v>
          </cell>
          <cell r="G1405" t="str">
            <v>2432</v>
          </cell>
          <cell r="H1405" t="str">
            <v>19940314</v>
          </cell>
          <cell r="I1405">
            <v>5218559</v>
          </cell>
        </row>
        <row r="1406">
          <cell r="A1406" t="str">
            <v>9452002</v>
          </cell>
          <cell r="B1406" t="str">
            <v>임　헌　자</v>
          </cell>
          <cell r="C1406" t="str">
            <v>9452002임　헌　자</v>
          </cell>
          <cell r="D1406" t="str">
            <v>CH20</v>
          </cell>
          <cell r="E1406" t="str">
            <v>객실2(KALl)</v>
          </cell>
          <cell r="F1406" t="str">
            <v>2420</v>
          </cell>
          <cell r="G1406" t="str">
            <v>2432</v>
          </cell>
          <cell r="H1406" t="str">
            <v>19941114</v>
          </cell>
          <cell r="I1406">
            <v>4655553</v>
          </cell>
        </row>
        <row r="1407">
          <cell r="A1407" t="str">
            <v>8800727</v>
          </cell>
          <cell r="B1407" t="str">
            <v>장　영　섭</v>
          </cell>
          <cell r="C1407" t="str">
            <v>8800727장　영　섭</v>
          </cell>
          <cell r="D1407" t="str">
            <v>CH20</v>
          </cell>
          <cell r="E1407" t="str">
            <v>객실2(KALl)</v>
          </cell>
          <cell r="F1407" t="str">
            <v>2420</v>
          </cell>
          <cell r="G1407" t="str">
            <v>2433</v>
          </cell>
          <cell r="H1407" t="str">
            <v>19880430</v>
          </cell>
          <cell r="I1407">
            <v>16014921</v>
          </cell>
        </row>
        <row r="1408">
          <cell r="A1408" t="str">
            <v>9350583</v>
          </cell>
          <cell r="B1408" t="str">
            <v>장　현　유</v>
          </cell>
          <cell r="C1408" t="str">
            <v>9350583장　현　유</v>
          </cell>
          <cell r="D1408" t="str">
            <v>CH20</v>
          </cell>
          <cell r="E1408" t="str">
            <v>객실2(KALl)</v>
          </cell>
          <cell r="F1408" t="str">
            <v>2420</v>
          </cell>
          <cell r="G1408" t="str">
            <v>2432</v>
          </cell>
          <cell r="H1408" t="str">
            <v>19930415</v>
          </cell>
          <cell r="I1408">
            <v>8526928</v>
          </cell>
        </row>
        <row r="1409">
          <cell r="A1409" t="str">
            <v>8400060</v>
          </cell>
          <cell r="B1409" t="str">
            <v>전　상　익</v>
          </cell>
          <cell r="C1409" t="str">
            <v>8400060전　상　익</v>
          </cell>
          <cell r="D1409" t="str">
            <v>CH20</v>
          </cell>
          <cell r="E1409" t="str">
            <v>객실2(KALl)</v>
          </cell>
          <cell r="F1409" t="str">
            <v>2420</v>
          </cell>
          <cell r="G1409" t="str">
            <v>2432</v>
          </cell>
          <cell r="H1409" t="str">
            <v>19840206</v>
          </cell>
          <cell r="I1409">
            <v>28247228</v>
          </cell>
        </row>
        <row r="1410">
          <cell r="A1410" t="str">
            <v>9550754</v>
          </cell>
          <cell r="B1410" t="str">
            <v>정　금　자</v>
          </cell>
          <cell r="C1410" t="str">
            <v>9550754정　금　자</v>
          </cell>
          <cell r="D1410" t="str">
            <v>CH20</v>
          </cell>
          <cell r="E1410" t="str">
            <v>객실2(KALl)</v>
          </cell>
          <cell r="F1410" t="str">
            <v>2420</v>
          </cell>
          <cell r="G1410" t="str">
            <v>2432</v>
          </cell>
          <cell r="H1410" t="str">
            <v>19951106</v>
          </cell>
          <cell r="I1410">
            <v>3702407</v>
          </cell>
        </row>
        <row r="1411">
          <cell r="A1411" t="str">
            <v>9251021</v>
          </cell>
          <cell r="B1411" t="str">
            <v>조　영　순</v>
          </cell>
          <cell r="C1411" t="str">
            <v>9251021조　영　순</v>
          </cell>
          <cell r="D1411" t="str">
            <v>CH20</v>
          </cell>
          <cell r="E1411" t="str">
            <v>객실2(KALl)</v>
          </cell>
          <cell r="F1411" t="str">
            <v>2420</v>
          </cell>
          <cell r="G1411" t="str">
            <v>2432</v>
          </cell>
          <cell r="H1411" t="str">
            <v>19920501</v>
          </cell>
          <cell r="I1411">
            <v>7324078</v>
          </cell>
        </row>
        <row r="1412">
          <cell r="A1412" t="str">
            <v>9450595</v>
          </cell>
          <cell r="B1412" t="str">
            <v>조　옥　화</v>
          </cell>
          <cell r="C1412" t="str">
            <v>9450595조　옥　화</v>
          </cell>
          <cell r="D1412" t="str">
            <v>CH20</v>
          </cell>
          <cell r="E1412" t="str">
            <v>객실2(KALl)</v>
          </cell>
          <cell r="F1412" t="str">
            <v>2420</v>
          </cell>
          <cell r="G1412" t="str">
            <v>2432</v>
          </cell>
          <cell r="H1412" t="str">
            <v>19940401</v>
          </cell>
          <cell r="I1412">
            <v>5265316</v>
          </cell>
        </row>
        <row r="1413">
          <cell r="A1413" t="str">
            <v>9307361</v>
          </cell>
          <cell r="B1413" t="str">
            <v>조　준　영</v>
          </cell>
          <cell r="C1413" t="str">
            <v>9307361조　준　영</v>
          </cell>
          <cell r="D1413" t="str">
            <v>CH20</v>
          </cell>
          <cell r="E1413" t="str">
            <v>객실2(KALl)</v>
          </cell>
          <cell r="F1413" t="str">
            <v>2420</v>
          </cell>
          <cell r="G1413" t="str">
            <v>2433</v>
          </cell>
          <cell r="H1413" t="str">
            <v>19931116</v>
          </cell>
          <cell r="I1413">
            <v>6829528</v>
          </cell>
        </row>
        <row r="1414">
          <cell r="A1414" t="str">
            <v>8250164</v>
          </cell>
          <cell r="B1414" t="str">
            <v>차　애　자</v>
          </cell>
          <cell r="C1414" t="str">
            <v>8250164차　애　자</v>
          </cell>
          <cell r="D1414" t="str">
            <v>CH20</v>
          </cell>
          <cell r="E1414" t="str">
            <v>객실2(KALl)</v>
          </cell>
          <cell r="F1414" t="str">
            <v>2420</v>
          </cell>
          <cell r="G1414" t="str">
            <v>2432</v>
          </cell>
          <cell r="H1414" t="str">
            <v>19820501</v>
          </cell>
          <cell r="I1414">
            <v>21488179</v>
          </cell>
        </row>
        <row r="1415">
          <cell r="A1415" t="str">
            <v>8650192</v>
          </cell>
          <cell r="B1415" t="str">
            <v>최　난　주</v>
          </cell>
          <cell r="C1415" t="str">
            <v>8650192최　난　주</v>
          </cell>
          <cell r="D1415" t="str">
            <v>CH20</v>
          </cell>
          <cell r="E1415" t="str">
            <v>객실2(KALl)</v>
          </cell>
          <cell r="F1415" t="str">
            <v>2420</v>
          </cell>
          <cell r="G1415" t="str">
            <v>2432</v>
          </cell>
          <cell r="H1415" t="str">
            <v>19860501</v>
          </cell>
          <cell r="I1415">
            <v>15974797</v>
          </cell>
        </row>
        <row r="1416">
          <cell r="A1416" t="str">
            <v>9153112</v>
          </cell>
          <cell r="B1416" t="str">
            <v>최　복　실</v>
          </cell>
          <cell r="C1416" t="str">
            <v>9153112최　복　실</v>
          </cell>
          <cell r="D1416" t="str">
            <v>CH20</v>
          </cell>
          <cell r="E1416" t="str">
            <v>객실2(KALl)</v>
          </cell>
          <cell r="F1416" t="str">
            <v>2420</v>
          </cell>
          <cell r="G1416" t="str">
            <v>2432</v>
          </cell>
          <cell r="H1416" t="str">
            <v>19911216</v>
          </cell>
          <cell r="I1416">
            <v>8507653</v>
          </cell>
        </row>
        <row r="1417">
          <cell r="A1417" t="str">
            <v>9550631</v>
          </cell>
          <cell r="B1417" t="str">
            <v>최　혜　숙</v>
          </cell>
          <cell r="C1417" t="str">
            <v>9550631최　혜　숙</v>
          </cell>
          <cell r="D1417" t="str">
            <v>CH20</v>
          </cell>
          <cell r="E1417" t="str">
            <v>객실2(KALl)</v>
          </cell>
          <cell r="F1417" t="str">
            <v>2420</v>
          </cell>
          <cell r="G1417" t="str">
            <v>2432</v>
          </cell>
          <cell r="H1417" t="str">
            <v>19951023</v>
          </cell>
          <cell r="I1417">
            <v>4197467</v>
          </cell>
        </row>
        <row r="1418">
          <cell r="A1418" t="str">
            <v>9550528</v>
          </cell>
          <cell r="B1418" t="str">
            <v>현　소　연</v>
          </cell>
          <cell r="C1418" t="str">
            <v>9550528현　소　연</v>
          </cell>
          <cell r="D1418" t="str">
            <v>CH20</v>
          </cell>
          <cell r="E1418" t="str">
            <v>객실2(KALl)</v>
          </cell>
          <cell r="F1418" t="str">
            <v>2420</v>
          </cell>
          <cell r="G1418" t="str">
            <v>2432</v>
          </cell>
          <cell r="H1418" t="str">
            <v>19950916</v>
          </cell>
          <cell r="I1418">
            <v>3826938</v>
          </cell>
        </row>
        <row r="1419">
          <cell r="A1419" t="str">
            <v>9550484</v>
          </cell>
          <cell r="B1419" t="str">
            <v>홍　경　희</v>
          </cell>
          <cell r="C1419" t="str">
            <v>9550484홍　경　희</v>
          </cell>
          <cell r="D1419" t="str">
            <v>CH20</v>
          </cell>
          <cell r="E1419" t="str">
            <v>객실2(KALl)</v>
          </cell>
          <cell r="F1419" t="str">
            <v>2420</v>
          </cell>
          <cell r="G1419" t="str">
            <v>2432</v>
          </cell>
          <cell r="H1419" t="str">
            <v>19950916</v>
          </cell>
          <cell r="I1419">
            <v>3826938</v>
          </cell>
        </row>
        <row r="1420">
          <cell r="A1420" t="str">
            <v>9351911</v>
          </cell>
          <cell r="B1420" t="str">
            <v>홍　옥　순</v>
          </cell>
          <cell r="C1420" t="str">
            <v>9351911홍　옥　순</v>
          </cell>
          <cell r="D1420" t="str">
            <v>CH20</v>
          </cell>
          <cell r="E1420" t="str">
            <v>객실2(KALl)</v>
          </cell>
          <cell r="F1420" t="str">
            <v>2420</v>
          </cell>
          <cell r="G1420" t="str">
            <v>2432</v>
          </cell>
          <cell r="H1420" t="str">
            <v>19931018</v>
          </cell>
          <cell r="I1420">
            <v>5728099</v>
          </cell>
        </row>
        <row r="1421">
          <cell r="A1421" t="str">
            <v>8350290</v>
          </cell>
          <cell r="B1421" t="str">
            <v>강　순　예</v>
          </cell>
          <cell r="C1421" t="str">
            <v>8350290강　순　예</v>
          </cell>
          <cell r="D1421" t="str">
            <v>CH30</v>
          </cell>
          <cell r="E1421" t="str">
            <v>객실2(KALl)</v>
          </cell>
          <cell r="F1421" t="str">
            <v>2420</v>
          </cell>
          <cell r="G1421" t="str">
            <v>2420</v>
          </cell>
          <cell r="H1421" t="str">
            <v>19830806</v>
          </cell>
          <cell r="I1421">
            <v>19977085</v>
          </cell>
        </row>
        <row r="1422">
          <cell r="A1422" t="str">
            <v>9351753</v>
          </cell>
          <cell r="B1422" t="str">
            <v>강　효　선</v>
          </cell>
          <cell r="C1422" t="str">
            <v>9351753강　효　선</v>
          </cell>
          <cell r="D1422" t="str">
            <v>CH30</v>
          </cell>
          <cell r="E1422" t="str">
            <v>객실2(KALl)</v>
          </cell>
          <cell r="F1422" t="str">
            <v>2420</v>
          </cell>
          <cell r="G1422" t="str">
            <v>2420</v>
          </cell>
          <cell r="H1422" t="str">
            <v>19930916</v>
          </cell>
          <cell r="I1422">
            <v>6506536</v>
          </cell>
        </row>
        <row r="1423">
          <cell r="A1423" t="str">
            <v>8200800</v>
          </cell>
          <cell r="B1423" t="str">
            <v>고　대　길</v>
          </cell>
          <cell r="C1423" t="str">
            <v>8200800고　대　길</v>
          </cell>
          <cell r="D1423" t="str">
            <v>CH30</v>
          </cell>
          <cell r="E1423" t="str">
            <v>객실2(KALl)</v>
          </cell>
          <cell r="F1423" t="str">
            <v>2420</v>
          </cell>
          <cell r="G1423" t="str">
            <v>2420</v>
          </cell>
          <cell r="H1423" t="str">
            <v>19820901</v>
          </cell>
          <cell r="I1423">
            <v>26213574</v>
          </cell>
        </row>
        <row r="1424">
          <cell r="A1424" t="str">
            <v>8650484</v>
          </cell>
          <cell r="B1424" t="str">
            <v>고　영　님</v>
          </cell>
          <cell r="C1424" t="str">
            <v>8650484고　영　님</v>
          </cell>
          <cell r="D1424" t="str">
            <v>CH30</v>
          </cell>
          <cell r="E1424" t="str">
            <v>객실2(KALl)</v>
          </cell>
          <cell r="F1424" t="str">
            <v>2420</v>
          </cell>
          <cell r="G1424" t="e">
            <v>#N/A</v>
          </cell>
          <cell r="H1424" t="str">
            <v>19860529</v>
          </cell>
          <cell r="I1424">
            <v>15992787</v>
          </cell>
          <cell r="J1424" t="str">
            <v>10 월</v>
          </cell>
          <cell r="K1424">
            <v>20343842</v>
          </cell>
        </row>
        <row r="1425">
          <cell r="A1425" t="str">
            <v>9650248</v>
          </cell>
          <cell r="B1425" t="str">
            <v>고　영　숙</v>
          </cell>
          <cell r="C1425" t="str">
            <v>9650248고　영　숙</v>
          </cell>
          <cell r="D1425" t="str">
            <v>CH30</v>
          </cell>
          <cell r="E1425" t="str">
            <v>객실2(KALl)</v>
          </cell>
          <cell r="F1425" t="str">
            <v>2420</v>
          </cell>
          <cell r="G1425" t="str">
            <v>2420</v>
          </cell>
          <cell r="H1425" t="str">
            <v>19960501</v>
          </cell>
          <cell r="I1425">
            <v>3232565</v>
          </cell>
        </row>
        <row r="1426">
          <cell r="A1426" t="str">
            <v>9002992</v>
          </cell>
          <cell r="B1426" t="str">
            <v>구　교　석</v>
          </cell>
          <cell r="C1426" t="str">
            <v>9002992구　교　석</v>
          </cell>
          <cell r="D1426" t="str">
            <v>CH30</v>
          </cell>
          <cell r="E1426" t="str">
            <v>객실2(KALl)</v>
          </cell>
          <cell r="F1426" t="str">
            <v>2420</v>
          </cell>
          <cell r="G1426" t="str">
            <v>2432</v>
          </cell>
          <cell r="H1426" t="str">
            <v>19900317</v>
          </cell>
          <cell r="I1426">
            <v>14104324</v>
          </cell>
        </row>
        <row r="1427">
          <cell r="A1427" t="str">
            <v>8901101</v>
          </cell>
          <cell r="B1427" t="str">
            <v>김　경　남</v>
          </cell>
          <cell r="C1427" t="str">
            <v>8901101김　경　남</v>
          </cell>
          <cell r="D1427" t="str">
            <v>CH30</v>
          </cell>
          <cell r="E1427" t="str">
            <v>객실2(KALl)</v>
          </cell>
          <cell r="F1427" t="str">
            <v>2420</v>
          </cell>
          <cell r="G1427" t="str">
            <v>2420</v>
          </cell>
          <cell r="H1427" t="str">
            <v>19890301</v>
          </cell>
          <cell r="I1427">
            <v>20581779</v>
          </cell>
        </row>
        <row r="1428">
          <cell r="A1428" t="str">
            <v>8550077</v>
          </cell>
          <cell r="B1428" t="str">
            <v>김　귀　자</v>
          </cell>
          <cell r="C1428" t="str">
            <v>8550077김　귀　자</v>
          </cell>
          <cell r="D1428" t="str">
            <v>CH30</v>
          </cell>
          <cell r="E1428" t="str">
            <v>객실2(KALl)</v>
          </cell>
          <cell r="F1428" t="str">
            <v>2420</v>
          </cell>
          <cell r="G1428" t="str">
            <v>2420</v>
          </cell>
          <cell r="H1428" t="str">
            <v>19850110</v>
          </cell>
          <cell r="I1428">
            <v>17835747</v>
          </cell>
        </row>
        <row r="1429">
          <cell r="A1429" t="str">
            <v>9050174</v>
          </cell>
          <cell r="B1429" t="str">
            <v>김　금　자</v>
          </cell>
          <cell r="C1429" t="str">
            <v>9050174김　금　자</v>
          </cell>
          <cell r="D1429" t="str">
            <v>CH30</v>
          </cell>
          <cell r="E1429" t="str">
            <v>객실2(KALl)</v>
          </cell>
          <cell r="F1429" t="str">
            <v>2420</v>
          </cell>
          <cell r="G1429" t="str">
            <v>2420</v>
          </cell>
          <cell r="H1429" t="str">
            <v>19900201</v>
          </cell>
          <cell r="I1429">
            <v>10722239</v>
          </cell>
        </row>
        <row r="1430">
          <cell r="A1430" t="str">
            <v>9251291</v>
          </cell>
          <cell r="B1430" t="str">
            <v>김　금　자</v>
          </cell>
          <cell r="C1430" t="str">
            <v>9251291김　금　자</v>
          </cell>
          <cell r="D1430" t="str">
            <v>CH30</v>
          </cell>
          <cell r="E1430" t="str">
            <v>객실2(KALl)</v>
          </cell>
          <cell r="F1430" t="str">
            <v>2420</v>
          </cell>
          <cell r="G1430" t="str">
            <v>2420</v>
          </cell>
          <cell r="H1430" t="str">
            <v>19920601</v>
          </cell>
          <cell r="I1430">
            <v>7248125</v>
          </cell>
        </row>
        <row r="1431">
          <cell r="A1431" t="str">
            <v>8603673</v>
          </cell>
          <cell r="B1431" t="str">
            <v>김　남　식</v>
          </cell>
          <cell r="C1431" t="str">
            <v>8603673김　남　식</v>
          </cell>
          <cell r="D1431" t="str">
            <v>CH30</v>
          </cell>
          <cell r="E1431" t="str">
            <v>객실2(KALl)</v>
          </cell>
          <cell r="F1431" t="str">
            <v>2420</v>
          </cell>
          <cell r="G1431" t="str">
            <v>2432</v>
          </cell>
          <cell r="H1431" t="str">
            <v>19860901</v>
          </cell>
          <cell r="I1431">
            <v>24022294</v>
          </cell>
        </row>
        <row r="1432">
          <cell r="A1432" t="str">
            <v>9152886</v>
          </cell>
          <cell r="B1432" t="str">
            <v>김　명　숙</v>
          </cell>
          <cell r="C1432" t="str">
            <v>9152886김　명　숙</v>
          </cell>
          <cell r="D1432" t="str">
            <v>CH30</v>
          </cell>
          <cell r="E1432" t="str">
            <v>객실2(KALl)</v>
          </cell>
          <cell r="F1432" t="str">
            <v>2420</v>
          </cell>
          <cell r="G1432" t="str">
            <v>2420</v>
          </cell>
          <cell r="H1432" t="str">
            <v>19911116</v>
          </cell>
          <cell r="I1432">
            <v>7833650</v>
          </cell>
        </row>
        <row r="1433">
          <cell r="A1433" t="str">
            <v>9151042</v>
          </cell>
          <cell r="B1433" t="str">
            <v>김　미　화</v>
          </cell>
          <cell r="C1433" t="str">
            <v>9151042김　미　화</v>
          </cell>
          <cell r="D1433" t="str">
            <v>CH30</v>
          </cell>
          <cell r="E1433" t="str">
            <v>객실2(KALl)</v>
          </cell>
          <cell r="F1433" t="str">
            <v>2420</v>
          </cell>
          <cell r="G1433" t="str">
            <v>2420</v>
          </cell>
          <cell r="H1433" t="str">
            <v>19910508</v>
          </cell>
          <cell r="I1433">
            <v>8427073</v>
          </cell>
        </row>
        <row r="1434">
          <cell r="A1434" t="str">
            <v>8150242</v>
          </cell>
          <cell r="B1434" t="str">
            <v>김　복　화</v>
          </cell>
          <cell r="C1434" t="str">
            <v>8150242김　복　화</v>
          </cell>
          <cell r="D1434" t="str">
            <v>CH30</v>
          </cell>
          <cell r="E1434" t="str">
            <v>객실2(KALl)</v>
          </cell>
          <cell r="F1434" t="str">
            <v>2420</v>
          </cell>
          <cell r="G1434" t="str">
            <v>2420</v>
          </cell>
          <cell r="H1434" t="str">
            <v>19811101</v>
          </cell>
          <cell r="I1434">
            <v>23678671</v>
          </cell>
        </row>
        <row r="1435">
          <cell r="A1435" t="str">
            <v>9304042</v>
          </cell>
          <cell r="B1435" t="str">
            <v>김　부　영</v>
          </cell>
          <cell r="C1435" t="str">
            <v>9304042김　부　영</v>
          </cell>
          <cell r="D1435" t="str">
            <v>CH30</v>
          </cell>
          <cell r="E1435" t="str">
            <v>객실2(KALl)</v>
          </cell>
          <cell r="F1435" t="str">
            <v>2420</v>
          </cell>
          <cell r="G1435" t="str">
            <v>2432</v>
          </cell>
          <cell r="H1435" t="str">
            <v>19930701</v>
          </cell>
          <cell r="I1435">
            <v>9132120</v>
          </cell>
        </row>
        <row r="1436">
          <cell r="A1436" t="str">
            <v>9250672</v>
          </cell>
          <cell r="B1436" t="str">
            <v>김　선　애</v>
          </cell>
          <cell r="C1436" t="str">
            <v>9250672김　선　애</v>
          </cell>
          <cell r="D1436" t="str">
            <v>CH30</v>
          </cell>
          <cell r="E1436" t="str">
            <v>객실2(KALl)</v>
          </cell>
          <cell r="F1436" t="str">
            <v>2420</v>
          </cell>
          <cell r="G1436" t="str">
            <v>2420</v>
          </cell>
          <cell r="H1436" t="str">
            <v>19920401</v>
          </cell>
          <cell r="I1436">
            <v>8139131</v>
          </cell>
        </row>
        <row r="1437">
          <cell r="A1437" t="str">
            <v>9150805</v>
          </cell>
          <cell r="B1437" t="str">
            <v>김　선　자</v>
          </cell>
          <cell r="C1437" t="str">
            <v>9150805김　선　자</v>
          </cell>
          <cell r="D1437" t="str">
            <v>CH30</v>
          </cell>
          <cell r="E1437" t="str">
            <v>객실2(KALl)</v>
          </cell>
          <cell r="F1437" t="str">
            <v>2420</v>
          </cell>
          <cell r="G1437" t="str">
            <v>2420</v>
          </cell>
          <cell r="H1437" t="str">
            <v>19910411</v>
          </cell>
          <cell r="I1437">
            <v>9369559</v>
          </cell>
        </row>
        <row r="1438">
          <cell r="A1438" t="str">
            <v>9250828</v>
          </cell>
          <cell r="B1438" t="str">
            <v>김　숙　희</v>
          </cell>
          <cell r="C1438" t="str">
            <v>9250828김　숙　희</v>
          </cell>
          <cell r="D1438" t="str">
            <v>CH30</v>
          </cell>
          <cell r="E1438" t="str">
            <v>객실2(KALl)</v>
          </cell>
          <cell r="F1438" t="str">
            <v>2420</v>
          </cell>
          <cell r="G1438" t="str">
            <v>2420</v>
          </cell>
          <cell r="H1438" t="str">
            <v>19920416</v>
          </cell>
          <cell r="I1438">
            <v>7378889</v>
          </cell>
        </row>
        <row r="1439">
          <cell r="A1439" t="str">
            <v>8550066</v>
          </cell>
          <cell r="B1439" t="str">
            <v>김　순　연</v>
          </cell>
          <cell r="C1439" t="str">
            <v>8550066김　순　연</v>
          </cell>
          <cell r="D1439" t="str">
            <v>CH30</v>
          </cell>
          <cell r="E1439" t="str">
            <v>객실2(KALl)</v>
          </cell>
          <cell r="F1439" t="str">
            <v>2420</v>
          </cell>
          <cell r="G1439" t="str">
            <v>2420</v>
          </cell>
          <cell r="H1439" t="str">
            <v>19850110</v>
          </cell>
          <cell r="I1439">
            <v>19331300</v>
          </cell>
        </row>
        <row r="1440">
          <cell r="A1440" t="str">
            <v>8651373</v>
          </cell>
          <cell r="B1440" t="str">
            <v>김　순　임</v>
          </cell>
          <cell r="C1440" t="str">
            <v>8651373김　순　임</v>
          </cell>
          <cell r="D1440" t="str">
            <v>CH30</v>
          </cell>
          <cell r="E1440" t="str">
            <v>객실2(KALl)</v>
          </cell>
          <cell r="F1440" t="str">
            <v>2420</v>
          </cell>
          <cell r="G1440" t="str">
            <v>2420</v>
          </cell>
          <cell r="H1440" t="str">
            <v>19860908</v>
          </cell>
          <cell r="I1440">
            <v>15558577</v>
          </cell>
        </row>
        <row r="1441">
          <cell r="A1441" t="str">
            <v>9450450</v>
          </cell>
          <cell r="B1441" t="str">
            <v>김　양　순</v>
          </cell>
          <cell r="C1441" t="str">
            <v>9450450김　양　순</v>
          </cell>
          <cell r="D1441" t="str">
            <v>CH30</v>
          </cell>
          <cell r="E1441" t="str">
            <v>객실2(KALl)</v>
          </cell>
          <cell r="F1441" t="str">
            <v>2420</v>
          </cell>
          <cell r="G1441" t="str">
            <v>2420</v>
          </cell>
          <cell r="H1441" t="str">
            <v>19940314</v>
          </cell>
          <cell r="I1441">
            <v>5347031</v>
          </cell>
        </row>
        <row r="1442">
          <cell r="A1442" t="str">
            <v>9451326</v>
          </cell>
          <cell r="B1442" t="str">
            <v>김　연　숙</v>
          </cell>
          <cell r="C1442" t="str">
            <v>9451326김　연　숙</v>
          </cell>
          <cell r="D1442" t="str">
            <v>CH30</v>
          </cell>
          <cell r="E1442" t="str">
            <v>객실2(KALl)</v>
          </cell>
          <cell r="F1442" t="str">
            <v>2420</v>
          </cell>
          <cell r="G1442" t="str">
            <v>2420</v>
          </cell>
          <cell r="H1442" t="str">
            <v>19940701</v>
          </cell>
          <cell r="I1442">
            <v>5070696</v>
          </cell>
        </row>
        <row r="1443">
          <cell r="A1443" t="str">
            <v>9100776</v>
          </cell>
          <cell r="B1443" t="str">
            <v>김　연　호</v>
          </cell>
          <cell r="C1443" t="str">
            <v>9100776김　연　호</v>
          </cell>
          <cell r="D1443" t="str">
            <v>CH30</v>
          </cell>
          <cell r="E1443" t="str">
            <v>객실2(KALl)</v>
          </cell>
          <cell r="F1443" t="str">
            <v>2420</v>
          </cell>
          <cell r="G1443" t="str">
            <v>2432</v>
          </cell>
          <cell r="H1443" t="str">
            <v>19910306</v>
          </cell>
          <cell r="I1443">
            <v>11729896</v>
          </cell>
        </row>
        <row r="1444">
          <cell r="A1444" t="str">
            <v>8650563</v>
          </cell>
          <cell r="B1444" t="str">
            <v>김　옥　규</v>
          </cell>
          <cell r="C1444" t="str">
            <v>8650563김　옥　규</v>
          </cell>
          <cell r="D1444" t="str">
            <v>CH30</v>
          </cell>
          <cell r="E1444" t="str">
            <v>객실2(KALl)</v>
          </cell>
          <cell r="F1444" t="str">
            <v>2420</v>
          </cell>
          <cell r="G1444" t="str">
            <v>2420</v>
          </cell>
          <cell r="H1444" t="str">
            <v>19860616</v>
          </cell>
          <cell r="I1444">
            <v>15905654</v>
          </cell>
        </row>
        <row r="1445">
          <cell r="A1445" t="str">
            <v>9250841</v>
          </cell>
          <cell r="B1445" t="str">
            <v>김　옥　순</v>
          </cell>
          <cell r="C1445" t="str">
            <v>9250841김　옥　순</v>
          </cell>
          <cell r="D1445" t="str">
            <v>CH30</v>
          </cell>
          <cell r="E1445" t="str">
            <v>객실2(KALl)</v>
          </cell>
          <cell r="F1445" t="str">
            <v>2420</v>
          </cell>
          <cell r="G1445" t="str">
            <v>2420</v>
          </cell>
          <cell r="H1445" t="str">
            <v>19920416</v>
          </cell>
          <cell r="I1445">
            <v>8141636</v>
          </cell>
        </row>
        <row r="1446">
          <cell r="A1446" t="str">
            <v>8450471</v>
          </cell>
          <cell r="B1446" t="str">
            <v>김　옥　자</v>
          </cell>
          <cell r="C1446" t="str">
            <v>8450471김　옥　자</v>
          </cell>
          <cell r="D1446" t="str">
            <v>CH30</v>
          </cell>
          <cell r="E1446" t="str">
            <v>객실2(KALl)</v>
          </cell>
          <cell r="F1446" t="str">
            <v>2420</v>
          </cell>
          <cell r="G1446" t="str">
            <v>2420</v>
          </cell>
          <cell r="H1446" t="str">
            <v>19840510</v>
          </cell>
          <cell r="I1446">
            <v>18756805</v>
          </cell>
          <cell r="J1446" t="str">
            <v>9 월</v>
          </cell>
          <cell r="K1446">
            <v>22975517</v>
          </cell>
        </row>
        <row r="1447">
          <cell r="A1447" t="str">
            <v>8450651</v>
          </cell>
          <cell r="B1447" t="str">
            <v>김　은　희</v>
          </cell>
          <cell r="C1447" t="str">
            <v>8450651김　은　희</v>
          </cell>
          <cell r="D1447" t="str">
            <v>CH30</v>
          </cell>
          <cell r="E1447" t="str">
            <v>객실2(KALl)</v>
          </cell>
          <cell r="F1447" t="str">
            <v>2420</v>
          </cell>
          <cell r="G1447" t="str">
            <v>2420</v>
          </cell>
          <cell r="H1447" t="str">
            <v>19840801</v>
          </cell>
          <cell r="I1447">
            <v>20093847</v>
          </cell>
        </row>
        <row r="1448">
          <cell r="A1448" t="str">
            <v>9700830</v>
          </cell>
          <cell r="B1448" t="str">
            <v>김　재　성</v>
          </cell>
          <cell r="C1448" t="str">
            <v>9700830김　재　성</v>
          </cell>
          <cell r="D1448" t="str">
            <v>CH30</v>
          </cell>
          <cell r="E1448" t="str">
            <v>객실2(KALl)</v>
          </cell>
          <cell r="F1448" t="str">
            <v>2420</v>
          </cell>
          <cell r="G1448" t="str">
            <v>2432</v>
          </cell>
          <cell r="H1448" t="str">
            <v>19970421</v>
          </cell>
          <cell r="I1448">
            <v>3086102</v>
          </cell>
        </row>
        <row r="1449">
          <cell r="A1449" t="str">
            <v>9351900</v>
          </cell>
          <cell r="B1449" t="str">
            <v>김　정　섭</v>
          </cell>
          <cell r="C1449" t="str">
            <v>9351900김　정　섭</v>
          </cell>
          <cell r="D1449" t="str">
            <v>CH30</v>
          </cell>
          <cell r="E1449" t="str">
            <v>객실2(KALl)</v>
          </cell>
          <cell r="F1449" t="str">
            <v>2420</v>
          </cell>
          <cell r="G1449" t="str">
            <v>2420</v>
          </cell>
          <cell r="H1449" t="str">
            <v>19931018</v>
          </cell>
          <cell r="I1449">
            <v>6371226</v>
          </cell>
        </row>
        <row r="1450">
          <cell r="A1450" t="str">
            <v>8850205</v>
          </cell>
          <cell r="B1450" t="str">
            <v>김　정　수</v>
          </cell>
          <cell r="C1450" t="str">
            <v>8850205김　정　수</v>
          </cell>
          <cell r="D1450" t="str">
            <v>CH30</v>
          </cell>
          <cell r="E1450" t="str">
            <v>객실2(KALl)</v>
          </cell>
          <cell r="F1450" t="str">
            <v>2420</v>
          </cell>
          <cell r="G1450" t="str">
            <v>2420</v>
          </cell>
          <cell r="H1450" t="str">
            <v>19880901</v>
          </cell>
          <cell r="I1450">
            <v>12346718</v>
          </cell>
        </row>
        <row r="1451">
          <cell r="A1451" t="str">
            <v>9650237</v>
          </cell>
          <cell r="B1451" t="str">
            <v>김　정　애</v>
          </cell>
          <cell r="C1451" t="str">
            <v>9650237김　정　애</v>
          </cell>
          <cell r="D1451" t="str">
            <v>CH30</v>
          </cell>
          <cell r="E1451" t="str">
            <v>객실2(KALl)</v>
          </cell>
          <cell r="F1451" t="str">
            <v>2420</v>
          </cell>
          <cell r="G1451" t="str">
            <v>2420</v>
          </cell>
          <cell r="H1451" t="str">
            <v>19960501</v>
          </cell>
          <cell r="I1451">
            <v>3225769</v>
          </cell>
        </row>
        <row r="1452">
          <cell r="A1452" t="str">
            <v>8450436</v>
          </cell>
          <cell r="B1452" t="str">
            <v>김　태　임</v>
          </cell>
          <cell r="C1452" t="str">
            <v>8450436김　태　임</v>
          </cell>
          <cell r="D1452" t="str">
            <v>CH30</v>
          </cell>
          <cell r="E1452" t="str">
            <v>객실2(KALl)</v>
          </cell>
          <cell r="F1452" t="str">
            <v>2420</v>
          </cell>
          <cell r="G1452" t="str">
            <v>2420</v>
          </cell>
          <cell r="H1452" t="str">
            <v>19840510</v>
          </cell>
          <cell r="I1452">
            <v>20723695</v>
          </cell>
        </row>
        <row r="1453">
          <cell r="A1453" t="str">
            <v>8550540</v>
          </cell>
          <cell r="B1453" t="str">
            <v>김　행　달</v>
          </cell>
          <cell r="C1453" t="str">
            <v>8550540김　행　달</v>
          </cell>
          <cell r="D1453" t="str">
            <v>CH30</v>
          </cell>
          <cell r="E1453" t="str">
            <v>객실2(KALl)</v>
          </cell>
          <cell r="F1453" t="str">
            <v>2420</v>
          </cell>
          <cell r="G1453" t="str">
            <v>2420</v>
          </cell>
          <cell r="H1453" t="str">
            <v>19850501</v>
          </cell>
          <cell r="I1453">
            <v>15975014</v>
          </cell>
        </row>
        <row r="1454">
          <cell r="A1454" t="str">
            <v>9152460</v>
          </cell>
          <cell r="B1454" t="str">
            <v>김　화　분</v>
          </cell>
          <cell r="C1454" t="str">
            <v>9152460김　화　분</v>
          </cell>
          <cell r="D1454" t="str">
            <v>CH30</v>
          </cell>
          <cell r="E1454" t="str">
            <v>객실2(KALl)</v>
          </cell>
          <cell r="F1454" t="str">
            <v>2420</v>
          </cell>
          <cell r="G1454" t="str">
            <v>2420</v>
          </cell>
          <cell r="H1454" t="str">
            <v>19911101</v>
          </cell>
          <cell r="I1454">
            <v>8638063</v>
          </cell>
        </row>
        <row r="1455">
          <cell r="A1455" t="str">
            <v>8903283</v>
          </cell>
          <cell r="B1455" t="str">
            <v>김　희　식</v>
          </cell>
          <cell r="C1455" t="str">
            <v>8903283김　희　식</v>
          </cell>
          <cell r="D1455" t="str">
            <v>CH30</v>
          </cell>
          <cell r="E1455" t="str">
            <v>객실2(KALl)</v>
          </cell>
          <cell r="F1455" t="str">
            <v>2420</v>
          </cell>
          <cell r="G1455" t="str">
            <v>2420</v>
          </cell>
          <cell r="H1455" t="str">
            <v>19890412</v>
          </cell>
          <cell r="I1455">
            <v>13696507</v>
          </cell>
        </row>
        <row r="1456">
          <cell r="A1456" t="str">
            <v>8650585</v>
          </cell>
          <cell r="B1456" t="str">
            <v>박　광　자</v>
          </cell>
          <cell r="C1456" t="str">
            <v>8650585박　광　자</v>
          </cell>
          <cell r="D1456" t="str">
            <v>CH30</v>
          </cell>
          <cell r="E1456" t="str">
            <v>객실2(KALl)</v>
          </cell>
          <cell r="F1456" t="str">
            <v>2420</v>
          </cell>
          <cell r="G1456" t="str">
            <v>2420</v>
          </cell>
          <cell r="H1456" t="str">
            <v>19860616</v>
          </cell>
          <cell r="I1456">
            <v>16098565</v>
          </cell>
        </row>
        <row r="1457">
          <cell r="A1457" t="str">
            <v>9152324</v>
          </cell>
          <cell r="B1457" t="str">
            <v>박　문　희</v>
          </cell>
          <cell r="C1457" t="str">
            <v>9152324박　문　희</v>
          </cell>
          <cell r="D1457" t="str">
            <v>CH30</v>
          </cell>
          <cell r="E1457" t="str">
            <v>객실2(KALl)</v>
          </cell>
          <cell r="F1457" t="str">
            <v>2420</v>
          </cell>
          <cell r="G1457" t="e">
            <v>#N/A</v>
          </cell>
          <cell r="H1457" t="str">
            <v>19911001</v>
          </cell>
          <cell r="I1457">
            <v>7943919</v>
          </cell>
          <cell r="J1457" t="str">
            <v>5 월</v>
          </cell>
          <cell r="K1457">
            <v>8304950</v>
          </cell>
        </row>
        <row r="1458">
          <cell r="A1458" t="str">
            <v>8150624</v>
          </cell>
          <cell r="B1458" t="str">
            <v>박　상　무</v>
          </cell>
          <cell r="C1458" t="str">
            <v>8150624박　상　무</v>
          </cell>
          <cell r="D1458" t="str">
            <v>CH30</v>
          </cell>
          <cell r="E1458" t="str">
            <v>객실2(KALl)</v>
          </cell>
          <cell r="F1458" t="str">
            <v>2420</v>
          </cell>
          <cell r="G1458" t="e">
            <v>#N/A</v>
          </cell>
          <cell r="H1458" t="str">
            <v>19811101</v>
          </cell>
          <cell r="I1458">
            <v>22505021</v>
          </cell>
          <cell r="J1458" t="str">
            <v>9 월</v>
          </cell>
          <cell r="K1458">
            <v>31414342</v>
          </cell>
        </row>
        <row r="1459">
          <cell r="A1459" t="str">
            <v>8603594</v>
          </cell>
          <cell r="B1459" t="str">
            <v>박　상　호</v>
          </cell>
          <cell r="C1459" t="str">
            <v>8603594박　상　호</v>
          </cell>
          <cell r="D1459" t="str">
            <v>CH30</v>
          </cell>
          <cell r="E1459" t="str">
            <v>객실2(KALl)</v>
          </cell>
          <cell r="F1459" t="str">
            <v>2420</v>
          </cell>
          <cell r="G1459" t="str">
            <v>2432</v>
          </cell>
          <cell r="H1459" t="str">
            <v>19860901</v>
          </cell>
          <cell r="I1459">
            <v>24937887</v>
          </cell>
        </row>
        <row r="1460">
          <cell r="A1460" t="str">
            <v>8850240</v>
          </cell>
          <cell r="B1460" t="str">
            <v>박　성　희</v>
          </cell>
          <cell r="C1460" t="str">
            <v>8850240박　성　희</v>
          </cell>
          <cell r="D1460" t="str">
            <v>CH30</v>
          </cell>
          <cell r="E1460" t="str">
            <v>객실2(KALl)</v>
          </cell>
          <cell r="F1460" t="str">
            <v>2420</v>
          </cell>
          <cell r="G1460" t="str">
            <v>2420</v>
          </cell>
          <cell r="H1460" t="str">
            <v>19881101</v>
          </cell>
          <cell r="I1460">
            <v>12562440</v>
          </cell>
        </row>
        <row r="1461">
          <cell r="A1461" t="str">
            <v>8450447</v>
          </cell>
          <cell r="B1461" t="str">
            <v>박　수　자</v>
          </cell>
          <cell r="C1461" t="str">
            <v>8450447박　수　자</v>
          </cell>
          <cell r="D1461" t="str">
            <v>CH30</v>
          </cell>
          <cell r="E1461" t="str">
            <v>객실2(KALl)</v>
          </cell>
          <cell r="F1461" t="str">
            <v>2420</v>
          </cell>
          <cell r="G1461" t="e">
            <v>#N/A</v>
          </cell>
          <cell r="H1461" t="str">
            <v>19840510</v>
          </cell>
          <cell r="I1461">
            <v>19700868</v>
          </cell>
          <cell r="J1461" t="str">
            <v>9 월</v>
          </cell>
          <cell r="K1461">
            <v>35724031</v>
          </cell>
        </row>
        <row r="1462">
          <cell r="A1462" t="str">
            <v>9451451</v>
          </cell>
          <cell r="B1462" t="str">
            <v>박　순　덕</v>
          </cell>
          <cell r="C1462" t="str">
            <v>9451451박　순　덕</v>
          </cell>
          <cell r="D1462" t="str">
            <v>CH30</v>
          </cell>
          <cell r="E1462" t="str">
            <v>객실2(KALl)</v>
          </cell>
          <cell r="F1462" t="str">
            <v>2420</v>
          </cell>
          <cell r="G1462" t="str">
            <v>2420</v>
          </cell>
          <cell r="H1462" t="str">
            <v>19940701</v>
          </cell>
          <cell r="I1462">
            <v>5037165</v>
          </cell>
        </row>
        <row r="1463">
          <cell r="A1463" t="str">
            <v>9152853</v>
          </cell>
          <cell r="B1463" t="str">
            <v>박　숭　자</v>
          </cell>
          <cell r="C1463" t="str">
            <v>9152853박　숭　자</v>
          </cell>
          <cell r="D1463" t="str">
            <v>CH30</v>
          </cell>
          <cell r="E1463" t="str">
            <v>객실2(KALl)</v>
          </cell>
          <cell r="F1463" t="str">
            <v>2420</v>
          </cell>
          <cell r="G1463" t="str">
            <v>2420</v>
          </cell>
          <cell r="H1463" t="str">
            <v>19911116</v>
          </cell>
          <cell r="I1463">
            <v>7791111</v>
          </cell>
        </row>
        <row r="1464">
          <cell r="A1464" t="str">
            <v>8450605</v>
          </cell>
          <cell r="B1464" t="str">
            <v>박　연　교</v>
          </cell>
          <cell r="C1464" t="str">
            <v>8450605박　연　교</v>
          </cell>
          <cell r="D1464" t="str">
            <v>CH30</v>
          </cell>
          <cell r="E1464" t="str">
            <v>객실2(KALl)</v>
          </cell>
          <cell r="F1464" t="str">
            <v>2420</v>
          </cell>
          <cell r="G1464" t="e">
            <v>#N/A</v>
          </cell>
          <cell r="H1464" t="str">
            <v>19840801</v>
          </cell>
          <cell r="I1464">
            <v>20573936</v>
          </cell>
          <cell r="J1464" t="str">
            <v>10 월</v>
          </cell>
          <cell r="K1464">
            <v>37442073</v>
          </cell>
        </row>
        <row r="1465">
          <cell r="A1465" t="str">
            <v>9650158</v>
          </cell>
          <cell r="B1465" t="str">
            <v>박　연　신</v>
          </cell>
          <cell r="C1465" t="str">
            <v>9650158박　연　신</v>
          </cell>
          <cell r="D1465" t="str">
            <v>CH30</v>
          </cell>
          <cell r="E1465" t="str">
            <v>객실2(KALl)</v>
          </cell>
          <cell r="F1465" t="str">
            <v>2420</v>
          </cell>
          <cell r="G1465" t="e">
            <v>#N/A</v>
          </cell>
          <cell r="H1465" t="str">
            <v>19960501</v>
          </cell>
          <cell r="I1465">
            <v>3194355</v>
          </cell>
          <cell r="J1465" t="str">
            <v>1 월</v>
          </cell>
          <cell r="K1465">
            <v>3148033</v>
          </cell>
        </row>
        <row r="1466">
          <cell r="A1466" t="str">
            <v>7950058</v>
          </cell>
          <cell r="B1466" t="str">
            <v>박　영　순</v>
          </cell>
          <cell r="C1466" t="str">
            <v>7950058박　영　순</v>
          </cell>
          <cell r="D1466" t="str">
            <v>CH30</v>
          </cell>
          <cell r="E1466" t="str">
            <v>객실2(KALl)</v>
          </cell>
          <cell r="F1466" t="str">
            <v>2420</v>
          </cell>
          <cell r="G1466" t="str">
            <v>2420</v>
          </cell>
          <cell r="H1466" t="str">
            <v>19791022</v>
          </cell>
          <cell r="I1466">
            <v>27274348</v>
          </cell>
        </row>
        <row r="1467">
          <cell r="A1467" t="str">
            <v>9251190</v>
          </cell>
          <cell r="B1467" t="str">
            <v>박　영　애</v>
          </cell>
          <cell r="C1467" t="str">
            <v>9251190박　영　애</v>
          </cell>
          <cell r="D1467" t="str">
            <v>CH30</v>
          </cell>
          <cell r="E1467" t="str">
            <v>객실2(KALl)</v>
          </cell>
          <cell r="F1467" t="str">
            <v>2420</v>
          </cell>
          <cell r="G1467" t="str">
            <v>2420</v>
          </cell>
          <cell r="H1467" t="str">
            <v>19920516</v>
          </cell>
          <cell r="I1467">
            <v>8037921</v>
          </cell>
        </row>
        <row r="1468">
          <cell r="A1468" t="str">
            <v>9250132</v>
          </cell>
          <cell r="B1468" t="str">
            <v>박　임　서</v>
          </cell>
          <cell r="C1468" t="str">
            <v>9250132박　임　서</v>
          </cell>
          <cell r="D1468" t="str">
            <v>CH30</v>
          </cell>
          <cell r="E1468" t="str">
            <v>객실2(KALl)</v>
          </cell>
          <cell r="F1468" t="str">
            <v>2420</v>
          </cell>
          <cell r="G1468" t="str">
            <v>2420</v>
          </cell>
          <cell r="H1468" t="str">
            <v>19920210</v>
          </cell>
          <cell r="I1468">
            <v>8282947</v>
          </cell>
        </row>
        <row r="1469">
          <cell r="A1469" t="str">
            <v>7900503</v>
          </cell>
          <cell r="B1469" t="str">
            <v>박　종　민</v>
          </cell>
          <cell r="C1469" t="str">
            <v>7900503박　종　민</v>
          </cell>
          <cell r="D1469" t="str">
            <v>CH30</v>
          </cell>
          <cell r="E1469" t="str">
            <v>객실2(KALl)</v>
          </cell>
          <cell r="F1469" t="str">
            <v>2420</v>
          </cell>
          <cell r="G1469" t="e">
            <v>#N/A</v>
          </cell>
          <cell r="H1469" t="str">
            <v>19790613</v>
          </cell>
          <cell r="I1469">
            <v>37326536</v>
          </cell>
          <cell r="J1469" t="str">
            <v>5 월</v>
          </cell>
          <cell r="K1469">
            <v>38395725</v>
          </cell>
        </row>
        <row r="1470">
          <cell r="A1470" t="str">
            <v>7900503</v>
          </cell>
          <cell r="B1470" t="str">
            <v>박　종　민</v>
          </cell>
          <cell r="C1470" t="str">
            <v>7900503박　종　민</v>
          </cell>
          <cell r="D1470" t="str">
            <v>CH30</v>
          </cell>
          <cell r="E1470" t="str">
            <v>객실2(KALl)</v>
          </cell>
          <cell r="F1470" t="str">
            <v>2420</v>
          </cell>
          <cell r="G1470" t="e">
            <v>#N/A</v>
          </cell>
          <cell r="H1470" t="str">
            <v>19790613</v>
          </cell>
          <cell r="J1470" t="str">
            <v>7 월</v>
          </cell>
          <cell r="K1470">
            <v>1304139</v>
          </cell>
        </row>
        <row r="1471">
          <cell r="A1471" t="str">
            <v>7800210</v>
          </cell>
          <cell r="B1471" t="str">
            <v>박　천　식</v>
          </cell>
          <cell r="C1471" t="str">
            <v>7800210박　천　식</v>
          </cell>
          <cell r="D1471" t="str">
            <v>CH30</v>
          </cell>
          <cell r="E1471" t="str">
            <v>객실2(KALl)</v>
          </cell>
          <cell r="F1471" t="str">
            <v>2420</v>
          </cell>
          <cell r="G1471" t="str">
            <v>2420</v>
          </cell>
          <cell r="H1471" t="str">
            <v>19981211</v>
          </cell>
          <cell r="I1471">
            <v>1815610</v>
          </cell>
        </row>
        <row r="1472">
          <cell r="A1472" t="str">
            <v>8551146</v>
          </cell>
          <cell r="B1472" t="str">
            <v>방　종　남</v>
          </cell>
          <cell r="C1472" t="str">
            <v>8551146방　종　남</v>
          </cell>
          <cell r="D1472" t="str">
            <v>CH30</v>
          </cell>
          <cell r="E1472" t="str">
            <v>객실2(KALl)</v>
          </cell>
          <cell r="F1472" t="str">
            <v>2420</v>
          </cell>
          <cell r="G1472" t="str">
            <v>2420</v>
          </cell>
          <cell r="H1472" t="str">
            <v>19851101</v>
          </cell>
          <cell r="I1472">
            <v>18374615</v>
          </cell>
        </row>
        <row r="1473">
          <cell r="A1473" t="str">
            <v>8550055</v>
          </cell>
          <cell r="B1473" t="str">
            <v>배　경　순</v>
          </cell>
          <cell r="C1473" t="str">
            <v>8550055배　경　순</v>
          </cell>
          <cell r="D1473" t="str">
            <v>CH30</v>
          </cell>
          <cell r="E1473" t="str">
            <v>객실2(KALl)</v>
          </cell>
          <cell r="F1473" t="str">
            <v>2420</v>
          </cell>
          <cell r="G1473" t="str">
            <v>2420</v>
          </cell>
          <cell r="H1473" t="str">
            <v>19850110</v>
          </cell>
          <cell r="I1473">
            <v>19185395</v>
          </cell>
        </row>
        <row r="1474">
          <cell r="A1474" t="str">
            <v>9251087</v>
          </cell>
          <cell r="B1474" t="str">
            <v>백　락　순</v>
          </cell>
          <cell r="C1474" t="str">
            <v>9251087백　락　순</v>
          </cell>
          <cell r="D1474" t="str">
            <v>CH30</v>
          </cell>
          <cell r="E1474" t="str">
            <v>객실2(KALl)</v>
          </cell>
          <cell r="F1474" t="str">
            <v>2420</v>
          </cell>
          <cell r="G1474" t="str">
            <v>2420</v>
          </cell>
          <cell r="H1474" t="str">
            <v>19920501</v>
          </cell>
          <cell r="I1474">
            <v>7324078</v>
          </cell>
        </row>
        <row r="1475">
          <cell r="A1475" t="str">
            <v>9250920</v>
          </cell>
          <cell r="B1475" t="str">
            <v>백　수　옥</v>
          </cell>
          <cell r="C1475" t="str">
            <v>9250920백　수　옥</v>
          </cell>
          <cell r="D1475" t="str">
            <v>CH30</v>
          </cell>
          <cell r="E1475" t="str">
            <v>객실2(KALl)</v>
          </cell>
          <cell r="F1475" t="str">
            <v>2420</v>
          </cell>
          <cell r="G1475" t="str">
            <v>2420</v>
          </cell>
          <cell r="H1475" t="str">
            <v>19920416</v>
          </cell>
          <cell r="I1475">
            <v>8048139</v>
          </cell>
        </row>
        <row r="1476">
          <cell r="A1476" t="str">
            <v>9650193</v>
          </cell>
          <cell r="B1476" t="str">
            <v>백　이　순</v>
          </cell>
          <cell r="C1476" t="str">
            <v>9650193백　이　순</v>
          </cell>
          <cell r="D1476" t="str">
            <v>CH30</v>
          </cell>
          <cell r="E1476" t="str">
            <v>객실2(KALl)</v>
          </cell>
          <cell r="F1476" t="str">
            <v>2420</v>
          </cell>
          <cell r="G1476" t="str">
            <v>2420</v>
          </cell>
          <cell r="H1476" t="str">
            <v>19960501</v>
          </cell>
          <cell r="I1476">
            <v>3185375</v>
          </cell>
        </row>
        <row r="1477">
          <cell r="A1477" t="str">
            <v>9450224</v>
          </cell>
          <cell r="B1477" t="str">
            <v>변　명　순</v>
          </cell>
          <cell r="C1477" t="str">
            <v>9450224변　명　순</v>
          </cell>
          <cell r="D1477" t="str">
            <v>CH30</v>
          </cell>
          <cell r="E1477" t="str">
            <v>객실2(KALl)</v>
          </cell>
          <cell r="F1477" t="str">
            <v>2420</v>
          </cell>
          <cell r="G1477" t="str">
            <v>2420</v>
          </cell>
          <cell r="H1477" t="str">
            <v>19940120</v>
          </cell>
          <cell r="I1477">
            <v>5494271</v>
          </cell>
        </row>
        <row r="1478">
          <cell r="A1478" t="str">
            <v>8450627</v>
          </cell>
          <cell r="B1478" t="str">
            <v>석　순　자</v>
          </cell>
          <cell r="C1478" t="str">
            <v>8450627석　순　자</v>
          </cell>
          <cell r="D1478" t="str">
            <v>CH30</v>
          </cell>
          <cell r="E1478" t="str">
            <v>객실2(KALl)</v>
          </cell>
          <cell r="F1478" t="str">
            <v>2420</v>
          </cell>
          <cell r="G1478" t="str">
            <v>2420</v>
          </cell>
          <cell r="H1478" t="str">
            <v>19840801</v>
          </cell>
          <cell r="I1478">
            <v>22182441</v>
          </cell>
        </row>
        <row r="1479">
          <cell r="A1479" t="str">
            <v>8650710</v>
          </cell>
          <cell r="B1479" t="str">
            <v>송　금　순</v>
          </cell>
          <cell r="C1479" t="str">
            <v>8650710송　금　순</v>
          </cell>
          <cell r="D1479" t="str">
            <v>CH30</v>
          </cell>
          <cell r="E1479" t="str">
            <v>객실2(KALl)</v>
          </cell>
          <cell r="F1479" t="str">
            <v>2420</v>
          </cell>
          <cell r="G1479" t="str">
            <v>2420</v>
          </cell>
          <cell r="H1479" t="str">
            <v>19860707</v>
          </cell>
          <cell r="I1479">
            <v>14499345</v>
          </cell>
        </row>
        <row r="1480">
          <cell r="A1480" t="str">
            <v>9151323</v>
          </cell>
          <cell r="B1480" t="str">
            <v>송　복　림</v>
          </cell>
          <cell r="C1480" t="str">
            <v>9151323송　복　림</v>
          </cell>
          <cell r="D1480" t="str">
            <v>CH30</v>
          </cell>
          <cell r="E1480" t="str">
            <v>객실2(KALl)</v>
          </cell>
          <cell r="F1480" t="str">
            <v>2420</v>
          </cell>
          <cell r="G1480" t="str">
            <v>2420</v>
          </cell>
          <cell r="H1480" t="str">
            <v>19910710</v>
          </cell>
          <cell r="I1480">
            <v>9109046</v>
          </cell>
        </row>
        <row r="1481">
          <cell r="A1481" t="str">
            <v>8550944</v>
          </cell>
          <cell r="B1481" t="str">
            <v>송　점　례</v>
          </cell>
          <cell r="C1481" t="str">
            <v>8550944송　점　례</v>
          </cell>
          <cell r="D1481" t="str">
            <v>CH30</v>
          </cell>
          <cell r="E1481" t="str">
            <v>객실2(KALl)</v>
          </cell>
          <cell r="F1481" t="str">
            <v>2420</v>
          </cell>
          <cell r="G1481" t="str">
            <v>2420</v>
          </cell>
          <cell r="H1481" t="str">
            <v>19851101</v>
          </cell>
          <cell r="I1481">
            <v>17787969</v>
          </cell>
        </row>
        <row r="1482">
          <cell r="A1482" t="str">
            <v>8450188</v>
          </cell>
          <cell r="B1482" t="str">
            <v>안　복　녀</v>
          </cell>
          <cell r="C1482" t="str">
            <v>8450188안　복　녀</v>
          </cell>
          <cell r="D1482" t="str">
            <v>CH30</v>
          </cell>
          <cell r="E1482" t="str">
            <v>객실2(KALl)</v>
          </cell>
          <cell r="F1482" t="str">
            <v>2420</v>
          </cell>
          <cell r="G1482" t="str">
            <v>2420</v>
          </cell>
          <cell r="H1482" t="str">
            <v>19840401</v>
          </cell>
          <cell r="I1482">
            <v>19120846</v>
          </cell>
        </row>
        <row r="1483">
          <cell r="A1483" t="str">
            <v>8650135</v>
          </cell>
          <cell r="B1483" t="str">
            <v>안　수　영</v>
          </cell>
          <cell r="C1483" t="str">
            <v>8650135안　수　영</v>
          </cell>
          <cell r="D1483" t="str">
            <v>CH30</v>
          </cell>
          <cell r="E1483" t="str">
            <v>객실2(KALl)</v>
          </cell>
          <cell r="F1483" t="str">
            <v>2420</v>
          </cell>
          <cell r="G1483" t="str">
            <v>2420</v>
          </cell>
          <cell r="H1483" t="str">
            <v>19860501</v>
          </cell>
          <cell r="I1483">
            <v>16191253</v>
          </cell>
        </row>
        <row r="1484">
          <cell r="A1484" t="str">
            <v>9152796</v>
          </cell>
          <cell r="B1484" t="str">
            <v>안　필　연</v>
          </cell>
          <cell r="C1484" t="str">
            <v>9152796안　필　연</v>
          </cell>
          <cell r="D1484" t="str">
            <v>CH30</v>
          </cell>
          <cell r="E1484" t="str">
            <v>객실2(KALl)</v>
          </cell>
          <cell r="F1484" t="str">
            <v>2420</v>
          </cell>
          <cell r="G1484" t="str">
            <v>2420</v>
          </cell>
          <cell r="H1484" t="str">
            <v>19911116</v>
          </cell>
          <cell r="I1484">
            <v>7933283</v>
          </cell>
        </row>
        <row r="1485">
          <cell r="A1485" t="str">
            <v>8550707</v>
          </cell>
          <cell r="B1485" t="str">
            <v>양　복　순</v>
          </cell>
          <cell r="C1485" t="str">
            <v>8550707양　복　순</v>
          </cell>
          <cell r="D1485" t="str">
            <v>CH30</v>
          </cell>
          <cell r="E1485" t="str">
            <v>객실2(KALl)</v>
          </cell>
          <cell r="F1485" t="str">
            <v>2420</v>
          </cell>
          <cell r="G1485" t="str">
            <v>2420</v>
          </cell>
          <cell r="H1485" t="str">
            <v>19850701</v>
          </cell>
          <cell r="I1485">
            <v>17444139</v>
          </cell>
        </row>
        <row r="1486">
          <cell r="A1486" t="str">
            <v>8450032</v>
          </cell>
          <cell r="B1486" t="str">
            <v>엄　경　희</v>
          </cell>
          <cell r="C1486" t="str">
            <v>8450032엄　경　희</v>
          </cell>
          <cell r="D1486" t="str">
            <v>CH30</v>
          </cell>
          <cell r="E1486" t="str">
            <v>객실2(KALl)</v>
          </cell>
          <cell r="F1486" t="str">
            <v>2420</v>
          </cell>
          <cell r="G1486" t="str">
            <v>2420</v>
          </cell>
          <cell r="H1486" t="str">
            <v>19840201</v>
          </cell>
          <cell r="I1486">
            <v>20544339</v>
          </cell>
        </row>
        <row r="1487">
          <cell r="A1487" t="str">
            <v>9450551</v>
          </cell>
          <cell r="B1487" t="str">
            <v>엄　미　옥</v>
          </cell>
          <cell r="C1487" t="str">
            <v>9450551엄　미　옥</v>
          </cell>
          <cell r="D1487" t="str">
            <v>CH30</v>
          </cell>
          <cell r="E1487" t="str">
            <v>객실2(KALl)</v>
          </cell>
          <cell r="F1487" t="str">
            <v>2420</v>
          </cell>
          <cell r="G1487" t="str">
            <v>2420</v>
          </cell>
          <cell r="H1487" t="str">
            <v>19940401</v>
          </cell>
          <cell r="I1487">
            <v>5280159</v>
          </cell>
        </row>
        <row r="1488">
          <cell r="A1488" t="str">
            <v>9450358</v>
          </cell>
          <cell r="B1488" t="str">
            <v>오　명　숙</v>
          </cell>
          <cell r="C1488" t="str">
            <v>9450358오　명　숙</v>
          </cell>
          <cell r="D1488" t="str">
            <v>CH30</v>
          </cell>
          <cell r="E1488" t="str">
            <v>객실2(KALl)</v>
          </cell>
          <cell r="F1488" t="str">
            <v>2420</v>
          </cell>
          <cell r="G1488" t="str">
            <v>2420</v>
          </cell>
          <cell r="H1488" t="str">
            <v>19940201</v>
          </cell>
          <cell r="I1488">
            <v>5460035</v>
          </cell>
        </row>
        <row r="1489">
          <cell r="A1489" t="str">
            <v>8450594</v>
          </cell>
          <cell r="B1489" t="str">
            <v>오　세　자</v>
          </cell>
          <cell r="C1489" t="str">
            <v>8450594오　세　자</v>
          </cell>
          <cell r="D1489" t="str">
            <v>CH30</v>
          </cell>
          <cell r="E1489" t="str">
            <v>객실2(KALl)</v>
          </cell>
          <cell r="F1489" t="str">
            <v>2420</v>
          </cell>
          <cell r="G1489" t="str">
            <v>2420</v>
          </cell>
          <cell r="H1489" t="str">
            <v>19840801</v>
          </cell>
          <cell r="I1489">
            <v>19984371</v>
          </cell>
        </row>
        <row r="1490">
          <cell r="A1490" t="str">
            <v>9650294</v>
          </cell>
          <cell r="B1490" t="str">
            <v>오　현　숙</v>
          </cell>
          <cell r="C1490" t="str">
            <v>9650294오　현　숙</v>
          </cell>
          <cell r="D1490" t="str">
            <v>CH30</v>
          </cell>
          <cell r="E1490" t="str">
            <v>객실2(KALl)</v>
          </cell>
          <cell r="F1490" t="str">
            <v>2420</v>
          </cell>
          <cell r="G1490" t="str">
            <v>2420</v>
          </cell>
          <cell r="H1490" t="str">
            <v>19961201</v>
          </cell>
          <cell r="I1490">
            <v>2695530</v>
          </cell>
        </row>
        <row r="1491">
          <cell r="A1491" t="str">
            <v>9550462</v>
          </cell>
          <cell r="B1491" t="str">
            <v>원　금　숙</v>
          </cell>
          <cell r="C1491" t="str">
            <v>9550462원　금　숙</v>
          </cell>
          <cell r="D1491" t="str">
            <v>CH30</v>
          </cell>
          <cell r="E1491" t="str">
            <v>객실2(KALl)</v>
          </cell>
          <cell r="F1491" t="str">
            <v>2420</v>
          </cell>
          <cell r="G1491" t="str">
            <v>2420</v>
          </cell>
          <cell r="H1491" t="str">
            <v>19950916</v>
          </cell>
          <cell r="I1491">
            <v>3829634</v>
          </cell>
        </row>
        <row r="1492">
          <cell r="A1492" t="str">
            <v>9550822</v>
          </cell>
          <cell r="B1492" t="str">
            <v>원　순　경</v>
          </cell>
          <cell r="C1492" t="str">
            <v>9550822원　순　경</v>
          </cell>
          <cell r="D1492" t="str">
            <v>CH30</v>
          </cell>
          <cell r="E1492" t="str">
            <v>객실2(KALl)</v>
          </cell>
          <cell r="F1492" t="str">
            <v>2420</v>
          </cell>
          <cell r="G1492" t="str">
            <v>2420</v>
          </cell>
          <cell r="H1492" t="str">
            <v>19951207</v>
          </cell>
          <cell r="I1492">
            <v>3652198</v>
          </cell>
        </row>
        <row r="1493">
          <cell r="A1493" t="str">
            <v>8801065</v>
          </cell>
          <cell r="B1493" t="str">
            <v>유　연　완</v>
          </cell>
          <cell r="C1493" t="str">
            <v>8801065유　연　완</v>
          </cell>
          <cell r="D1493" t="str">
            <v>CH30</v>
          </cell>
          <cell r="E1493" t="str">
            <v>객실2(KALl)</v>
          </cell>
          <cell r="F1493" t="str">
            <v>2420</v>
          </cell>
          <cell r="G1493" t="str">
            <v>2432</v>
          </cell>
          <cell r="H1493" t="str">
            <v>19880430</v>
          </cell>
          <cell r="I1493">
            <v>16272179</v>
          </cell>
        </row>
        <row r="1494">
          <cell r="A1494" t="str">
            <v>9151828</v>
          </cell>
          <cell r="B1494" t="str">
            <v>유　영　은</v>
          </cell>
          <cell r="C1494" t="str">
            <v>9151828유　영　은</v>
          </cell>
          <cell r="D1494" t="str">
            <v>CH30</v>
          </cell>
          <cell r="E1494" t="str">
            <v>객실2(KALl)</v>
          </cell>
          <cell r="F1494" t="str">
            <v>2420</v>
          </cell>
          <cell r="G1494" t="str">
            <v>2432</v>
          </cell>
          <cell r="H1494" t="str">
            <v>19910910</v>
          </cell>
          <cell r="I1494">
            <v>7999273</v>
          </cell>
        </row>
        <row r="1495">
          <cell r="A1495" t="str">
            <v>9501107</v>
          </cell>
          <cell r="B1495" t="str">
            <v>유　창　현</v>
          </cell>
          <cell r="C1495" t="str">
            <v>9501107유　창　현</v>
          </cell>
          <cell r="D1495" t="str">
            <v>CH30</v>
          </cell>
          <cell r="E1495" t="str">
            <v>객실2(KALl)</v>
          </cell>
          <cell r="F1495" t="str">
            <v>2420</v>
          </cell>
          <cell r="G1495" t="str">
            <v>2432</v>
          </cell>
          <cell r="H1495" t="str">
            <v>19950615</v>
          </cell>
          <cell r="I1495">
            <v>5276855</v>
          </cell>
        </row>
        <row r="1496">
          <cell r="A1496" t="str">
            <v>8200372</v>
          </cell>
          <cell r="B1496" t="str">
            <v>윤　근　화</v>
          </cell>
          <cell r="C1496" t="str">
            <v>8200372윤　근　화</v>
          </cell>
          <cell r="D1496" t="str">
            <v>CH30</v>
          </cell>
          <cell r="E1496" t="str">
            <v>객실2(KALl)</v>
          </cell>
          <cell r="F1496" t="str">
            <v>2420</v>
          </cell>
          <cell r="G1496" t="str">
            <v>2420</v>
          </cell>
          <cell r="H1496" t="str">
            <v>19971001</v>
          </cell>
          <cell r="I1496">
            <v>4007807</v>
          </cell>
        </row>
        <row r="1497">
          <cell r="A1497" t="str">
            <v>8450853</v>
          </cell>
          <cell r="B1497" t="str">
            <v>윤　금　순</v>
          </cell>
          <cell r="C1497" t="str">
            <v>8450853윤　금　순</v>
          </cell>
          <cell r="D1497" t="str">
            <v>CH30</v>
          </cell>
          <cell r="E1497" t="str">
            <v>객실2(KALl)</v>
          </cell>
          <cell r="F1497" t="str">
            <v>2420</v>
          </cell>
          <cell r="G1497" t="e">
            <v>#N/A</v>
          </cell>
          <cell r="H1497" t="str">
            <v>19840901</v>
          </cell>
          <cell r="I1497">
            <v>18468449</v>
          </cell>
          <cell r="J1497" t="str">
            <v>10 월</v>
          </cell>
          <cell r="K1497">
            <v>32023787</v>
          </cell>
        </row>
        <row r="1498">
          <cell r="A1498" t="str">
            <v>8250300</v>
          </cell>
          <cell r="B1498" t="str">
            <v>윤　복　순</v>
          </cell>
          <cell r="C1498" t="str">
            <v>8250300윤　복　순</v>
          </cell>
          <cell r="D1498" t="str">
            <v>CH30</v>
          </cell>
          <cell r="E1498" t="str">
            <v>객실2(KALl)</v>
          </cell>
          <cell r="F1498" t="str">
            <v>2420</v>
          </cell>
          <cell r="G1498" t="str">
            <v>2420</v>
          </cell>
          <cell r="H1498" t="str">
            <v>19821001</v>
          </cell>
          <cell r="I1498">
            <v>20432112</v>
          </cell>
        </row>
        <row r="1499">
          <cell r="A1499" t="str">
            <v>9252167</v>
          </cell>
          <cell r="B1499" t="str">
            <v>윤　수　연</v>
          </cell>
          <cell r="C1499" t="str">
            <v>9252167윤　수　연</v>
          </cell>
          <cell r="D1499" t="str">
            <v>CH30</v>
          </cell>
          <cell r="E1499" t="str">
            <v>객실2(KALl)</v>
          </cell>
          <cell r="F1499" t="str">
            <v>2420</v>
          </cell>
          <cell r="G1499" t="str">
            <v>2420</v>
          </cell>
          <cell r="H1499" t="str">
            <v>19920907</v>
          </cell>
          <cell r="I1499">
            <v>6967804</v>
          </cell>
        </row>
        <row r="1500">
          <cell r="A1500" t="str">
            <v>8150332</v>
          </cell>
          <cell r="B1500" t="str">
            <v>윤　순　상</v>
          </cell>
          <cell r="C1500" t="str">
            <v>8150332윤　순　상</v>
          </cell>
          <cell r="D1500" t="str">
            <v>CH30</v>
          </cell>
          <cell r="E1500" t="str">
            <v>객실2(KALl)</v>
          </cell>
          <cell r="F1500" t="str">
            <v>2420</v>
          </cell>
          <cell r="G1500" t="e">
            <v>#N/A</v>
          </cell>
          <cell r="H1500" t="str">
            <v>19811101</v>
          </cell>
          <cell r="I1500">
            <v>23723289</v>
          </cell>
          <cell r="J1500" t="str">
            <v>8 월</v>
          </cell>
          <cell r="K1500">
            <v>33262929</v>
          </cell>
        </row>
        <row r="1501">
          <cell r="A1501" t="str">
            <v>8150635</v>
          </cell>
          <cell r="B1501" t="str">
            <v>윤　애　돌</v>
          </cell>
          <cell r="C1501" t="str">
            <v>8150635윤　애　돌</v>
          </cell>
          <cell r="D1501" t="str">
            <v>CH30</v>
          </cell>
          <cell r="E1501" t="str">
            <v>객실2(KALl)</v>
          </cell>
          <cell r="F1501" t="str">
            <v>2420</v>
          </cell>
          <cell r="G1501" t="str">
            <v>2420</v>
          </cell>
          <cell r="H1501" t="str">
            <v>19811101</v>
          </cell>
          <cell r="I1501">
            <v>22527803</v>
          </cell>
        </row>
        <row r="1502">
          <cell r="A1502" t="str">
            <v>9250852</v>
          </cell>
          <cell r="B1502" t="str">
            <v>윤　영　애</v>
          </cell>
          <cell r="C1502" t="str">
            <v>9250852윤　영　애</v>
          </cell>
          <cell r="D1502" t="str">
            <v>CH30</v>
          </cell>
          <cell r="E1502" t="str">
            <v>객실2(KALl)</v>
          </cell>
          <cell r="F1502" t="str">
            <v>2420</v>
          </cell>
          <cell r="G1502" t="str">
            <v>2420</v>
          </cell>
          <cell r="H1502" t="str">
            <v>19920416</v>
          </cell>
          <cell r="I1502">
            <v>7365045</v>
          </cell>
        </row>
        <row r="1503">
          <cell r="A1503" t="str">
            <v>9001326</v>
          </cell>
          <cell r="B1503" t="str">
            <v>윤　재　춘</v>
          </cell>
          <cell r="C1503" t="str">
            <v>9001326윤　재　춘</v>
          </cell>
          <cell r="D1503" t="str">
            <v>CH30</v>
          </cell>
          <cell r="E1503" t="str">
            <v>객실2(KALl)</v>
          </cell>
          <cell r="F1503" t="str">
            <v>2420</v>
          </cell>
          <cell r="G1503" t="str">
            <v>2420</v>
          </cell>
          <cell r="H1503" t="str">
            <v>19891005</v>
          </cell>
          <cell r="I1503">
            <v>16086020</v>
          </cell>
        </row>
        <row r="1504">
          <cell r="A1504" t="str">
            <v>8451167</v>
          </cell>
          <cell r="B1504" t="str">
            <v>이　금　연</v>
          </cell>
          <cell r="C1504" t="str">
            <v>8451167이　금　연</v>
          </cell>
          <cell r="D1504" t="str">
            <v>CH30</v>
          </cell>
          <cell r="E1504" t="str">
            <v>객실2(KALl)</v>
          </cell>
          <cell r="F1504" t="str">
            <v>2420</v>
          </cell>
          <cell r="G1504" t="str">
            <v>2420</v>
          </cell>
          <cell r="H1504" t="str">
            <v>19841115</v>
          </cell>
          <cell r="I1504">
            <v>19953484</v>
          </cell>
        </row>
        <row r="1505">
          <cell r="A1505" t="str">
            <v>9550585</v>
          </cell>
          <cell r="B1505" t="str">
            <v>이　두　례</v>
          </cell>
          <cell r="C1505" t="str">
            <v>9550585이　두　례</v>
          </cell>
          <cell r="D1505" t="str">
            <v>CH30</v>
          </cell>
          <cell r="E1505" t="str">
            <v>객실2(KALl)</v>
          </cell>
          <cell r="F1505" t="str">
            <v>2420</v>
          </cell>
          <cell r="G1505" t="str">
            <v>2420</v>
          </cell>
          <cell r="H1505" t="str">
            <v>19950916</v>
          </cell>
          <cell r="I1505">
            <v>3865764</v>
          </cell>
        </row>
        <row r="1506">
          <cell r="A1506" t="str">
            <v>9352067</v>
          </cell>
          <cell r="B1506" t="str">
            <v>이　명　순</v>
          </cell>
          <cell r="C1506" t="str">
            <v>9352067이　명　순</v>
          </cell>
          <cell r="D1506" t="str">
            <v>CH30</v>
          </cell>
          <cell r="E1506" t="str">
            <v>객실2(KALl)</v>
          </cell>
          <cell r="F1506" t="str">
            <v>2420</v>
          </cell>
          <cell r="G1506" t="str">
            <v>2420</v>
          </cell>
          <cell r="H1506" t="str">
            <v>19931116</v>
          </cell>
          <cell r="I1506">
            <v>6289705</v>
          </cell>
        </row>
        <row r="1507">
          <cell r="A1507" t="str">
            <v>8100145</v>
          </cell>
          <cell r="B1507" t="str">
            <v>이　명　철</v>
          </cell>
          <cell r="C1507" t="str">
            <v>8100145이　명　철</v>
          </cell>
          <cell r="D1507" t="str">
            <v>CH30</v>
          </cell>
          <cell r="E1507" t="str">
            <v>객실2(KALl)</v>
          </cell>
          <cell r="F1507" t="str">
            <v>2420</v>
          </cell>
          <cell r="G1507" t="str">
            <v>2432</v>
          </cell>
          <cell r="H1507" t="str">
            <v>19810418</v>
          </cell>
          <cell r="I1507">
            <v>31685110</v>
          </cell>
        </row>
        <row r="1508">
          <cell r="A1508" t="str">
            <v>8650225</v>
          </cell>
          <cell r="B1508" t="str">
            <v>이　명　화</v>
          </cell>
          <cell r="C1508" t="str">
            <v>8650225이　명　화</v>
          </cell>
          <cell r="D1508" t="str">
            <v>CH30</v>
          </cell>
          <cell r="E1508" t="str">
            <v>객실2(KALl)</v>
          </cell>
          <cell r="F1508" t="str">
            <v>2420</v>
          </cell>
          <cell r="G1508" t="str">
            <v>2420</v>
          </cell>
          <cell r="H1508" t="str">
            <v>19860501</v>
          </cell>
          <cell r="I1508">
            <v>16031095</v>
          </cell>
        </row>
        <row r="1509">
          <cell r="A1509" t="str">
            <v>9450360</v>
          </cell>
          <cell r="B1509" t="str">
            <v>이　범　순</v>
          </cell>
          <cell r="C1509" t="str">
            <v>9450360이　범　순</v>
          </cell>
          <cell r="D1509" t="str">
            <v>CH30</v>
          </cell>
          <cell r="E1509" t="str">
            <v>객실2(KALl)</v>
          </cell>
          <cell r="F1509" t="str">
            <v>2420</v>
          </cell>
          <cell r="G1509" t="str">
            <v>2420</v>
          </cell>
          <cell r="H1509" t="str">
            <v>19940201</v>
          </cell>
          <cell r="I1509">
            <v>5493816</v>
          </cell>
        </row>
        <row r="1510">
          <cell r="A1510" t="str">
            <v>9250615</v>
          </cell>
          <cell r="B1510" t="str">
            <v>이　숙　자</v>
          </cell>
          <cell r="C1510" t="str">
            <v>9250615이　숙　자</v>
          </cell>
          <cell r="D1510" t="str">
            <v>CH30</v>
          </cell>
          <cell r="E1510" t="str">
            <v>객실2(KALl)</v>
          </cell>
          <cell r="F1510" t="str">
            <v>2420</v>
          </cell>
          <cell r="G1510" t="str">
            <v>2420</v>
          </cell>
          <cell r="H1510" t="str">
            <v>19920401</v>
          </cell>
          <cell r="I1510">
            <v>7361868</v>
          </cell>
        </row>
        <row r="1511">
          <cell r="A1511" t="str">
            <v>9251403</v>
          </cell>
          <cell r="B1511" t="str">
            <v>이　순　연</v>
          </cell>
          <cell r="C1511" t="str">
            <v>9251403이　순　연</v>
          </cell>
          <cell r="D1511" t="str">
            <v>CH30</v>
          </cell>
          <cell r="E1511" t="str">
            <v>객실2(KALl)</v>
          </cell>
          <cell r="F1511" t="str">
            <v>2420</v>
          </cell>
          <cell r="G1511" t="str">
            <v>2420</v>
          </cell>
          <cell r="H1511" t="str">
            <v>19920701</v>
          </cell>
          <cell r="I1511">
            <v>7223941</v>
          </cell>
        </row>
        <row r="1512">
          <cell r="A1512" t="str">
            <v>8950926</v>
          </cell>
          <cell r="B1512" t="str">
            <v>이　영　숙</v>
          </cell>
          <cell r="C1512" t="str">
            <v>8950926이　영　숙</v>
          </cell>
          <cell r="D1512" t="str">
            <v>CH30</v>
          </cell>
          <cell r="E1512" t="str">
            <v>객실2(KALl)</v>
          </cell>
          <cell r="F1512" t="str">
            <v>2420</v>
          </cell>
          <cell r="G1512" t="str">
            <v>2420</v>
          </cell>
          <cell r="H1512" t="str">
            <v>19890925</v>
          </cell>
          <cell r="I1512">
            <v>11500299</v>
          </cell>
        </row>
        <row r="1513">
          <cell r="A1513" t="str">
            <v>9152188</v>
          </cell>
          <cell r="B1513" t="str">
            <v>이　영　희</v>
          </cell>
          <cell r="C1513" t="str">
            <v>9152188이　영　희</v>
          </cell>
          <cell r="D1513" t="str">
            <v>CH30</v>
          </cell>
          <cell r="E1513" t="str">
            <v>객실2(KALl)</v>
          </cell>
          <cell r="F1513" t="str">
            <v>2420</v>
          </cell>
          <cell r="G1513" t="str">
            <v>2420</v>
          </cell>
          <cell r="H1513" t="str">
            <v>19911001</v>
          </cell>
          <cell r="I1513">
            <v>8781860</v>
          </cell>
        </row>
        <row r="1514">
          <cell r="A1514" t="str">
            <v>9251010</v>
          </cell>
          <cell r="B1514" t="str">
            <v>이　영　희</v>
          </cell>
          <cell r="C1514" t="str">
            <v>9251010이　영　희</v>
          </cell>
          <cell r="D1514" t="str">
            <v>CH30</v>
          </cell>
          <cell r="E1514" t="str">
            <v>객실2(KALl)</v>
          </cell>
          <cell r="F1514" t="str">
            <v>2420</v>
          </cell>
          <cell r="G1514" t="str">
            <v>2420</v>
          </cell>
          <cell r="H1514" t="str">
            <v>19920501</v>
          </cell>
          <cell r="I1514">
            <v>7227996</v>
          </cell>
        </row>
        <row r="1515">
          <cell r="A1515" t="str">
            <v>9451170</v>
          </cell>
          <cell r="B1515" t="str">
            <v>이　옥　순</v>
          </cell>
          <cell r="C1515" t="str">
            <v>9451170이　옥　순</v>
          </cell>
          <cell r="D1515" t="str">
            <v>CH30</v>
          </cell>
          <cell r="E1515" t="str">
            <v>객실2(KALl)</v>
          </cell>
          <cell r="F1515" t="str">
            <v>2420</v>
          </cell>
          <cell r="G1515" t="str">
            <v>2420</v>
          </cell>
          <cell r="H1515" t="str">
            <v>19940601</v>
          </cell>
          <cell r="I1515">
            <v>5071740</v>
          </cell>
        </row>
        <row r="1516">
          <cell r="A1516" t="str">
            <v>8601412</v>
          </cell>
          <cell r="B1516" t="str">
            <v>이　은　덕</v>
          </cell>
          <cell r="C1516" t="str">
            <v>8601412이　은　덕</v>
          </cell>
          <cell r="D1516" t="str">
            <v>CH30</v>
          </cell>
          <cell r="E1516" t="str">
            <v>객실2(KALl)</v>
          </cell>
          <cell r="F1516" t="str">
            <v>2420</v>
          </cell>
          <cell r="G1516" t="str">
            <v>2420</v>
          </cell>
          <cell r="H1516" t="str">
            <v>19860513</v>
          </cell>
          <cell r="I1516">
            <v>20351807</v>
          </cell>
        </row>
        <row r="1517">
          <cell r="A1517" t="str">
            <v>9151097</v>
          </cell>
          <cell r="B1517" t="str">
            <v>이　이　남</v>
          </cell>
          <cell r="C1517" t="str">
            <v>9151097이　이　남</v>
          </cell>
          <cell r="D1517" t="str">
            <v>CH30</v>
          </cell>
          <cell r="E1517" t="str">
            <v>객실2(KALl)</v>
          </cell>
          <cell r="F1517" t="str">
            <v>2420</v>
          </cell>
          <cell r="G1517" t="str">
            <v>2420</v>
          </cell>
          <cell r="H1517" t="str">
            <v>19910508</v>
          </cell>
          <cell r="I1517">
            <v>8465982</v>
          </cell>
        </row>
        <row r="1518">
          <cell r="A1518" t="str">
            <v>9303772</v>
          </cell>
          <cell r="B1518" t="str">
            <v>이　인　석</v>
          </cell>
          <cell r="C1518" t="str">
            <v>9303772이　인　석</v>
          </cell>
          <cell r="D1518" t="str">
            <v>CH30</v>
          </cell>
          <cell r="E1518" t="str">
            <v>객실2(KALl)</v>
          </cell>
          <cell r="F1518" t="str">
            <v>2420</v>
          </cell>
          <cell r="G1518" t="str">
            <v>2432</v>
          </cell>
          <cell r="H1518" t="str">
            <v>19930701</v>
          </cell>
          <cell r="I1518">
            <v>8502458</v>
          </cell>
        </row>
        <row r="1519">
          <cell r="A1519" t="str">
            <v>8650170</v>
          </cell>
          <cell r="B1519" t="str">
            <v>이　정　님</v>
          </cell>
          <cell r="C1519" t="str">
            <v>8650170이　정　님</v>
          </cell>
          <cell r="D1519" t="str">
            <v>CH30</v>
          </cell>
          <cell r="E1519" t="str">
            <v>객실2(KALl)</v>
          </cell>
          <cell r="F1519" t="str">
            <v>2420</v>
          </cell>
          <cell r="G1519" t="str">
            <v>2420</v>
          </cell>
          <cell r="H1519" t="str">
            <v>19860501</v>
          </cell>
          <cell r="I1519">
            <v>16105685</v>
          </cell>
        </row>
        <row r="1520">
          <cell r="A1520" t="str">
            <v>8600310</v>
          </cell>
          <cell r="B1520" t="str">
            <v>이　종　관</v>
          </cell>
          <cell r="C1520" t="str">
            <v>8600310이　종　관</v>
          </cell>
          <cell r="D1520" t="str">
            <v>CH30</v>
          </cell>
          <cell r="E1520" t="str">
            <v>객실2(KALl)</v>
          </cell>
          <cell r="F1520" t="str">
            <v>2420</v>
          </cell>
          <cell r="G1520" t="e">
            <v>#N/A</v>
          </cell>
          <cell r="H1520" t="str">
            <v>19860912</v>
          </cell>
          <cell r="I1520">
            <v>22435262</v>
          </cell>
          <cell r="J1520" t="str">
            <v>3 월</v>
          </cell>
          <cell r="K1520">
            <v>23600374</v>
          </cell>
        </row>
        <row r="1521">
          <cell r="A1521" t="str">
            <v>9450876</v>
          </cell>
          <cell r="B1521" t="str">
            <v>이　종　숙</v>
          </cell>
          <cell r="C1521" t="str">
            <v>9450876이　종　숙</v>
          </cell>
          <cell r="D1521" t="str">
            <v>CH30</v>
          </cell>
          <cell r="E1521" t="str">
            <v>객실2(KALl)</v>
          </cell>
          <cell r="F1521" t="str">
            <v>2420</v>
          </cell>
          <cell r="G1521" t="str">
            <v>2420</v>
          </cell>
          <cell r="H1521" t="str">
            <v>19940502</v>
          </cell>
          <cell r="I1521">
            <v>5187526</v>
          </cell>
        </row>
        <row r="1522">
          <cell r="A1522" t="str">
            <v>9105647</v>
          </cell>
          <cell r="B1522" t="str">
            <v>이　학　수</v>
          </cell>
          <cell r="C1522" t="str">
            <v>9105647이　학　수</v>
          </cell>
          <cell r="D1522" t="str">
            <v>CH30</v>
          </cell>
          <cell r="E1522" t="str">
            <v>객실2(KALl)</v>
          </cell>
          <cell r="F1522" t="str">
            <v>2420</v>
          </cell>
          <cell r="G1522" t="str">
            <v>2432</v>
          </cell>
          <cell r="H1522" t="str">
            <v>19911201</v>
          </cell>
          <cell r="I1522">
            <v>11469829</v>
          </cell>
        </row>
        <row r="1523">
          <cell r="A1523" t="str">
            <v>9352260</v>
          </cell>
          <cell r="B1523" t="str">
            <v>이　현　숙</v>
          </cell>
          <cell r="C1523" t="str">
            <v>9352260이　현　숙</v>
          </cell>
          <cell r="D1523" t="str">
            <v>CH30</v>
          </cell>
          <cell r="E1523" t="str">
            <v>객실2(KALl)</v>
          </cell>
          <cell r="F1523" t="str">
            <v>2420</v>
          </cell>
          <cell r="G1523" t="str">
            <v>2420</v>
          </cell>
          <cell r="H1523" t="str">
            <v>19931216</v>
          </cell>
          <cell r="I1523">
            <v>5866009</v>
          </cell>
        </row>
        <row r="1524">
          <cell r="A1524" t="str">
            <v>8550742</v>
          </cell>
          <cell r="B1524" t="str">
            <v>이　현　순</v>
          </cell>
          <cell r="C1524" t="str">
            <v>8550742이　현　순</v>
          </cell>
          <cell r="D1524" t="str">
            <v>CH30</v>
          </cell>
          <cell r="E1524" t="str">
            <v>객실2(KALl)</v>
          </cell>
          <cell r="F1524" t="str">
            <v>2420</v>
          </cell>
          <cell r="G1524" t="str">
            <v>2420</v>
          </cell>
          <cell r="H1524" t="str">
            <v>19850701</v>
          </cell>
          <cell r="I1524">
            <v>17522156</v>
          </cell>
        </row>
        <row r="1525">
          <cell r="A1525" t="str">
            <v>8950566</v>
          </cell>
          <cell r="B1525" t="str">
            <v>이　현　철</v>
          </cell>
          <cell r="C1525" t="str">
            <v>8950566이　현　철</v>
          </cell>
          <cell r="D1525" t="str">
            <v>CH30</v>
          </cell>
          <cell r="E1525" t="str">
            <v>객실2(KALl)</v>
          </cell>
          <cell r="F1525" t="str">
            <v>2420</v>
          </cell>
          <cell r="G1525" t="str">
            <v>2420</v>
          </cell>
          <cell r="H1525" t="str">
            <v>19890901</v>
          </cell>
          <cell r="I1525">
            <v>11421006</v>
          </cell>
        </row>
        <row r="1526">
          <cell r="A1526" t="str">
            <v>9150524</v>
          </cell>
          <cell r="B1526" t="str">
            <v>이　형　애</v>
          </cell>
          <cell r="C1526" t="str">
            <v>9150524이　형　애</v>
          </cell>
          <cell r="D1526" t="str">
            <v>CH30</v>
          </cell>
          <cell r="E1526" t="str">
            <v>객실2(KALl)</v>
          </cell>
          <cell r="F1526" t="str">
            <v>2420</v>
          </cell>
          <cell r="G1526" t="e">
            <v>#N/A</v>
          </cell>
          <cell r="H1526" t="str">
            <v>19910401</v>
          </cell>
          <cell r="I1526">
            <v>8450357</v>
          </cell>
          <cell r="J1526" t="str">
            <v>9 월</v>
          </cell>
          <cell r="K1526">
            <v>19711966</v>
          </cell>
        </row>
        <row r="1527">
          <cell r="A1527" t="str">
            <v>9150377</v>
          </cell>
          <cell r="B1527" t="str">
            <v>임　연　화</v>
          </cell>
          <cell r="C1527" t="str">
            <v>9150377임　연　화</v>
          </cell>
          <cell r="D1527" t="str">
            <v>CH30</v>
          </cell>
          <cell r="E1527" t="str">
            <v>객실2(KALl)</v>
          </cell>
          <cell r="F1527" t="str">
            <v>2420</v>
          </cell>
          <cell r="G1527" t="str">
            <v>2420</v>
          </cell>
          <cell r="H1527" t="str">
            <v>19910220</v>
          </cell>
          <cell r="I1527">
            <v>9490854</v>
          </cell>
        </row>
        <row r="1528">
          <cell r="A1528" t="str">
            <v>9501726</v>
          </cell>
          <cell r="B1528" t="str">
            <v>임　형　준</v>
          </cell>
          <cell r="C1528" t="str">
            <v>9501726임　형　준</v>
          </cell>
          <cell r="D1528" t="str">
            <v>CH30</v>
          </cell>
          <cell r="E1528" t="str">
            <v>객실2(KALl)</v>
          </cell>
          <cell r="F1528" t="str">
            <v>2420</v>
          </cell>
          <cell r="G1528" t="str">
            <v>2420</v>
          </cell>
          <cell r="H1528" t="str">
            <v>19950720</v>
          </cell>
          <cell r="I1528">
            <v>5772080</v>
          </cell>
        </row>
        <row r="1529">
          <cell r="A1529" t="str">
            <v>9003576</v>
          </cell>
          <cell r="B1529" t="str">
            <v>장　기　준</v>
          </cell>
          <cell r="C1529" t="str">
            <v>9003576장　기　준</v>
          </cell>
          <cell r="D1529" t="str">
            <v>CH30</v>
          </cell>
          <cell r="E1529" t="str">
            <v>객실2(KALl)</v>
          </cell>
          <cell r="F1529" t="str">
            <v>2420</v>
          </cell>
          <cell r="G1529" t="str">
            <v>2432</v>
          </cell>
          <cell r="H1529" t="str">
            <v>19900702</v>
          </cell>
          <cell r="I1529">
            <v>13497043</v>
          </cell>
        </row>
        <row r="1530">
          <cell r="A1530" t="str">
            <v>9451980</v>
          </cell>
          <cell r="B1530" t="str">
            <v>장　말　분</v>
          </cell>
          <cell r="C1530" t="str">
            <v>9451980장　말　분</v>
          </cell>
          <cell r="D1530" t="str">
            <v>CH30</v>
          </cell>
          <cell r="E1530" t="str">
            <v>객실2(KALl)</v>
          </cell>
          <cell r="F1530" t="str">
            <v>2420</v>
          </cell>
          <cell r="G1530" t="str">
            <v>2420</v>
          </cell>
          <cell r="H1530" t="str">
            <v>19940926</v>
          </cell>
          <cell r="I1530">
            <v>4780671</v>
          </cell>
        </row>
        <row r="1531">
          <cell r="A1531" t="str">
            <v>9251730</v>
          </cell>
          <cell r="B1531" t="str">
            <v>장　영　자</v>
          </cell>
          <cell r="C1531" t="str">
            <v>9251730장　영　자</v>
          </cell>
          <cell r="D1531" t="str">
            <v>CH30</v>
          </cell>
          <cell r="E1531" t="str">
            <v>객실2(KALl)</v>
          </cell>
          <cell r="F1531" t="str">
            <v>2420</v>
          </cell>
          <cell r="G1531" t="e">
            <v>#N/A</v>
          </cell>
          <cell r="H1531" t="str">
            <v>19920801</v>
          </cell>
          <cell r="I1531">
            <v>7715782</v>
          </cell>
          <cell r="J1531" t="str">
            <v>10 월</v>
          </cell>
          <cell r="K1531">
            <v>19687362</v>
          </cell>
        </row>
        <row r="1532">
          <cell r="A1532" t="str">
            <v>8550933</v>
          </cell>
          <cell r="B1532" t="str">
            <v>장　이　교</v>
          </cell>
          <cell r="C1532" t="str">
            <v>8550933장　이　교</v>
          </cell>
          <cell r="D1532" t="str">
            <v>CH30</v>
          </cell>
          <cell r="E1532" t="str">
            <v>객실2(KALl)</v>
          </cell>
          <cell r="F1532" t="str">
            <v>2420</v>
          </cell>
          <cell r="G1532" t="str">
            <v>2420</v>
          </cell>
          <cell r="H1532" t="str">
            <v>19851101</v>
          </cell>
          <cell r="I1532">
            <v>15621551</v>
          </cell>
        </row>
        <row r="1533">
          <cell r="A1533" t="str">
            <v>8751240</v>
          </cell>
          <cell r="B1533" t="str">
            <v>장　인　숙</v>
          </cell>
          <cell r="C1533" t="str">
            <v>8751240장　인　숙</v>
          </cell>
          <cell r="D1533" t="str">
            <v>CH30</v>
          </cell>
          <cell r="E1533" t="str">
            <v>객실2(KALl)</v>
          </cell>
          <cell r="F1533" t="str">
            <v>2420</v>
          </cell>
          <cell r="G1533" t="e">
            <v>#N/A</v>
          </cell>
          <cell r="H1533" t="str">
            <v>19871031</v>
          </cell>
          <cell r="I1533">
            <v>12714641</v>
          </cell>
          <cell r="J1533" t="str">
            <v>10 월</v>
          </cell>
          <cell r="K1533">
            <v>24774835</v>
          </cell>
        </row>
        <row r="1534">
          <cell r="A1534" t="str">
            <v>9550664</v>
          </cell>
          <cell r="B1534" t="str">
            <v>전　경　자</v>
          </cell>
          <cell r="C1534" t="str">
            <v>9550664전　경　자</v>
          </cell>
          <cell r="D1534" t="str">
            <v>CH30</v>
          </cell>
          <cell r="E1534" t="str">
            <v>객실2(KALl)</v>
          </cell>
          <cell r="F1534" t="str">
            <v>2420</v>
          </cell>
          <cell r="G1534" t="str">
            <v>2420</v>
          </cell>
          <cell r="H1534" t="str">
            <v>19951023</v>
          </cell>
          <cell r="I1534">
            <v>3754983</v>
          </cell>
        </row>
        <row r="1535">
          <cell r="A1535" t="str">
            <v>8450818</v>
          </cell>
          <cell r="B1535" t="str">
            <v>전　복　연</v>
          </cell>
          <cell r="C1535" t="str">
            <v>8450818전　복　연</v>
          </cell>
          <cell r="D1535" t="str">
            <v>CH30</v>
          </cell>
          <cell r="E1535" t="str">
            <v>객실2(KALl)</v>
          </cell>
          <cell r="F1535" t="str">
            <v>2420</v>
          </cell>
          <cell r="G1535" t="str">
            <v>2420</v>
          </cell>
          <cell r="H1535" t="str">
            <v>19980101</v>
          </cell>
          <cell r="I1535">
            <v>2493482</v>
          </cell>
        </row>
        <row r="1536">
          <cell r="A1536" t="str">
            <v>8500770</v>
          </cell>
          <cell r="B1536" t="str">
            <v>전　인　기</v>
          </cell>
          <cell r="C1536" t="str">
            <v>8500770전　인　기</v>
          </cell>
          <cell r="D1536" t="str">
            <v>CH30</v>
          </cell>
          <cell r="E1536" t="str">
            <v>객실2(KALl)</v>
          </cell>
          <cell r="F1536" t="str">
            <v>2420</v>
          </cell>
          <cell r="G1536" t="str">
            <v>2420</v>
          </cell>
          <cell r="H1536" t="str">
            <v>19850305</v>
          </cell>
          <cell r="I1536">
            <v>23846791</v>
          </cell>
        </row>
        <row r="1537">
          <cell r="A1537" t="str">
            <v>9150300</v>
          </cell>
          <cell r="B1537" t="str">
            <v>정　경　숙</v>
          </cell>
          <cell r="C1537" t="str">
            <v>9150300정　경　숙</v>
          </cell>
          <cell r="D1537" t="str">
            <v>CH30</v>
          </cell>
          <cell r="E1537" t="str">
            <v>객실2(KALl)</v>
          </cell>
          <cell r="F1537" t="str">
            <v>2420</v>
          </cell>
          <cell r="G1537" t="str">
            <v>2420</v>
          </cell>
          <cell r="H1537" t="str">
            <v>19910220</v>
          </cell>
          <cell r="I1537">
            <v>9444262</v>
          </cell>
        </row>
        <row r="1538">
          <cell r="A1538" t="str">
            <v>9451315</v>
          </cell>
          <cell r="B1538" t="str">
            <v>정　해　순</v>
          </cell>
          <cell r="C1538" t="str">
            <v>9451315정　해　순</v>
          </cell>
          <cell r="D1538" t="str">
            <v>CH30</v>
          </cell>
          <cell r="E1538" t="str">
            <v>객실2(KALl)</v>
          </cell>
          <cell r="F1538" t="str">
            <v>2420</v>
          </cell>
          <cell r="G1538" t="str">
            <v>2420</v>
          </cell>
          <cell r="H1538" t="str">
            <v>19940701</v>
          </cell>
          <cell r="I1538">
            <v>5065566</v>
          </cell>
        </row>
        <row r="1539">
          <cell r="A1539" t="str">
            <v>8650574</v>
          </cell>
          <cell r="B1539" t="str">
            <v>정　호　순</v>
          </cell>
          <cell r="C1539" t="str">
            <v>8650574정　호　순</v>
          </cell>
          <cell r="D1539" t="str">
            <v>CH30</v>
          </cell>
          <cell r="E1539" t="str">
            <v>객실2(KALl)</v>
          </cell>
          <cell r="F1539" t="str">
            <v>2420</v>
          </cell>
          <cell r="G1539" t="str">
            <v>2420</v>
          </cell>
          <cell r="H1539" t="str">
            <v>19860616</v>
          </cell>
          <cell r="I1539">
            <v>15849875</v>
          </cell>
        </row>
        <row r="1540">
          <cell r="A1540" t="str">
            <v>9152458</v>
          </cell>
          <cell r="B1540" t="str">
            <v>조　연　숙</v>
          </cell>
          <cell r="C1540" t="str">
            <v>9152458조　연　숙</v>
          </cell>
          <cell r="D1540" t="str">
            <v>CH30</v>
          </cell>
          <cell r="E1540" t="str">
            <v>객실2(KALl)</v>
          </cell>
          <cell r="F1540" t="str">
            <v>2420</v>
          </cell>
          <cell r="G1540" t="str">
            <v>2420</v>
          </cell>
          <cell r="H1540" t="str">
            <v>19911101</v>
          </cell>
          <cell r="I1540">
            <v>7841510</v>
          </cell>
        </row>
        <row r="1541">
          <cell r="A1541" t="str">
            <v>9451348</v>
          </cell>
          <cell r="B1541" t="str">
            <v>조　차　순</v>
          </cell>
          <cell r="C1541" t="str">
            <v>9451348조　차　순</v>
          </cell>
          <cell r="D1541" t="str">
            <v>CH30</v>
          </cell>
          <cell r="E1541" t="str">
            <v>객실2(KALl)</v>
          </cell>
          <cell r="F1541" t="str">
            <v>2420</v>
          </cell>
          <cell r="G1541" t="str">
            <v>2420</v>
          </cell>
          <cell r="H1541" t="str">
            <v>19940701</v>
          </cell>
          <cell r="I1541">
            <v>5067146</v>
          </cell>
        </row>
        <row r="1542">
          <cell r="A1542" t="str">
            <v>8150512</v>
          </cell>
          <cell r="B1542" t="str">
            <v>주　태　빈</v>
          </cell>
          <cell r="C1542" t="str">
            <v>8150512주　태　빈</v>
          </cell>
          <cell r="D1542" t="str">
            <v>CH30</v>
          </cell>
          <cell r="E1542" t="str">
            <v>객실2(KALl)</v>
          </cell>
          <cell r="F1542" t="str">
            <v>2420</v>
          </cell>
          <cell r="G1542" t="str">
            <v>2420</v>
          </cell>
          <cell r="H1542" t="str">
            <v>19811101</v>
          </cell>
          <cell r="I1542">
            <v>21531047</v>
          </cell>
        </row>
        <row r="1543">
          <cell r="A1543" t="str">
            <v>9352113</v>
          </cell>
          <cell r="B1543" t="str">
            <v>주　혜　자</v>
          </cell>
          <cell r="C1543" t="str">
            <v>9352113주　혜　자</v>
          </cell>
          <cell r="D1543" t="str">
            <v>CH30</v>
          </cell>
          <cell r="E1543" t="str">
            <v>객실2(KALl)</v>
          </cell>
          <cell r="F1543" t="str">
            <v>2420</v>
          </cell>
          <cell r="G1543" t="str">
            <v>2420</v>
          </cell>
          <cell r="H1543" t="str">
            <v>19931116</v>
          </cell>
          <cell r="I1543">
            <v>5689792</v>
          </cell>
        </row>
        <row r="1544">
          <cell r="A1544" t="str">
            <v>9351022</v>
          </cell>
          <cell r="B1544" t="str">
            <v>진　숙　희</v>
          </cell>
          <cell r="C1544" t="str">
            <v>9351022진　숙　희</v>
          </cell>
          <cell r="D1544" t="str">
            <v>CH30</v>
          </cell>
          <cell r="E1544" t="str">
            <v>객실2(KALl)</v>
          </cell>
          <cell r="F1544" t="str">
            <v>2420</v>
          </cell>
          <cell r="G1544" t="str">
            <v>2420</v>
          </cell>
          <cell r="H1544" t="str">
            <v>19930616</v>
          </cell>
          <cell r="I1544">
            <v>6102168</v>
          </cell>
        </row>
        <row r="1545">
          <cell r="A1545" t="str">
            <v>8650372</v>
          </cell>
          <cell r="B1545" t="str">
            <v>진　영　례</v>
          </cell>
          <cell r="C1545" t="str">
            <v>8650372진　영　례</v>
          </cell>
          <cell r="D1545" t="str">
            <v>CH30</v>
          </cell>
          <cell r="E1545" t="str">
            <v>객실2(KALl)</v>
          </cell>
          <cell r="F1545" t="str">
            <v>2420</v>
          </cell>
          <cell r="G1545" t="str">
            <v>2420</v>
          </cell>
          <cell r="H1545" t="str">
            <v>19860519</v>
          </cell>
          <cell r="I1545">
            <v>14751700</v>
          </cell>
        </row>
        <row r="1546">
          <cell r="A1546" t="str">
            <v>9550552</v>
          </cell>
          <cell r="B1546" t="str">
            <v>차　달　임</v>
          </cell>
          <cell r="C1546" t="str">
            <v>9550552차　달　임</v>
          </cell>
          <cell r="D1546" t="str">
            <v>CH30</v>
          </cell>
          <cell r="E1546" t="str">
            <v>객실2(KALl)</v>
          </cell>
          <cell r="F1546" t="str">
            <v>2420</v>
          </cell>
          <cell r="G1546" t="str">
            <v>2420</v>
          </cell>
          <cell r="H1546" t="str">
            <v>19950916</v>
          </cell>
          <cell r="I1546">
            <v>3829634</v>
          </cell>
        </row>
        <row r="1547">
          <cell r="A1547" t="str">
            <v>8551181</v>
          </cell>
          <cell r="B1547" t="str">
            <v>천　복　년</v>
          </cell>
          <cell r="C1547" t="str">
            <v>8551181천　복　년</v>
          </cell>
          <cell r="D1547" t="str">
            <v>CH30</v>
          </cell>
          <cell r="E1547" t="str">
            <v>객실2(KALl)</v>
          </cell>
          <cell r="F1547" t="str">
            <v>2420</v>
          </cell>
          <cell r="G1547" t="str">
            <v>2420</v>
          </cell>
          <cell r="H1547" t="str">
            <v>19851101</v>
          </cell>
          <cell r="I1547">
            <v>18890127</v>
          </cell>
        </row>
        <row r="1548">
          <cell r="A1548" t="str">
            <v>8550393</v>
          </cell>
          <cell r="B1548" t="str">
            <v>최　경　수</v>
          </cell>
          <cell r="C1548" t="str">
            <v>8550393최　경　수</v>
          </cell>
          <cell r="D1548" t="str">
            <v>CH30</v>
          </cell>
          <cell r="E1548" t="str">
            <v>객실2(KALl)</v>
          </cell>
          <cell r="F1548" t="str">
            <v>2420</v>
          </cell>
          <cell r="G1548" t="str">
            <v>2420</v>
          </cell>
          <cell r="H1548" t="str">
            <v>19850416</v>
          </cell>
          <cell r="I1548">
            <v>17159087</v>
          </cell>
        </row>
        <row r="1549">
          <cell r="A1549" t="str">
            <v>9650068</v>
          </cell>
          <cell r="B1549" t="str">
            <v>최　경　순</v>
          </cell>
          <cell r="C1549" t="str">
            <v>9650068최　경　순</v>
          </cell>
          <cell r="D1549" t="str">
            <v>CH30</v>
          </cell>
          <cell r="E1549" t="str">
            <v>객실2(KALl)</v>
          </cell>
          <cell r="F1549" t="str">
            <v>2420</v>
          </cell>
          <cell r="G1549" t="str">
            <v>2420</v>
          </cell>
          <cell r="H1549" t="str">
            <v>19960122</v>
          </cell>
          <cell r="I1549">
            <v>3502751</v>
          </cell>
        </row>
        <row r="1550">
          <cell r="A1550" t="str">
            <v>9451337</v>
          </cell>
          <cell r="B1550" t="str">
            <v>최　경　자</v>
          </cell>
          <cell r="C1550" t="str">
            <v>9451337최　경　자</v>
          </cell>
          <cell r="D1550" t="str">
            <v>CH30</v>
          </cell>
          <cell r="E1550" t="str">
            <v>객실2(KALl)</v>
          </cell>
          <cell r="F1550" t="str">
            <v>2420</v>
          </cell>
          <cell r="G1550" t="str">
            <v>2420</v>
          </cell>
          <cell r="H1550" t="str">
            <v>19940701</v>
          </cell>
          <cell r="I1550">
            <v>5058466</v>
          </cell>
        </row>
        <row r="1551">
          <cell r="A1551" t="str">
            <v>8751025</v>
          </cell>
          <cell r="B1551" t="str">
            <v>최　귀　순</v>
          </cell>
          <cell r="C1551" t="str">
            <v>8751025최　귀　순</v>
          </cell>
          <cell r="D1551" t="str">
            <v>CH30</v>
          </cell>
          <cell r="E1551" t="str">
            <v>객실2(KALl)</v>
          </cell>
          <cell r="F1551" t="str">
            <v>2420</v>
          </cell>
          <cell r="G1551" t="str">
            <v>2420</v>
          </cell>
          <cell r="H1551" t="str">
            <v>19870801</v>
          </cell>
          <cell r="I1551">
            <v>14216764</v>
          </cell>
        </row>
        <row r="1552">
          <cell r="A1552" t="str">
            <v>8150354</v>
          </cell>
          <cell r="B1552" t="str">
            <v>최　규　춘</v>
          </cell>
          <cell r="C1552" t="str">
            <v>8150354최　규　춘</v>
          </cell>
          <cell r="D1552" t="str">
            <v>CH30</v>
          </cell>
          <cell r="E1552" t="str">
            <v>객실2(KALl)</v>
          </cell>
          <cell r="F1552" t="str">
            <v>2420</v>
          </cell>
          <cell r="G1552" t="e">
            <v>#N/A</v>
          </cell>
          <cell r="H1552" t="str">
            <v>19811101</v>
          </cell>
          <cell r="I1552">
            <v>23579169</v>
          </cell>
          <cell r="J1552" t="str">
            <v>10 월</v>
          </cell>
          <cell r="K1552">
            <v>39839792</v>
          </cell>
        </row>
        <row r="1553">
          <cell r="A1553" t="str">
            <v>8550505</v>
          </cell>
          <cell r="B1553" t="str">
            <v>최　동　호</v>
          </cell>
          <cell r="C1553" t="str">
            <v>8550505최　동　호</v>
          </cell>
          <cell r="D1553" t="str">
            <v>CH30</v>
          </cell>
          <cell r="E1553" t="str">
            <v>객실2(KALl)</v>
          </cell>
          <cell r="F1553" t="str">
            <v>2420</v>
          </cell>
          <cell r="G1553" t="str">
            <v>2420</v>
          </cell>
          <cell r="H1553" t="str">
            <v>19850416</v>
          </cell>
          <cell r="I1553">
            <v>16374142</v>
          </cell>
        </row>
        <row r="1554">
          <cell r="A1554" t="str">
            <v>9450516</v>
          </cell>
          <cell r="B1554" t="str">
            <v>최　명　섭</v>
          </cell>
          <cell r="C1554" t="str">
            <v>9450516최　명　섭</v>
          </cell>
          <cell r="D1554" t="str">
            <v>CH30</v>
          </cell>
          <cell r="E1554" t="str">
            <v>객실2(KALl)</v>
          </cell>
          <cell r="F1554" t="str">
            <v>2420</v>
          </cell>
          <cell r="G1554" t="str">
            <v>2420</v>
          </cell>
          <cell r="H1554" t="str">
            <v>19940401</v>
          </cell>
          <cell r="I1554">
            <v>5890469</v>
          </cell>
        </row>
        <row r="1555">
          <cell r="A1555" t="str">
            <v>9450448</v>
          </cell>
          <cell r="B1555" t="str">
            <v>최　명　자</v>
          </cell>
          <cell r="C1555" t="str">
            <v>9450448최　명　자</v>
          </cell>
          <cell r="D1555" t="str">
            <v>CH30</v>
          </cell>
          <cell r="E1555" t="str">
            <v>객실2(KALl)</v>
          </cell>
          <cell r="F1555" t="str">
            <v>2420</v>
          </cell>
          <cell r="G1555" t="str">
            <v>2420</v>
          </cell>
          <cell r="H1555" t="str">
            <v>19940314</v>
          </cell>
          <cell r="I1555">
            <v>5317919</v>
          </cell>
        </row>
        <row r="1556">
          <cell r="A1556" t="str">
            <v>8450662</v>
          </cell>
          <cell r="B1556" t="str">
            <v>최　명　희</v>
          </cell>
          <cell r="C1556" t="str">
            <v>8450662최　명　희</v>
          </cell>
          <cell r="D1556" t="str">
            <v>CH30</v>
          </cell>
          <cell r="E1556" t="str">
            <v>객실2(KALl)</v>
          </cell>
          <cell r="F1556" t="str">
            <v>2420</v>
          </cell>
          <cell r="G1556" t="str">
            <v>2420</v>
          </cell>
          <cell r="H1556" t="str">
            <v>19840801</v>
          </cell>
          <cell r="I1556">
            <v>20040666</v>
          </cell>
        </row>
        <row r="1557">
          <cell r="A1557" t="str">
            <v>8050173</v>
          </cell>
          <cell r="B1557" t="str">
            <v>최　상　환</v>
          </cell>
          <cell r="C1557" t="str">
            <v>8050173최　상　환</v>
          </cell>
          <cell r="D1557" t="str">
            <v>CH30</v>
          </cell>
          <cell r="E1557" t="str">
            <v>객실2(KALl)</v>
          </cell>
          <cell r="F1557" t="str">
            <v>2420</v>
          </cell>
          <cell r="G1557" t="str">
            <v>2420</v>
          </cell>
          <cell r="H1557" t="str">
            <v>19801001</v>
          </cell>
          <cell r="I1557">
            <v>23867667</v>
          </cell>
        </row>
        <row r="1558">
          <cell r="A1558" t="str">
            <v>9650204</v>
          </cell>
          <cell r="B1558" t="str">
            <v>최　양　숙</v>
          </cell>
          <cell r="C1558" t="str">
            <v>9650204최　양　숙</v>
          </cell>
          <cell r="D1558" t="str">
            <v>CH30</v>
          </cell>
          <cell r="E1558" t="str">
            <v>객실2(KALl)</v>
          </cell>
          <cell r="F1558" t="str">
            <v>2420</v>
          </cell>
          <cell r="G1558" t="str">
            <v>2420</v>
          </cell>
          <cell r="H1558" t="str">
            <v>19960501</v>
          </cell>
          <cell r="I1558">
            <v>3225769</v>
          </cell>
        </row>
        <row r="1559">
          <cell r="A1559" t="str">
            <v>8150365</v>
          </cell>
          <cell r="B1559" t="str">
            <v>최　양　순</v>
          </cell>
          <cell r="C1559" t="str">
            <v>8150365최　양　순</v>
          </cell>
          <cell r="D1559" t="str">
            <v>CH30</v>
          </cell>
          <cell r="E1559" t="str">
            <v>객실2(KALl)</v>
          </cell>
          <cell r="F1559" t="str">
            <v>2420</v>
          </cell>
          <cell r="G1559" t="e">
            <v>#N/A</v>
          </cell>
          <cell r="H1559" t="str">
            <v>19811101</v>
          </cell>
          <cell r="I1559">
            <v>23528447</v>
          </cell>
          <cell r="J1559" t="str">
            <v>12 월</v>
          </cell>
          <cell r="K1559">
            <v>45185848</v>
          </cell>
        </row>
        <row r="1560">
          <cell r="A1560" t="str">
            <v>9550596</v>
          </cell>
          <cell r="B1560" t="str">
            <v>최　옥　자</v>
          </cell>
          <cell r="C1560" t="str">
            <v>9550596최　옥　자</v>
          </cell>
          <cell r="D1560" t="str">
            <v>CH30</v>
          </cell>
          <cell r="E1560" t="str">
            <v>객실2(KALl)</v>
          </cell>
          <cell r="F1560" t="str">
            <v>2420</v>
          </cell>
          <cell r="G1560" t="str">
            <v>2420</v>
          </cell>
          <cell r="H1560" t="str">
            <v>19950916</v>
          </cell>
          <cell r="I1560">
            <v>3829634</v>
          </cell>
        </row>
        <row r="1561">
          <cell r="A1561" t="str">
            <v>7600162</v>
          </cell>
          <cell r="B1561" t="str">
            <v>하　승　수</v>
          </cell>
          <cell r="C1561" t="str">
            <v>7600162하　승　수</v>
          </cell>
          <cell r="D1561" t="str">
            <v>CH30</v>
          </cell>
          <cell r="E1561" t="str">
            <v>객실2(KALl)</v>
          </cell>
          <cell r="F1561" t="str">
            <v>2420</v>
          </cell>
          <cell r="G1561" t="str">
            <v>2420</v>
          </cell>
          <cell r="H1561" t="str">
            <v>19981201</v>
          </cell>
          <cell r="I1561">
            <v>2741980</v>
          </cell>
        </row>
        <row r="1562">
          <cell r="A1562" t="str">
            <v>9151672</v>
          </cell>
          <cell r="B1562" t="str">
            <v>한　영　애</v>
          </cell>
          <cell r="C1562" t="str">
            <v>9151672한　영　애</v>
          </cell>
          <cell r="D1562" t="str">
            <v>CH30</v>
          </cell>
          <cell r="E1562" t="str">
            <v>객실2(KALl)</v>
          </cell>
          <cell r="F1562" t="str">
            <v>2420</v>
          </cell>
          <cell r="G1562" t="str">
            <v>2420</v>
          </cell>
          <cell r="H1562" t="str">
            <v>19910807</v>
          </cell>
          <cell r="I1562">
            <v>8161265</v>
          </cell>
        </row>
        <row r="1563">
          <cell r="A1563" t="str">
            <v>8451191</v>
          </cell>
          <cell r="B1563" t="str">
            <v>한　진　숙</v>
          </cell>
          <cell r="C1563" t="str">
            <v>8451191한　진　숙</v>
          </cell>
          <cell r="D1563" t="str">
            <v>CH30</v>
          </cell>
          <cell r="E1563" t="str">
            <v>객실2(KALl)</v>
          </cell>
          <cell r="F1563" t="str">
            <v>2420</v>
          </cell>
          <cell r="G1563" t="str">
            <v>2420</v>
          </cell>
          <cell r="H1563" t="str">
            <v>19841115</v>
          </cell>
          <cell r="I1563">
            <v>20672097</v>
          </cell>
        </row>
        <row r="1564">
          <cell r="A1564" t="str">
            <v>9250661</v>
          </cell>
          <cell r="B1564" t="str">
            <v>한　충　성</v>
          </cell>
          <cell r="C1564" t="str">
            <v>9250661한　충　성</v>
          </cell>
          <cell r="D1564" t="str">
            <v>CH30</v>
          </cell>
          <cell r="E1564" t="str">
            <v>객실2(KALl)</v>
          </cell>
          <cell r="F1564" t="str">
            <v>2420</v>
          </cell>
          <cell r="G1564" t="str">
            <v>2420</v>
          </cell>
          <cell r="H1564" t="str">
            <v>19920401</v>
          </cell>
          <cell r="I1564">
            <v>8139131</v>
          </cell>
        </row>
        <row r="1565">
          <cell r="A1565" t="str">
            <v>9450461</v>
          </cell>
          <cell r="B1565" t="str">
            <v>홍　단　계</v>
          </cell>
          <cell r="C1565" t="str">
            <v>9450461홍　단　계</v>
          </cell>
          <cell r="D1565" t="str">
            <v>CH30</v>
          </cell>
          <cell r="E1565" t="str">
            <v>객실2(KALl)</v>
          </cell>
          <cell r="F1565" t="str">
            <v>2420</v>
          </cell>
          <cell r="G1565" t="str">
            <v>2420</v>
          </cell>
          <cell r="H1565" t="str">
            <v>19940314</v>
          </cell>
          <cell r="I1565">
            <v>5349114</v>
          </cell>
        </row>
        <row r="1566">
          <cell r="A1566" t="str">
            <v>9351628</v>
          </cell>
          <cell r="B1566" t="str">
            <v>홍　현　표</v>
          </cell>
          <cell r="C1566" t="str">
            <v>9351628홍　현　표</v>
          </cell>
          <cell r="D1566" t="str">
            <v>CH30</v>
          </cell>
          <cell r="E1566" t="str">
            <v>객실2(KALl)</v>
          </cell>
          <cell r="F1566" t="str">
            <v>2420</v>
          </cell>
          <cell r="G1566" t="str">
            <v>2420</v>
          </cell>
          <cell r="H1566" t="str">
            <v>19930820</v>
          </cell>
          <cell r="I1566">
            <v>6197219</v>
          </cell>
        </row>
        <row r="1567">
          <cell r="A1567" t="str">
            <v>8650451</v>
          </cell>
          <cell r="B1567" t="str">
            <v>황　경　림</v>
          </cell>
          <cell r="C1567" t="str">
            <v>8650451황　경　림</v>
          </cell>
          <cell r="D1567" t="str">
            <v>CH30</v>
          </cell>
          <cell r="E1567" t="str">
            <v>객실2(KALl)</v>
          </cell>
          <cell r="F1567" t="str">
            <v>2420</v>
          </cell>
          <cell r="G1567" t="str">
            <v>2420</v>
          </cell>
          <cell r="H1567" t="str">
            <v>19860529</v>
          </cell>
          <cell r="I1567">
            <v>15885173</v>
          </cell>
        </row>
        <row r="1568">
          <cell r="A1568" t="str">
            <v>8451202</v>
          </cell>
          <cell r="B1568" t="str">
            <v>황　송　자</v>
          </cell>
          <cell r="C1568" t="str">
            <v>8451202황　송　자</v>
          </cell>
          <cell r="D1568" t="str">
            <v>CH30</v>
          </cell>
          <cell r="E1568" t="str">
            <v>객실2(KALl)</v>
          </cell>
          <cell r="F1568" t="str">
            <v>2420</v>
          </cell>
          <cell r="G1568" t="e">
            <v>#N/A</v>
          </cell>
          <cell r="H1568" t="str">
            <v>19841115</v>
          </cell>
          <cell r="I1568">
            <v>16743295</v>
          </cell>
          <cell r="J1568" t="str">
            <v>10 월</v>
          </cell>
          <cell r="K1568">
            <v>29302323</v>
          </cell>
        </row>
        <row r="1569">
          <cell r="A1569" t="str">
            <v>9250492</v>
          </cell>
          <cell r="B1569" t="str">
            <v>강　복　순</v>
          </cell>
          <cell r="C1569" t="str">
            <v>9250492강　복　순</v>
          </cell>
          <cell r="D1569" t="str">
            <v>CH40</v>
          </cell>
          <cell r="E1569" t="str">
            <v>객실2(KALl)</v>
          </cell>
          <cell r="F1569" t="str">
            <v>2420</v>
          </cell>
          <cell r="G1569" t="str">
            <v>2420</v>
          </cell>
          <cell r="H1569" t="str">
            <v>19920316</v>
          </cell>
          <cell r="I1569">
            <v>7507112</v>
          </cell>
        </row>
        <row r="1570">
          <cell r="A1570" t="str">
            <v>8100257</v>
          </cell>
          <cell r="B1570" t="str">
            <v>강　영　민</v>
          </cell>
          <cell r="C1570" t="str">
            <v>8100257강　영　민</v>
          </cell>
          <cell r="D1570" t="str">
            <v>CH40</v>
          </cell>
          <cell r="E1570" t="str">
            <v>객실2(KALl)</v>
          </cell>
          <cell r="F1570" t="str">
            <v>2420</v>
          </cell>
          <cell r="G1570" t="str">
            <v>2420</v>
          </cell>
          <cell r="H1570" t="str">
            <v>19810914</v>
          </cell>
          <cell r="I1570">
            <v>32797367</v>
          </cell>
        </row>
        <row r="1571">
          <cell r="A1571" t="str">
            <v>9251447</v>
          </cell>
          <cell r="B1571" t="str">
            <v>강　옥　자</v>
          </cell>
          <cell r="C1571" t="str">
            <v>9251447강　옥　자</v>
          </cell>
          <cell r="D1571" t="str">
            <v>CH40</v>
          </cell>
          <cell r="E1571" t="str">
            <v>객실2(KALl)</v>
          </cell>
          <cell r="F1571" t="str">
            <v>2420</v>
          </cell>
          <cell r="G1571" t="str">
            <v>2420</v>
          </cell>
          <cell r="H1571" t="str">
            <v>19920701</v>
          </cell>
          <cell r="I1571">
            <v>7314576</v>
          </cell>
        </row>
        <row r="1572">
          <cell r="A1572" t="str">
            <v>9502931</v>
          </cell>
          <cell r="B1572" t="str">
            <v>강　운　영</v>
          </cell>
          <cell r="C1572" t="str">
            <v>9502931강　운　영</v>
          </cell>
          <cell r="D1572" t="str">
            <v>CH40</v>
          </cell>
          <cell r="E1572" t="str">
            <v>객실2(KALl)</v>
          </cell>
          <cell r="F1572" t="str">
            <v>2420</v>
          </cell>
          <cell r="G1572" t="str">
            <v>2420</v>
          </cell>
          <cell r="H1572" t="str">
            <v>19951023</v>
          </cell>
          <cell r="I1572">
            <v>4523732</v>
          </cell>
        </row>
        <row r="1573">
          <cell r="A1573" t="str">
            <v>8950015</v>
          </cell>
          <cell r="B1573" t="str">
            <v>고　봉　자</v>
          </cell>
          <cell r="C1573" t="str">
            <v>8950015고　봉　자</v>
          </cell>
          <cell r="D1573" t="str">
            <v>CH40</v>
          </cell>
          <cell r="E1573" t="str">
            <v>객실2(KALl)</v>
          </cell>
          <cell r="F1573" t="str">
            <v>2420</v>
          </cell>
          <cell r="G1573" t="str">
            <v>2420</v>
          </cell>
          <cell r="H1573" t="str">
            <v>19890201</v>
          </cell>
          <cell r="I1573">
            <v>12486661</v>
          </cell>
        </row>
        <row r="1574">
          <cell r="A1574" t="str">
            <v>8450550</v>
          </cell>
          <cell r="B1574" t="str">
            <v>고　춘　자</v>
          </cell>
          <cell r="C1574" t="str">
            <v>8450550고　춘　자</v>
          </cell>
          <cell r="D1574" t="str">
            <v>CH40</v>
          </cell>
          <cell r="E1574" t="str">
            <v>객실2(KALl)</v>
          </cell>
          <cell r="F1574" t="str">
            <v>2420</v>
          </cell>
          <cell r="G1574" t="str">
            <v>2420</v>
          </cell>
          <cell r="H1574" t="str">
            <v>19840611</v>
          </cell>
          <cell r="I1574">
            <v>18551747</v>
          </cell>
        </row>
        <row r="1575">
          <cell r="A1575" t="str">
            <v>8250333</v>
          </cell>
          <cell r="B1575" t="str">
            <v>곽　연　순</v>
          </cell>
          <cell r="C1575" t="str">
            <v>8250333곽　연　순</v>
          </cell>
          <cell r="D1575" t="str">
            <v>CH40</v>
          </cell>
          <cell r="E1575" t="str">
            <v>객실2(KALl)</v>
          </cell>
          <cell r="F1575" t="str">
            <v>2420</v>
          </cell>
          <cell r="G1575" t="e">
            <v>#N/A</v>
          </cell>
          <cell r="H1575" t="str">
            <v>19821001</v>
          </cell>
          <cell r="I1575">
            <v>19523674</v>
          </cell>
          <cell r="J1575" t="str">
            <v>9 월</v>
          </cell>
          <cell r="K1575">
            <v>31263513</v>
          </cell>
        </row>
        <row r="1576">
          <cell r="A1576" t="str">
            <v>9251032</v>
          </cell>
          <cell r="B1576" t="str">
            <v>권　금　옥</v>
          </cell>
          <cell r="C1576" t="str">
            <v>9251032권　금　옥</v>
          </cell>
          <cell r="D1576" t="str">
            <v>CH40</v>
          </cell>
          <cell r="E1576" t="str">
            <v>객실2(KALl)</v>
          </cell>
          <cell r="F1576" t="str">
            <v>2420</v>
          </cell>
          <cell r="G1576" t="str">
            <v>2420</v>
          </cell>
          <cell r="H1576" t="str">
            <v>19920501</v>
          </cell>
          <cell r="I1576">
            <v>8060406</v>
          </cell>
        </row>
        <row r="1577">
          <cell r="A1577" t="str">
            <v>9351055</v>
          </cell>
          <cell r="B1577" t="str">
            <v>권　순　근</v>
          </cell>
          <cell r="C1577" t="str">
            <v>9351055권　순　근</v>
          </cell>
          <cell r="D1577" t="str">
            <v>CH40</v>
          </cell>
          <cell r="E1577" t="str">
            <v>객실2(KALl)</v>
          </cell>
          <cell r="F1577" t="str">
            <v>2420</v>
          </cell>
          <cell r="G1577" t="str">
            <v>2420</v>
          </cell>
          <cell r="H1577" t="str">
            <v>19930616</v>
          </cell>
          <cell r="I1577">
            <v>6151165</v>
          </cell>
        </row>
        <row r="1578">
          <cell r="A1578" t="str">
            <v>8651384</v>
          </cell>
          <cell r="B1578" t="str">
            <v>권　정　조</v>
          </cell>
          <cell r="C1578" t="str">
            <v>8651384권　정　조</v>
          </cell>
          <cell r="D1578" t="str">
            <v>CH40</v>
          </cell>
          <cell r="E1578" t="str">
            <v>객실2(KALl)</v>
          </cell>
          <cell r="F1578" t="str">
            <v>2420</v>
          </cell>
          <cell r="G1578" t="str">
            <v>2420</v>
          </cell>
          <cell r="H1578" t="str">
            <v>19860908</v>
          </cell>
          <cell r="I1578">
            <v>16602939</v>
          </cell>
        </row>
        <row r="1579">
          <cell r="A1579" t="str">
            <v>9350976</v>
          </cell>
          <cell r="B1579" t="str">
            <v>김　기　숙</v>
          </cell>
          <cell r="C1579" t="str">
            <v>9350976김　기　숙</v>
          </cell>
          <cell r="D1579" t="str">
            <v>CH40</v>
          </cell>
          <cell r="E1579" t="str">
            <v>객실2(KALl)</v>
          </cell>
          <cell r="F1579" t="str">
            <v>2420</v>
          </cell>
          <cell r="G1579" t="str">
            <v>2420</v>
          </cell>
          <cell r="H1579" t="str">
            <v>19930601</v>
          </cell>
          <cell r="I1579">
            <v>6269512</v>
          </cell>
        </row>
        <row r="1580">
          <cell r="A1580" t="str">
            <v>8604404</v>
          </cell>
          <cell r="B1580" t="str">
            <v>김　단　호</v>
          </cell>
          <cell r="C1580" t="str">
            <v>8604404김　단　호</v>
          </cell>
          <cell r="D1580" t="str">
            <v>CH40</v>
          </cell>
          <cell r="E1580" t="str">
            <v>객실2(KALl)</v>
          </cell>
          <cell r="F1580" t="str">
            <v>2420</v>
          </cell>
          <cell r="G1580" t="str">
            <v>2420</v>
          </cell>
          <cell r="H1580" t="str">
            <v>19861020</v>
          </cell>
          <cell r="I1580">
            <v>20068712</v>
          </cell>
        </row>
        <row r="1581">
          <cell r="A1581" t="str">
            <v>9450191</v>
          </cell>
          <cell r="B1581" t="str">
            <v>김　반　금</v>
          </cell>
          <cell r="C1581" t="str">
            <v>9450191김　반　금</v>
          </cell>
          <cell r="D1581" t="str">
            <v>CH40</v>
          </cell>
          <cell r="E1581" t="str">
            <v>객실2(KALl)</v>
          </cell>
          <cell r="F1581" t="str">
            <v>2420</v>
          </cell>
          <cell r="G1581" t="str">
            <v>2420</v>
          </cell>
          <cell r="H1581" t="str">
            <v>19940120</v>
          </cell>
          <cell r="I1581">
            <v>5507600</v>
          </cell>
        </row>
        <row r="1582">
          <cell r="A1582" t="str">
            <v>8350356</v>
          </cell>
          <cell r="B1582" t="str">
            <v>김　상　심</v>
          </cell>
          <cell r="C1582" t="str">
            <v>8350356김　상　심</v>
          </cell>
          <cell r="D1582" t="str">
            <v>CH40</v>
          </cell>
          <cell r="E1582" t="str">
            <v>객실2(KALl)</v>
          </cell>
          <cell r="F1582" t="str">
            <v>2420</v>
          </cell>
          <cell r="G1582" t="str">
            <v>2420</v>
          </cell>
          <cell r="H1582" t="str">
            <v>19830806</v>
          </cell>
          <cell r="I1582">
            <v>19986469</v>
          </cell>
        </row>
        <row r="1583">
          <cell r="A1583" t="str">
            <v>9351483</v>
          </cell>
          <cell r="B1583" t="str">
            <v>김　성　자</v>
          </cell>
          <cell r="C1583" t="str">
            <v>9351483김　성　자</v>
          </cell>
          <cell r="D1583" t="str">
            <v>CH40</v>
          </cell>
          <cell r="E1583" t="str">
            <v>객실2(KALl)</v>
          </cell>
          <cell r="F1583" t="str">
            <v>2420</v>
          </cell>
          <cell r="G1583" t="str">
            <v>2420</v>
          </cell>
          <cell r="H1583" t="str">
            <v>19930801</v>
          </cell>
          <cell r="I1583">
            <v>6026995</v>
          </cell>
        </row>
        <row r="1584">
          <cell r="A1584" t="str">
            <v>9251774</v>
          </cell>
          <cell r="B1584" t="str">
            <v>김　숙　　</v>
          </cell>
          <cell r="C1584" t="str">
            <v>9251774김　숙　　</v>
          </cell>
          <cell r="D1584" t="str">
            <v>CH40</v>
          </cell>
          <cell r="E1584" t="str">
            <v>객실2(KALl)</v>
          </cell>
          <cell r="F1584" t="str">
            <v>2420</v>
          </cell>
          <cell r="G1584" t="str">
            <v>2420</v>
          </cell>
          <cell r="H1584" t="str">
            <v>19920801</v>
          </cell>
          <cell r="I1584">
            <v>7132203</v>
          </cell>
        </row>
        <row r="1585">
          <cell r="A1585" t="str">
            <v>8350413</v>
          </cell>
          <cell r="B1585" t="str">
            <v>김　숙　자</v>
          </cell>
          <cell r="C1585" t="str">
            <v>8350413김　숙　자</v>
          </cell>
          <cell r="D1585" t="str">
            <v>CH40</v>
          </cell>
          <cell r="E1585" t="str">
            <v>객실2(KALl)</v>
          </cell>
          <cell r="F1585" t="str">
            <v>2420</v>
          </cell>
          <cell r="G1585" t="e">
            <v>#N/A</v>
          </cell>
          <cell r="H1585" t="str">
            <v>19830812</v>
          </cell>
          <cell r="I1585">
            <v>18389326</v>
          </cell>
          <cell r="J1585" t="str">
            <v>10 월</v>
          </cell>
          <cell r="K1585">
            <v>32246549</v>
          </cell>
        </row>
        <row r="1586">
          <cell r="A1586" t="str">
            <v>9251673</v>
          </cell>
          <cell r="B1586" t="str">
            <v>김　순　례</v>
          </cell>
          <cell r="C1586" t="str">
            <v>9251673김　순　례</v>
          </cell>
          <cell r="D1586" t="str">
            <v>CH40</v>
          </cell>
          <cell r="E1586" t="str">
            <v>객실2(KALl)</v>
          </cell>
          <cell r="F1586" t="str">
            <v>2420</v>
          </cell>
          <cell r="G1586" t="str">
            <v>2420</v>
          </cell>
          <cell r="H1586" t="str">
            <v>19920722</v>
          </cell>
          <cell r="I1586">
            <v>7208212</v>
          </cell>
        </row>
        <row r="1587">
          <cell r="A1587" t="str">
            <v>8451213</v>
          </cell>
          <cell r="B1587" t="str">
            <v>김　순　이</v>
          </cell>
          <cell r="C1587" t="str">
            <v>8451213김　순　이</v>
          </cell>
          <cell r="D1587" t="str">
            <v>CH40</v>
          </cell>
          <cell r="E1587" t="str">
            <v>객실2(KALl)</v>
          </cell>
          <cell r="F1587" t="str">
            <v>2420</v>
          </cell>
          <cell r="G1587" t="str">
            <v>2420</v>
          </cell>
          <cell r="H1587" t="str">
            <v>19841115</v>
          </cell>
          <cell r="I1587">
            <v>16427045</v>
          </cell>
        </row>
        <row r="1588">
          <cell r="A1588" t="str">
            <v>9351437</v>
          </cell>
          <cell r="B1588" t="str">
            <v>김　승　임</v>
          </cell>
          <cell r="C1588" t="str">
            <v>9351437김　승　임</v>
          </cell>
          <cell r="D1588" t="str">
            <v>CH40</v>
          </cell>
          <cell r="E1588" t="str">
            <v>객실2(KALl)</v>
          </cell>
          <cell r="F1588" t="str">
            <v>2420</v>
          </cell>
          <cell r="G1588" t="str">
            <v>2420</v>
          </cell>
          <cell r="H1588" t="str">
            <v>19930716</v>
          </cell>
          <cell r="I1588">
            <v>5968819</v>
          </cell>
        </row>
        <row r="1589">
          <cell r="A1589" t="str">
            <v>9450325</v>
          </cell>
          <cell r="B1589" t="str">
            <v>김　안　례</v>
          </cell>
          <cell r="C1589" t="str">
            <v>9450325김　안　례</v>
          </cell>
          <cell r="D1589" t="str">
            <v>CH40</v>
          </cell>
          <cell r="E1589" t="str">
            <v>객실2(KALl)</v>
          </cell>
          <cell r="F1589" t="str">
            <v>2420</v>
          </cell>
          <cell r="G1589" t="str">
            <v>2420</v>
          </cell>
          <cell r="H1589" t="str">
            <v>19940201</v>
          </cell>
          <cell r="I1589">
            <v>6083837</v>
          </cell>
        </row>
        <row r="1590">
          <cell r="A1590" t="str">
            <v>9250817</v>
          </cell>
          <cell r="B1590" t="str">
            <v>김　영　순</v>
          </cell>
          <cell r="C1590" t="str">
            <v>9250817김　영　순</v>
          </cell>
          <cell r="D1590" t="str">
            <v>CH40</v>
          </cell>
          <cell r="E1590" t="str">
            <v>객실2(KALl)</v>
          </cell>
          <cell r="F1590" t="str">
            <v>2420</v>
          </cell>
          <cell r="G1590" t="e">
            <v>#N/A</v>
          </cell>
          <cell r="H1590" t="str">
            <v>19920416</v>
          </cell>
          <cell r="I1590">
            <v>7363318</v>
          </cell>
          <cell r="J1590" t="str">
            <v>8 월</v>
          </cell>
          <cell r="K1590">
            <v>8971278</v>
          </cell>
        </row>
        <row r="1591">
          <cell r="A1591" t="str">
            <v>9352225</v>
          </cell>
          <cell r="B1591" t="str">
            <v>김　영　옥</v>
          </cell>
          <cell r="C1591" t="str">
            <v>9352225김　영　옥</v>
          </cell>
          <cell r="D1591" t="str">
            <v>CH40</v>
          </cell>
          <cell r="E1591" t="str">
            <v>객실2(KALl)</v>
          </cell>
          <cell r="F1591" t="str">
            <v>2420</v>
          </cell>
          <cell r="G1591" t="str">
            <v>2420</v>
          </cell>
          <cell r="H1591" t="str">
            <v>19931216</v>
          </cell>
          <cell r="I1591">
            <v>5751153</v>
          </cell>
        </row>
        <row r="1592">
          <cell r="A1592" t="str">
            <v>9352080</v>
          </cell>
          <cell r="B1592" t="str">
            <v>김　옥　희</v>
          </cell>
          <cell r="C1592" t="str">
            <v>9352080김　옥　희</v>
          </cell>
          <cell r="D1592" t="str">
            <v>CH40</v>
          </cell>
          <cell r="E1592" t="str">
            <v>객실2(KALl)</v>
          </cell>
          <cell r="F1592" t="str">
            <v>2420</v>
          </cell>
          <cell r="G1592" t="str">
            <v>2420</v>
          </cell>
          <cell r="H1592" t="str">
            <v>19931116</v>
          </cell>
          <cell r="I1592">
            <v>5686336</v>
          </cell>
        </row>
        <row r="1593">
          <cell r="A1593" t="str">
            <v>9251752</v>
          </cell>
          <cell r="B1593" t="str">
            <v>김　인　숙</v>
          </cell>
          <cell r="C1593" t="str">
            <v>9251752김　인　숙</v>
          </cell>
          <cell r="D1593" t="str">
            <v>CH40</v>
          </cell>
          <cell r="E1593" t="str">
            <v>객실2(KALl)</v>
          </cell>
          <cell r="F1593" t="str">
            <v>2420</v>
          </cell>
          <cell r="G1593" t="str">
            <v>2420</v>
          </cell>
          <cell r="H1593" t="str">
            <v>19920801</v>
          </cell>
          <cell r="I1593">
            <v>7096695</v>
          </cell>
        </row>
        <row r="1594">
          <cell r="A1594" t="str">
            <v>8201338</v>
          </cell>
          <cell r="B1594" t="str">
            <v>김　재　정</v>
          </cell>
          <cell r="C1594" t="str">
            <v>8201338김　재　정</v>
          </cell>
          <cell r="D1594" t="str">
            <v>CH40</v>
          </cell>
          <cell r="E1594" t="str">
            <v>객실2(KALl)</v>
          </cell>
          <cell r="F1594" t="str">
            <v>2420</v>
          </cell>
          <cell r="G1594" t="str">
            <v>2420</v>
          </cell>
          <cell r="H1594" t="str">
            <v>19821015</v>
          </cell>
          <cell r="I1594">
            <v>29300266</v>
          </cell>
        </row>
        <row r="1595">
          <cell r="A1595" t="str">
            <v>9304053</v>
          </cell>
          <cell r="B1595" t="str">
            <v>김　점　용</v>
          </cell>
          <cell r="C1595" t="str">
            <v>9304053김　점　용</v>
          </cell>
          <cell r="D1595" t="str">
            <v>CH40</v>
          </cell>
          <cell r="E1595" t="str">
            <v>객실2(KALl)</v>
          </cell>
          <cell r="F1595" t="str">
            <v>2420</v>
          </cell>
          <cell r="G1595" t="str">
            <v>2420</v>
          </cell>
          <cell r="H1595" t="str">
            <v>19930701</v>
          </cell>
          <cell r="I1595">
            <v>8498926</v>
          </cell>
        </row>
        <row r="1596">
          <cell r="A1596" t="str">
            <v>8551124</v>
          </cell>
          <cell r="B1596" t="str">
            <v>김　정　애</v>
          </cell>
          <cell r="C1596" t="str">
            <v>8551124김　정　애</v>
          </cell>
          <cell r="D1596" t="str">
            <v>CH40</v>
          </cell>
          <cell r="E1596" t="str">
            <v>객실2(KALl)</v>
          </cell>
          <cell r="F1596" t="str">
            <v>2420</v>
          </cell>
          <cell r="G1596" t="str">
            <v>2420</v>
          </cell>
          <cell r="H1596" t="str">
            <v>19851101</v>
          </cell>
          <cell r="I1596">
            <v>16880269</v>
          </cell>
        </row>
        <row r="1597">
          <cell r="A1597" t="str">
            <v>9350842</v>
          </cell>
          <cell r="B1597" t="str">
            <v>김　진　숙</v>
          </cell>
          <cell r="C1597" t="str">
            <v>9350842김　진　숙</v>
          </cell>
          <cell r="D1597" t="str">
            <v>CH40</v>
          </cell>
          <cell r="E1597" t="str">
            <v>객실2(KALl)</v>
          </cell>
          <cell r="F1597" t="str">
            <v>2420</v>
          </cell>
          <cell r="G1597" t="str">
            <v>2420</v>
          </cell>
          <cell r="H1597" t="str">
            <v>19930601</v>
          </cell>
          <cell r="I1597">
            <v>6223210</v>
          </cell>
        </row>
        <row r="1598">
          <cell r="A1598" t="str">
            <v>9451877</v>
          </cell>
          <cell r="B1598" t="str">
            <v>김　진　자</v>
          </cell>
          <cell r="C1598" t="str">
            <v>9451877김　진　자</v>
          </cell>
          <cell r="D1598" t="str">
            <v>CH40</v>
          </cell>
          <cell r="E1598" t="str">
            <v>객실2(KALl)</v>
          </cell>
          <cell r="F1598" t="str">
            <v>2420</v>
          </cell>
          <cell r="G1598" t="str">
            <v>2420</v>
          </cell>
          <cell r="H1598" t="str">
            <v>19940901</v>
          </cell>
          <cell r="I1598">
            <v>4933164</v>
          </cell>
        </row>
        <row r="1599">
          <cell r="A1599" t="str">
            <v>9550495</v>
          </cell>
          <cell r="B1599" t="str">
            <v>김　춘　심</v>
          </cell>
          <cell r="C1599" t="str">
            <v>9550495김　춘　심</v>
          </cell>
          <cell r="D1599" t="str">
            <v>CH40</v>
          </cell>
          <cell r="E1599" t="str">
            <v>객실2(KALl)</v>
          </cell>
          <cell r="F1599" t="str">
            <v>2420</v>
          </cell>
          <cell r="G1599" t="str">
            <v>2420</v>
          </cell>
          <cell r="H1599" t="str">
            <v>19950916</v>
          </cell>
          <cell r="I1599">
            <v>3850313</v>
          </cell>
        </row>
        <row r="1600">
          <cell r="A1600" t="str">
            <v>9051996</v>
          </cell>
          <cell r="B1600" t="str">
            <v>김　필　년</v>
          </cell>
          <cell r="C1600" t="str">
            <v>9051996김　필　년</v>
          </cell>
          <cell r="D1600" t="str">
            <v>CH40</v>
          </cell>
          <cell r="E1600" t="str">
            <v>객실2(KALl)</v>
          </cell>
          <cell r="F1600" t="str">
            <v>2420</v>
          </cell>
          <cell r="G1600" t="str">
            <v>2420</v>
          </cell>
          <cell r="H1600" t="str">
            <v>19901220</v>
          </cell>
          <cell r="I1600">
            <v>9643290</v>
          </cell>
        </row>
        <row r="1601">
          <cell r="A1601" t="str">
            <v>9351371</v>
          </cell>
          <cell r="B1601" t="str">
            <v>김　현　아</v>
          </cell>
          <cell r="C1601" t="str">
            <v>9351371김　현　아</v>
          </cell>
          <cell r="D1601" t="str">
            <v>CH40</v>
          </cell>
          <cell r="E1601" t="str">
            <v>객실2(KALl)</v>
          </cell>
          <cell r="F1601" t="str">
            <v>2420</v>
          </cell>
          <cell r="G1601" t="str">
            <v>2420</v>
          </cell>
          <cell r="H1601" t="str">
            <v>19930716</v>
          </cell>
          <cell r="I1601">
            <v>6827765</v>
          </cell>
        </row>
        <row r="1602">
          <cell r="A1602" t="str">
            <v>8902822</v>
          </cell>
          <cell r="B1602" t="str">
            <v>김　호　태</v>
          </cell>
          <cell r="C1602" t="str">
            <v>8902822김　호　태</v>
          </cell>
          <cell r="D1602" t="str">
            <v>CH40</v>
          </cell>
          <cell r="E1602" t="str">
            <v>객실2(KALl)</v>
          </cell>
          <cell r="F1602" t="str">
            <v>2420</v>
          </cell>
          <cell r="G1602" t="str">
            <v>2420</v>
          </cell>
          <cell r="H1602" t="str">
            <v>19890313</v>
          </cell>
          <cell r="I1602">
            <v>15909190</v>
          </cell>
        </row>
        <row r="1603">
          <cell r="A1603" t="str">
            <v>9450606</v>
          </cell>
          <cell r="B1603" t="str">
            <v>김　회　윤</v>
          </cell>
          <cell r="C1603" t="str">
            <v>9450606김　회　윤</v>
          </cell>
          <cell r="D1603" t="str">
            <v>CH40</v>
          </cell>
          <cell r="E1603" t="str">
            <v>객실2(KALl)</v>
          </cell>
          <cell r="F1603" t="str">
            <v>2420</v>
          </cell>
          <cell r="G1603" t="str">
            <v>2420</v>
          </cell>
          <cell r="H1603" t="str">
            <v>19940401</v>
          </cell>
          <cell r="I1603">
            <v>5337480</v>
          </cell>
        </row>
        <row r="1604">
          <cell r="A1604" t="str">
            <v>8450910</v>
          </cell>
          <cell r="B1604" t="str">
            <v>남　기　갑</v>
          </cell>
          <cell r="C1604" t="str">
            <v>8450910남　기　갑</v>
          </cell>
          <cell r="D1604" t="str">
            <v>CH40</v>
          </cell>
          <cell r="E1604" t="str">
            <v>객실2(KALl)</v>
          </cell>
          <cell r="F1604" t="str">
            <v>2420</v>
          </cell>
          <cell r="G1604" t="str">
            <v>2420</v>
          </cell>
          <cell r="H1604" t="str">
            <v>19840901</v>
          </cell>
          <cell r="I1604">
            <v>18403585</v>
          </cell>
        </row>
        <row r="1605">
          <cell r="A1605" t="str">
            <v>9252551</v>
          </cell>
          <cell r="B1605" t="str">
            <v>남　연　희</v>
          </cell>
          <cell r="C1605" t="str">
            <v>9252551남　연　희</v>
          </cell>
          <cell r="D1605" t="str">
            <v>CH40</v>
          </cell>
          <cell r="E1605" t="str">
            <v>객실2(KALl)</v>
          </cell>
          <cell r="F1605" t="str">
            <v>2420</v>
          </cell>
          <cell r="G1605" t="str">
            <v>2420</v>
          </cell>
          <cell r="H1605" t="str">
            <v>19921201</v>
          </cell>
          <cell r="I1605">
            <v>7492827</v>
          </cell>
        </row>
        <row r="1606">
          <cell r="A1606" t="str">
            <v>9251728</v>
          </cell>
          <cell r="B1606" t="str">
            <v>남　인　숙</v>
          </cell>
          <cell r="C1606" t="str">
            <v>9251728남　인　숙</v>
          </cell>
          <cell r="D1606" t="str">
            <v>CH40</v>
          </cell>
          <cell r="E1606" t="str">
            <v>객실2(KALl)</v>
          </cell>
          <cell r="F1606" t="str">
            <v>2420</v>
          </cell>
          <cell r="G1606" t="str">
            <v>2420</v>
          </cell>
          <cell r="H1606" t="str">
            <v>19920801</v>
          </cell>
          <cell r="I1606">
            <v>7895309</v>
          </cell>
        </row>
        <row r="1607">
          <cell r="A1607" t="str">
            <v>9251717</v>
          </cell>
          <cell r="B1607" t="str">
            <v>노　순　자</v>
          </cell>
          <cell r="C1607" t="str">
            <v>9251717노　순　자</v>
          </cell>
          <cell r="D1607" t="str">
            <v>CH40</v>
          </cell>
          <cell r="E1607" t="str">
            <v>객실2(KALl)</v>
          </cell>
          <cell r="F1607" t="str">
            <v>2420</v>
          </cell>
          <cell r="G1607" t="str">
            <v>2420</v>
          </cell>
          <cell r="H1607" t="str">
            <v>19920801</v>
          </cell>
          <cell r="I1607">
            <v>7960130</v>
          </cell>
        </row>
        <row r="1608">
          <cell r="A1608" t="str">
            <v>8150321</v>
          </cell>
          <cell r="B1608" t="str">
            <v>노　양　단</v>
          </cell>
          <cell r="C1608" t="str">
            <v>8150321노　양　단</v>
          </cell>
          <cell r="D1608" t="str">
            <v>CH40</v>
          </cell>
          <cell r="E1608" t="str">
            <v>객실2(KALl)</v>
          </cell>
          <cell r="F1608" t="str">
            <v>2420</v>
          </cell>
          <cell r="G1608" t="str">
            <v>2420</v>
          </cell>
          <cell r="H1608" t="str">
            <v>19811101</v>
          </cell>
          <cell r="I1608">
            <v>23458849</v>
          </cell>
        </row>
        <row r="1609">
          <cell r="A1609" t="str">
            <v>9450472</v>
          </cell>
          <cell r="B1609" t="str">
            <v>마　금　자</v>
          </cell>
          <cell r="C1609" t="str">
            <v>9450472마　금　자</v>
          </cell>
          <cell r="D1609" t="str">
            <v>CH40</v>
          </cell>
          <cell r="E1609" t="str">
            <v>객실2(KALl)</v>
          </cell>
          <cell r="F1609" t="str">
            <v>2420</v>
          </cell>
          <cell r="G1609" t="str">
            <v>2420</v>
          </cell>
          <cell r="H1609" t="str">
            <v>19940314</v>
          </cell>
          <cell r="I1609">
            <v>5370659</v>
          </cell>
        </row>
        <row r="1610">
          <cell r="A1610" t="str">
            <v>9201420</v>
          </cell>
          <cell r="B1610" t="str">
            <v>문　복　진</v>
          </cell>
          <cell r="C1610" t="str">
            <v>9201420문　복　진</v>
          </cell>
          <cell r="D1610" t="str">
            <v>CH40</v>
          </cell>
          <cell r="E1610" t="str">
            <v>객실2(KALl)</v>
          </cell>
          <cell r="F1610" t="str">
            <v>2420</v>
          </cell>
          <cell r="G1610" t="str">
            <v>2420</v>
          </cell>
          <cell r="H1610" t="str">
            <v>19920401</v>
          </cell>
          <cell r="I1610">
            <v>11013991</v>
          </cell>
        </row>
        <row r="1611">
          <cell r="A1611" t="str">
            <v>9151198</v>
          </cell>
          <cell r="B1611" t="str">
            <v>문　성　자</v>
          </cell>
          <cell r="C1611" t="str">
            <v>9151198문　성　자</v>
          </cell>
          <cell r="D1611" t="str">
            <v>CH40</v>
          </cell>
          <cell r="E1611" t="str">
            <v>객실2(KALl)</v>
          </cell>
          <cell r="F1611" t="str">
            <v>2420</v>
          </cell>
          <cell r="G1611" t="str">
            <v>2420</v>
          </cell>
          <cell r="H1611" t="str">
            <v>19910621</v>
          </cell>
          <cell r="I1611">
            <v>9261275</v>
          </cell>
        </row>
        <row r="1612">
          <cell r="A1612" t="str">
            <v>8451077</v>
          </cell>
          <cell r="B1612" t="str">
            <v>문　정　숙</v>
          </cell>
          <cell r="C1612" t="str">
            <v>8451077문　정　숙</v>
          </cell>
          <cell r="D1612" t="str">
            <v>CH40</v>
          </cell>
          <cell r="E1612" t="str">
            <v>객실2(KALl)</v>
          </cell>
          <cell r="F1612" t="str">
            <v>2420</v>
          </cell>
          <cell r="G1612" t="str">
            <v>2420</v>
          </cell>
          <cell r="H1612" t="str">
            <v>19841115</v>
          </cell>
          <cell r="I1612">
            <v>19234871</v>
          </cell>
        </row>
        <row r="1613">
          <cell r="A1613" t="str">
            <v>9001956</v>
          </cell>
          <cell r="B1613" t="str">
            <v>문　형　진</v>
          </cell>
          <cell r="C1613" t="str">
            <v>9001956문　형　진</v>
          </cell>
          <cell r="D1613" t="str">
            <v>CH40</v>
          </cell>
          <cell r="E1613" t="str">
            <v>객실2(KALl)</v>
          </cell>
          <cell r="F1613" t="str">
            <v>2420</v>
          </cell>
          <cell r="G1613" t="str">
            <v>2420</v>
          </cell>
          <cell r="H1613" t="str">
            <v>19891220</v>
          </cell>
          <cell r="I1613">
            <v>14606151</v>
          </cell>
        </row>
        <row r="1614">
          <cell r="A1614" t="str">
            <v>9151200</v>
          </cell>
          <cell r="B1614" t="str">
            <v>민　경　자</v>
          </cell>
          <cell r="C1614" t="str">
            <v>9151200민　경　자</v>
          </cell>
          <cell r="D1614" t="str">
            <v>CH40</v>
          </cell>
          <cell r="E1614" t="str">
            <v>객실2(KALl)</v>
          </cell>
          <cell r="F1614" t="str">
            <v>2420</v>
          </cell>
          <cell r="G1614" t="str">
            <v>2420</v>
          </cell>
          <cell r="H1614" t="str">
            <v>19910621</v>
          </cell>
          <cell r="I1614">
            <v>8472555</v>
          </cell>
        </row>
        <row r="1615">
          <cell r="A1615" t="str">
            <v>9250176</v>
          </cell>
          <cell r="B1615" t="str">
            <v>박　두　순</v>
          </cell>
          <cell r="C1615" t="str">
            <v>9250176박　두　순</v>
          </cell>
          <cell r="D1615" t="str">
            <v>CH40</v>
          </cell>
          <cell r="E1615" t="str">
            <v>객실2(KALl)</v>
          </cell>
          <cell r="F1615" t="str">
            <v>2420</v>
          </cell>
          <cell r="G1615" t="str">
            <v>2420</v>
          </cell>
          <cell r="H1615" t="str">
            <v>19920210</v>
          </cell>
          <cell r="I1615">
            <v>8451423</v>
          </cell>
        </row>
        <row r="1616">
          <cell r="A1616" t="str">
            <v>8450684</v>
          </cell>
          <cell r="B1616" t="str">
            <v>박　명　숙</v>
          </cell>
          <cell r="C1616" t="str">
            <v>8450684박　명　숙</v>
          </cell>
          <cell r="D1616" t="str">
            <v>CH40</v>
          </cell>
          <cell r="E1616" t="str">
            <v>객실2(KALl)</v>
          </cell>
          <cell r="F1616" t="str">
            <v>2420</v>
          </cell>
          <cell r="G1616" t="str">
            <v>2420</v>
          </cell>
          <cell r="H1616" t="str">
            <v>19840801</v>
          </cell>
          <cell r="I1616">
            <v>19933735</v>
          </cell>
        </row>
        <row r="1617">
          <cell r="A1617" t="str">
            <v>9351821</v>
          </cell>
          <cell r="B1617" t="str">
            <v>박　미　순</v>
          </cell>
          <cell r="C1617" t="str">
            <v>9351821박　미　순</v>
          </cell>
          <cell r="D1617" t="str">
            <v>CH40</v>
          </cell>
          <cell r="E1617" t="str">
            <v>객실2(KALl)</v>
          </cell>
          <cell r="F1617" t="str">
            <v>2420</v>
          </cell>
          <cell r="G1617" t="str">
            <v>2420</v>
          </cell>
          <cell r="H1617" t="str">
            <v>19931018</v>
          </cell>
          <cell r="I1617">
            <v>5738214</v>
          </cell>
        </row>
        <row r="1618">
          <cell r="A1618" t="str">
            <v>9250143</v>
          </cell>
          <cell r="B1618" t="str">
            <v>박　삼　순</v>
          </cell>
          <cell r="C1618" t="str">
            <v>9250143박　삼　순</v>
          </cell>
          <cell r="D1618" t="str">
            <v>CH40</v>
          </cell>
          <cell r="E1618" t="str">
            <v>객실2(KALl)</v>
          </cell>
          <cell r="F1618" t="str">
            <v>2420</v>
          </cell>
          <cell r="G1618" t="str">
            <v>2420</v>
          </cell>
          <cell r="H1618" t="str">
            <v>19920210</v>
          </cell>
          <cell r="I1618">
            <v>7533359</v>
          </cell>
        </row>
        <row r="1619">
          <cell r="A1619" t="str">
            <v>9151075</v>
          </cell>
          <cell r="B1619" t="str">
            <v>박　성　옥</v>
          </cell>
          <cell r="C1619" t="str">
            <v>9151075박　성　옥</v>
          </cell>
          <cell r="D1619" t="str">
            <v>CH40</v>
          </cell>
          <cell r="E1619" t="str">
            <v>객실2(KALl)</v>
          </cell>
          <cell r="F1619" t="str">
            <v>2420</v>
          </cell>
          <cell r="G1619" t="str">
            <v>2420</v>
          </cell>
          <cell r="H1619" t="str">
            <v>19910508</v>
          </cell>
          <cell r="I1619">
            <v>9219424</v>
          </cell>
        </row>
        <row r="1620">
          <cell r="A1620" t="str">
            <v>9152752</v>
          </cell>
          <cell r="B1620" t="str">
            <v>박　옥　자</v>
          </cell>
          <cell r="C1620" t="str">
            <v>9152752박　옥　자</v>
          </cell>
          <cell r="D1620" t="str">
            <v>CH40</v>
          </cell>
          <cell r="E1620" t="str">
            <v>객실2(KALl)</v>
          </cell>
          <cell r="F1620" t="str">
            <v>2420</v>
          </cell>
          <cell r="G1620" t="str">
            <v>2420</v>
          </cell>
          <cell r="H1620" t="str">
            <v>19911116</v>
          </cell>
          <cell r="I1620">
            <v>8042480</v>
          </cell>
        </row>
        <row r="1621">
          <cell r="A1621" t="str">
            <v>9150390</v>
          </cell>
          <cell r="B1621" t="str">
            <v>박　을　순</v>
          </cell>
          <cell r="C1621" t="str">
            <v>9150390박　을　순</v>
          </cell>
          <cell r="D1621" t="str">
            <v>CH40</v>
          </cell>
          <cell r="E1621" t="str">
            <v>객실2(KALl)</v>
          </cell>
          <cell r="F1621" t="str">
            <v>2420</v>
          </cell>
          <cell r="G1621" t="str">
            <v>2420</v>
          </cell>
          <cell r="H1621" t="str">
            <v>19910220</v>
          </cell>
          <cell r="I1621">
            <v>9620538</v>
          </cell>
        </row>
        <row r="1622">
          <cell r="A1622" t="str">
            <v>9252595</v>
          </cell>
          <cell r="B1622" t="str">
            <v>박　인　숙</v>
          </cell>
          <cell r="C1622" t="str">
            <v>9252595박　인　숙</v>
          </cell>
          <cell r="D1622" t="str">
            <v>CH40</v>
          </cell>
          <cell r="E1622" t="str">
            <v>객실2(KALl)</v>
          </cell>
          <cell r="F1622" t="str">
            <v>2420</v>
          </cell>
          <cell r="G1622" t="str">
            <v>2420</v>
          </cell>
          <cell r="H1622" t="str">
            <v>19921201</v>
          </cell>
          <cell r="I1622">
            <v>7469411</v>
          </cell>
        </row>
        <row r="1623">
          <cell r="A1623" t="str">
            <v>9252191</v>
          </cell>
          <cell r="B1623" t="str">
            <v>박　종　순</v>
          </cell>
          <cell r="C1623" t="str">
            <v>9252191박　종　순</v>
          </cell>
          <cell r="D1623" t="str">
            <v>CH40</v>
          </cell>
          <cell r="E1623" t="str">
            <v>객실2(KALl)</v>
          </cell>
          <cell r="F1623" t="str">
            <v>2420</v>
          </cell>
          <cell r="G1623" t="str">
            <v>2420</v>
          </cell>
          <cell r="H1623" t="str">
            <v>19920907</v>
          </cell>
          <cell r="I1623">
            <v>7125144</v>
          </cell>
        </row>
        <row r="1624">
          <cell r="A1624" t="str">
            <v>8550415</v>
          </cell>
          <cell r="B1624" t="str">
            <v>박　종　오</v>
          </cell>
          <cell r="C1624" t="str">
            <v>8550415박　종　오</v>
          </cell>
          <cell r="D1624" t="str">
            <v>CH40</v>
          </cell>
          <cell r="E1624" t="str">
            <v>객실2(KALl)</v>
          </cell>
          <cell r="F1624" t="str">
            <v>2420</v>
          </cell>
          <cell r="G1624" t="str">
            <v>2420</v>
          </cell>
          <cell r="H1624" t="str">
            <v>19850416</v>
          </cell>
          <cell r="I1624">
            <v>18082711</v>
          </cell>
        </row>
        <row r="1625">
          <cell r="A1625" t="str">
            <v>9152908</v>
          </cell>
          <cell r="B1625" t="str">
            <v>배　영　순</v>
          </cell>
          <cell r="C1625" t="str">
            <v>9152908배　영　순</v>
          </cell>
          <cell r="D1625" t="str">
            <v>CH40</v>
          </cell>
          <cell r="E1625" t="str">
            <v>객실2(KALl)</v>
          </cell>
          <cell r="F1625" t="str">
            <v>2420</v>
          </cell>
          <cell r="G1625" t="str">
            <v>2420</v>
          </cell>
          <cell r="H1625" t="str">
            <v>19911116</v>
          </cell>
          <cell r="I1625">
            <v>7772388</v>
          </cell>
        </row>
        <row r="1626">
          <cell r="A1626" t="str">
            <v>9152730</v>
          </cell>
          <cell r="B1626" t="str">
            <v>백　덕　순</v>
          </cell>
          <cell r="C1626" t="str">
            <v>9152730백　덕　순</v>
          </cell>
          <cell r="D1626" t="str">
            <v>CH40</v>
          </cell>
          <cell r="E1626" t="str">
            <v>객실2(KALl)</v>
          </cell>
          <cell r="F1626" t="str">
            <v>2420</v>
          </cell>
          <cell r="G1626" t="str">
            <v>2420</v>
          </cell>
          <cell r="H1626" t="str">
            <v>19911116</v>
          </cell>
          <cell r="I1626">
            <v>7997495</v>
          </cell>
        </row>
        <row r="1627">
          <cell r="A1627" t="str">
            <v>7300214</v>
          </cell>
          <cell r="B1627" t="str">
            <v>백　성　현</v>
          </cell>
          <cell r="C1627" t="str">
            <v>7300214백　성　현</v>
          </cell>
          <cell r="D1627" t="str">
            <v>CH40</v>
          </cell>
          <cell r="E1627" t="str">
            <v>객실2(KALl)</v>
          </cell>
          <cell r="F1627" t="str">
            <v>2420</v>
          </cell>
          <cell r="G1627" t="str">
            <v>2420</v>
          </cell>
          <cell r="H1627" t="str">
            <v>19730414</v>
          </cell>
          <cell r="I1627">
            <v>66927741</v>
          </cell>
        </row>
        <row r="1628">
          <cell r="A1628" t="str">
            <v>9450810</v>
          </cell>
          <cell r="B1628" t="str">
            <v>선　정　숙</v>
          </cell>
          <cell r="C1628" t="str">
            <v>9450810선　정　숙</v>
          </cell>
          <cell r="D1628" t="str">
            <v>CH40</v>
          </cell>
          <cell r="E1628" t="str">
            <v>객실2(KALl)</v>
          </cell>
          <cell r="F1628" t="str">
            <v>2420</v>
          </cell>
          <cell r="G1628" t="str">
            <v>2420</v>
          </cell>
          <cell r="H1628" t="str">
            <v>19940418</v>
          </cell>
          <cell r="I1628">
            <v>5222669</v>
          </cell>
        </row>
        <row r="1629">
          <cell r="A1629" t="str">
            <v>8350637</v>
          </cell>
          <cell r="B1629" t="str">
            <v>송　복　순</v>
          </cell>
          <cell r="C1629" t="str">
            <v>8350637송　복　순</v>
          </cell>
          <cell r="D1629" t="str">
            <v>CH40</v>
          </cell>
          <cell r="E1629" t="str">
            <v>객실2(KALl)</v>
          </cell>
          <cell r="F1629" t="str">
            <v>2420</v>
          </cell>
          <cell r="G1629" t="str">
            <v>2420</v>
          </cell>
          <cell r="H1629" t="str">
            <v>19831021</v>
          </cell>
          <cell r="I1629">
            <v>18147715</v>
          </cell>
        </row>
        <row r="1630">
          <cell r="A1630" t="str">
            <v>9153022</v>
          </cell>
          <cell r="B1630" t="str">
            <v>송　태　분</v>
          </cell>
          <cell r="C1630" t="str">
            <v>9153022송　태　분</v>
          </cell>
          <cell r="D1630" t="str">
            <v>CH40</v>
          </cell>
          <cell r="E1630" t="str">
            <v>객실2(KALl)</v>
          </cell>
          <cell r="F1630" t="str">
            <v>2420</v>
          </cell>
          <cell r="G1630" t="str">
            <v>2420</v>
          </cell>
          <cell r="H1630" t="str">
            <v>19911216</v>
          </cell>
          <cell r="I1630">
            <v>8627184</v>
          </cell>
        </row>
        <row r="1631">
          <cell r="A1631" t="str">
            <v>8550123</v>
          </cell>
          <cell r="B1631" t="str">
            <v>신　옥　자</v>
          </cell>
          <cell r="C1631" t="str">
            <v>8550123신　옥　자</v>
          </cell>
          <cell r="D1631" t="str">
            <v>CH40</v>
          </cell>
          <cell r="E1631" t="str">
            <v>객실2(KALl)</v>
          </cell>
          <cell r="F1631" t="str">
            <v>2420</v>
          </cell>
          <cell r="G1631" t="str">
            <v>2420</v>
          </cell>
          <cell r="H1631" t="str">
            <v>19850215</v>
          </cell>
          <cell r="I1631">
            <v>17871290</v>
          </cell>
        </row>
        <row r="1632">
          <cell r="A1632" t="str">
            <v>8701975</v>
          </cell>
          <cell r="B1632" t="str">
            <v>신　인　두</v>
          </cell>
          <cell r="C1632" t="str">
            <v>8701975신　인　두</v>
          </cell>
          <cell r="D1632" t="str">
            <v>CH40</v>
          </cell>
          <cell r="E1632" t="str">
            <v>객실2(KALl)</v>
          </cell>
          <cell r="F1632" t="str">
            <v>2420</v>
          </cell>
          <cell r="G1632" t="str">
            <v>2420</v>
          </cell>
          <cell r="H1632" t="str">
            <v>19870831</v>
          </cell>
          <cell r="I1632">
            <v>19729614</v>
          </cell>
        </row>
        <row r="1633">
          <cell r="A1633" t="str">
            <v>8350187</v>
          </cell>
          <cell r="B1633" t="str">
            <v>신　재　월</v>
          </cell>
          <cell r="C1633" t="str">
            <v>8350187신　재　월</v>
          </cell>
          <cell r="D1633" t="str">
            <v>CH40</v>
          </cell>
          <cell r="E1633" t="str">
            <v>객실2(KALl)</v>
          </cell>
          <cell r="F1633" t="str">
            <v>2420</v>
          </cell>
          <cell r="G1633" t="str">
            <v>2420</v>
          </cell>
          <cell r="H1633" t="str">
            <v>19830615</v>
          </cell>
          <cell r="I1633">
            <v>21568350</v>
          </cell>
        </row>
        <row r="1634">
          <cell r="A1634" t="str">
            <v>9350820</v>
          </cell>
          <cell r="B1634" t="str">
            <v>신　형　순</v>
          </cell>
          <cell r="C1634" t="str">
            <v>9350820신　형　순</v>
          </cell>
          <cell r="D1634" t="str">
            <v>CH40</v>
          </cell>
          <cell r="E1634" t="str">
            <v>객실2(KALl)</v>
          </cell>
          <cell r="F1634" t="str">
            <v>2420</v>
          </cell>
          <cell r="G1634" t="str">
            <v>2420</v>
          </cell>
          <cell r="H1634" t="str">
            <v>19930601</v>
          </cell>
          <cell r="I1634">
            <v>6261522</v>
          </cell>
        </row>
        <row r="1635">
          <cell r="A1635" t="str">
            <v>9150388</v>
          </cell>
          <cell r="B1635" t="str">
            <v>심　인　숙</v>
          </cell>
          <cell r="C1635" t="str">
            <v>9150388심　인　숙</v>
          </cell>
          <cell r="D1635" t="str">
            <v>CH40</v>
          </cell>
          <cell r="E1635" t="str">
            <v>객실2(KALl)</v>
          </cell>
          <cell r="F1635" t="str">
            <v>2420</v>
          </cell>
          <cell r="G1635" t="str">
            <v>2420</v>
          </cell>
          <cell r="H1635" t="str">
            <v>19910220</v>
          </cell>
          <cell r="I1635">
            <v>9705596</v>
          </cell>
        </row>
        <row r="1636">
          <cell r="A1636" t="str">
            <v>9650160</v>
          </cell>
          <cell r="B1636" t="str">
            <v>심　허　순</v>
          </cell>
          <cell r="C1636" t="str">
            <v>9650160심　허　순</v>
          </cell>
          <cell r="D1636" t="str">
            <v>CH40</v>
          </cell>
          <cell r="E1636" t="str">
            <v>객실2(KALl)</v>
          </cell>
          <cell r="F1636" t="str">
            <v>2420</v>
          </cell>
          <cell r="G1636" t="str">
            <v>2420</v>
          </cell>
          <cell r="H1636" t="str">
            <v>19960501</v>
          </cell>
          <cell r="I1636">
            <v>3214440</v>
          </cell>
        </row>
        <row r="1637">
          <cell r="A1637" t="str">
            <v>9251065</v>
          </cell>
          <cell r="B1637" t="str">
            <v>안　복　실</v>
          </cell>
          <cell r="C1637" t="str">
            <v>9251065안　복　실</v>
          </cell>
          <cell r="D1637" t="str">
            <v>CH40</v>
          </cell>
          <cell r="E1637" t="str">
            <v>객실2(KALl)</v>
          </cell>
          <cell r="F1637" t="str">
            <v>2420</v>
          </cell>
          <cell r="G1637" t="str">
            <v>2420</v>
          </cell>
          <cell r="H1637" t="str">
            <v>19920501</v>
          </cell>
          <cell r="I1637">
            <v>7378681</v>
          </cell>
        </row>
        <row r="1638">
          <cell r="A1638" t="str">
            <v>9252202</v>
          </cell>
          <cell r="B1638" t="str">
            <v>안　선　희</v>
          </cell>
          <cell r="C1638" t="str">
            <v>9252202안　선　희</v>
          </cell>
          <cell r="D1638" t="str">
            <v>CH40</v>
          </cell>
          <cell r="E1638" t="str">
            <v>객실2(KALl)</v>
          </cell>
          <cell r="F1638" t="str">
            <v>2420</v>
          </cell>
          <cell r="G1638" t="str">
            <v>2420</v>
          </cell>
          <cell r="H1638" t="str">
            <v>19920907</v>
          </cell>
          <cell r="I1638">
            <v>6917026</v>
          </cell>
        </row>
        <row r="1639">
          <cell r="A1639" t="str">
            <v>9351696</v>
          </cell>
          <cell r="B1639" t="str">
            <v>양　경　순</v>
          </cell>
          <cell r="C1639" t="str">
            <v>9351696양　경　순</v>
          </cell>
          <cell r="D1639" t="str">
            <v>CH40</v>
          </cell>
          <cell r="E1639" t="str">
            <v>객실2(KALl)</v>
          </cell>
          <cell r="F1639" t="str">
            <v>2420</v>
          </cell>
          <cell r="G1639" t="str">
            <v>2420</v>
          </cell>
          <cell r="H1639" t="str">
            <v>19930916</v>
          </cell>
          <cell r="I1639">
            <v>5810419</v>
          </cell>
        </row>
        <row r="1640">
          <cell r="A1640" t="str">
            <v>9305807</v>
          </cell>
          <cell r="B1640" t="str">
            <v>양　한　용</v>
          </cell>
          <cell r="C1640" t="str">
            <v>9305807양　한　용</v>
          </cell>
          <cell r="D1640" t="str">
            <v>CH40</v>
          </cell>
          <cell r="E1640" t="str">
            <v>객실2(KALl)</v>
          </cell>
          <cell r="F1640" t="str">
            <v>2420</v>
          </cell>
          <cell r="G1640" t="str">
            <v>2420</v>
          </cell>
          <cell r="H1640" t="str">
            <v>19930901</v>
          </cell>
          <cell r="I1640">
            <v>7095241</v>
          </cell>
        </row>
        <row r="1641">
          <cell r="A1641" t="str">
            <v>9251436</v>
          </cell>
          <cell r="B1641" t="str">
            <v>양　희　옥</v>
          </cell>
          <cell r="C1641" t="str">
            <v>9251436양　희　옥</v>
          </cell>
          <cell r="D1641" t="str">
            <v>CH40</v>
          </cell>
          <cell r="E1641" t="str">
            <v>객실2(KALl)</v>
          </cell>
          <cell r="F1641" t="str">
            <v>2420</v>
          </cell>
          <cell r="G1641" t="str">
            <v>2420</v>
          </cell>
          <cell r="H1641" t="str">
            <v>19920701</v>
          </cell>
          <cell r="I1641">
            <v>8057609</v>
          </cell>
        </row>
        <row r="1642">
          <cell r="A1642" t="str">
            <v>9451855</v>
          </cell>
          <cell r="B1642" t="str">
            <v>엄　춘　희</v>
          </cell>
          <cell r="C1642" t="str">
            <v>9451855엄　춘　희</v>
          </cell>
          <cell r="D1642" t="str">
            <v>CH40</v>
          </cell>
          <cell r="E1642" t="str">
            <v>객실2(KALl)</v>
          </cell>
          <cell r="F1642" t="str">
            <v>2420</v>
          </cell>
          <cell r="G1642" t="str">
            <v>2420</v>
          </cell>
          <cell r="H1642" t="str">
            <v>19940901</v>
          </cell>
          <cell r="I1642">
            <v>4900929</v>
          </cell>
        </row>
        <row r="1643">
          <cell r="A1643" t="str">
            <v>9451888</v>
          </cell>
          <cell r="B1643" t="str">
            <v>오　정　순</v>
          </cell>
          <cell r="C1643" t="str">
            <v>9451888오　정　순</v>
          </cell>
          <cell r="D1643" t="str">
            <v>CH40</v>
          </cell>
          <cell r="E1643" t="str">
            <v>객실2(KALl)</v>
          </cell>
          <cell r="F1643" t="str">
            <v>2420</v>
          </cell>
          <cell r="G1643" t="str">
            <v>2420</v>
          </cell>
          <cell r="H1643" t="str">
            <v>19940901</v>
          </cell>
          <cell r="I1643">
            <v>4883972</v>
          </cell>
        </row>
        <row r="1644">
          <cell r="A1644" t="str">
            <v>9251076</v>
          </cell>
          <cell r="B1644" t="str">
            <v>유　재　우</v>
          </cell>
          <cell r="C1644" t="str">
            <v>9251076유　재　우</v>
          </cell>
          <cell r="D1644" t="str">
            <v>CH40</v>
          </cell>
          <cell r="E1644" t="str">
            <v>객실2(KALl)</v>
          </cell>
          <cell r="F1644" t="str">
            <v>2420</v>
          </cell>
          <cell r="G1644" t="str">
            <v>2420</v>
          </cell>
          <cell r="H1644" t="str">
            <v>19920501</v>
          </cell>
          <cell r="I1644">
            <v>7394169</v>
          </cell>
        </row>
        <row r="1645">
          <cell r="A1645" t="str">
            <v>9252472</v>
          </cell>
          <cell r="B1645" t="str">
            <v>유　정　애</v>
          </cell>
          <cell r="C1645" t="str">
            <v>9252472유　정　애</v>
          </cell>
          <cell r="D1645" t="str">
            <v>CH40</v>
          </cell>
          <cell r="E1645" t="str">
            <v>객실2(KALl)</v>
          </cell>
          <cell r="F1645" t="str">
            <v>2420</v>
          </cell>
          <cell r="G1645" t="str">
            <v>2420</v>
          </cell>
          <cell r="H1645" t="str">
            <v>19921101</v>
          </cell>
          <cell r="I1645">
            <v>6875542</v>
          </cell>
        </row>
        <row r="1646">
          <cell r="A1646" t="str">
            <v>9150783</v>
          </cell>
          <cell r="B1646" t="str">
            <v>유　제　순</v>
          </cell>
          <cell r="C1646" t="str">
            <v>9150783유　제　순</v>
          </cell>
          <cell r="D1646" t="str">
            <v>CH40</v>
          </cell>
          <cell r="E1646" t="str">
            <v>객실2(KALl)</v>
          </cell>
          <cell r="F1646" t="str">
            <v>2420</v>
          </cell>
          <cell r="G1646" t="str">
            <v>2420</v>
          </cell>
          <cell r="H1646" t="str">
            <v>19910411</v>
          </cell>
          <cell r="I1646">
            <v>9727875</v>
          </cell>
        </row>
        <row r="1647">
          <cell r="A1647" t="str">
            <v>9650057</v>
          </cell>
          <cell r="B1647" t="str">
            <v>윤　선　희</v>
          </cell>
          <cell r="C1647" t="str">
            <v>9650057윤　선　희</v>
          </cell>
          <cell r="D1647" t="str">
            <v>CH40</v>
          </cell>
          <cell r="E1647" t="str">
            <v>객실2(KALl)</v>
          </cell>
          <cell r="F1647" t="str">
            <v>2420</v>
          </cell>
          <cell r="G1647" t="str">
            <v>2420</v>
          </cell>
          <cell r="H1647" t="str">
            <v>19960122</v>
          </cell>
          <cell r="I1647">
            <v>3528992</v>
          </cell>
        </row>
        <row r="1648">
          <cell r="A1648" t="str">
            <v>8750733</v>
          </cell>
          <cell r="B1648" t="str">
            <v>윤　점　순</v>
          </cell>
          <cell r="C1648" t="str">
            <v>8750733윤　점　순</v>
          </cell>
          <cell r="D1648" t="str">
            <v>CH40</v>
          </cell>
          <cell r="E1648" t="str">
            <v>객실2(KALl)</v>
          </cell>
          <cell r="F1648" t="str">
            <v>2420</v>
          </cell>
          <cell r="G1648" t="e">
            <v>#N/A</v>
          </cell>
          <cell r="H1648" t="str">
            <v>19870611</v>
          </cell>
          <cell r="I1648">
            <v>13452905</v>
          </cell>
          <cell r="J1648" t="str">
            <v>9 월</v>
          </cell>
          <cell r="K1648">
            <v>26273332</v>
          </cell>
        </row>
        <row r="1649">
          <cell r="A1649" t="str">
            <v>8451145</v>
          </cell>
          <cell r="B1649" t="str">
            <v>윤　진　순</v>
          </cell>
          <cell r="C1649" t="str">
            <v>8451145윤　진　순</v>
          </cell>
          <cell r="D1649" t="str">
            <v>CH40</v>
          </cell>
          <cell r="E1649" t="str">
            <v>객실2(KALl)</v>
          </cell>
          <cell r="F1649" t="str">
            <v>2420</v>
          </cell>
          <cell r="G1649" t="str">
            <v>2420</v>
          </cell>
          <cell r="H1649" t="str">
            <v>19841115</v>
          </cell>
          <cell r="I1649">
            <v>19511015</v>
          </cell>
        </row>
        <row r="1650">
          <cell r="A1650" t="str">
            <v>7100335</v>
          </cell>
          <cell r="B1650" t="str">
            <v>이　대　길</v>
          </cell>
          <cell r="C1650" t="str">
            <v>7100335이　대　길</v>
          </cell>
          <cell r="D1650" t="str">
            <v>CH40</v>
          </cell>
          <cell r="E1650" t="str">
            <v>객실2(KALl)</v>
          </cell>
          <cell r="F1650" t="str">
            <v>2420</v>
          </cell>
          <cell r="G1650" t="str">
            <v>2420</v>
          </cell>
          <cell r="H1650" t="str">
            <v>19710401</v>
          </cell>
          <cell r="I1650">
            <v>56270921</v>
          </cell>
        </row>
        <row r="1651">
          <cell r="A1651" t="str">
            <v>8551157</v>
          </cell>
          <cell r="B1651" t="str">
            <v>이　명　숙</v>
          </cell>
          <cell r="C1651" t="str">
            <v>8551157이　명　숙</v>
          </cell>
          <cell r="D1651" t="str">
            <v>CH40</v>
          </cell>
          <cell r="E1651" t="str">
            <v>객실2(KALl)</v>
          </cell>
          <cell r="F1651" t="str">
            <v>2420</v>
          </cell>
          <cell r="G1651" t="str">
            <v>2420</v>
          </cell>
          <cell r="H1651" t="str">
            <v>19851101</v>
          </cell>
          <cell r="I1651">
            <v>18332822</v>
          </cell>
        </row>
        <row r="1652">
          <cell r="A1652" t="str">
            <v>8750902</v>
          </cell>
          <cell r="B1652" t="str">
            <v>이　명　희</v>
          </cell>
          <cell r="C1652" t="str">
            <v>8750902이　명　희</v>
          </cell>
          <cell r="D1652" t="str">
            <v>CH40</v>
          </cell>
          <cell r="E1652" t="str">
            <v>객실2(KALl)</v>
          </cell>
          <cell r="F1652" t="str">
            <v>2420</v>
          </cell>
          <cell r="G1652" t="str">
            <v>2420</v>
          </cell>
          <cell r="H1652" t="str">
            <v>19870721</v>
          </cell>
          <cell r="I1652">
            <v>15240470</v>
          </cell>
        </row>
        <row r="1653">
          <cell r="A1653" t="str">
            <v>9051210</v>
          </cell>
          <cell r="B1653" t="str">
            <v>이　복　순</v>
          </cell>
          <cell r="C1653" t="str">
            <v>9051210이　복　순</v>
          </cell>
          <cell r="D1653" t="str">
            <v>CH40</v>
          </cell>
          <cell r="E1653" t="str">
            <v>객실2(KALl)</v>
          </cell>
          <cell r="F1653" t="str">
            <v>2420</v>
          </cell>
          <cell r="G1653" t="str">
            <v>2432</v>
          </cell>
          <cell r="H1653" t="str">
            <v>19900801</v>
          </cell>
          <cell r="I1653">
            <v>10185965</v>
          </cell>
        </row>
        <row r="1654">
          <cell r="A1654" t="str">
            <v>8650462</v>
          </cell>
          <cell r="B1654" t="str">
            <v>이　복　임</v>
          </cell>
          <cell r="C1654" t="str">
            <v>8650462이　복　임</v>
          </cell>
          <cell r="D1654" t="str">
            <v>CH40</v>
          </cell>
          <cell r="E1654" t="str">
            <v>객실2(KALl)</v>
          </cell>
          <cell r="F1654" t="str">
            <v>2420</v>
          </cell>
          <cell r="G1654" t="str">
            <v>2420</v>
          </cell>
          <cell r="H1654" t="str">
            <v>19860529</v>
          </cell>
          <cell r="I1654">
            <v>16060419</v>
          </cell>
        </row>
        <row r="1655">
          <cell r="A1655" t="str">
            <v>9153101</v>
          </cell>
          <cell r="B1655" t="str">
            <v>이　상　순</v>
          </cell>
          <cell r="C1655" t="str">
            <v>9153101이　상　순</v>
          </cell>
          <cell r="D1655" t="str">
            <v>CH40</v>
          </cell>
          <cell r="E1655" t="str">
            <v>객실2(KALl)</v>
          </cell>
          <cell r="F1655" t="str">
            <v>2420</v>
          </cell>
          <cell r="G1655" t="str">
            <v>2420</v>
          </cell>
          <cell r="H1655" t="str">
            <v>19911216</v>
          </cell>
          <cell r="I1655">
            <v>8739170</v>
          </cell>
        </row>
        <row r="1656">
          <cell r="A1656" t="str">
            <v>9451541</v>
          </cell>
          <cell r="B1656" t="str">
            <v>이　순　자</v>
          </cell>
          <cell r="C1656" t="str">
            <v>9451541이　순　자</v>
          </cell>
          <cell r="D1656" t="str">
            <v>CH40</v>
          </cell>
          <cell r="E1656" t="str">
            <v>객실2(KALl)</v>
          </cell>
          <cell r="F1656" t="str">
            <v>2420</v>
          </cell>
          <cell r="G1656" t="str">
            <v>2420</v>
          </cell>
          <cell r="H1656" t="str">
            <v>19940711</v>
          </cell>
          <cell r="I1656">
            <v>5019154</v>
          </cell>
        </row>
        <row r="1657">
          <cell r="A1657" t="str">
            <v>9152234</v>
          </cell>
          <cell r="B1657" t="str">
            <v>이　영　연</v>
          </cell>
          <cell r="C1657" t="str">
            <v>9152234이　영　연</v>
          </cell>
          <cell r="D1657" t="str">
            <v>CH40</v>
          </cell>
          <cell r="E1657" t="str">
            <v>객실2(KALl)</v>
          </cell>
          <cell r="F1657" t="str">
            <v>2420</v>
          </cell>
          <cell r="G1657" t="str">
            <v>2420</v>
          </cell>
          <cell r="H1657" t="str">
            <v>19911001</v>
          </cell>
          <cell r="I1657">
            <v>8870734</v>
          </cell>
        </row>
        <row r="1658">
          <cell r="A1658" t="str">
            <v>8650394</v>
          </cell>
          <cell r="B1658" t="str">
            <v>이　입　분</v>
          </cell>
          <cell r="C1658" t="str">
            <v>8650394이　입　분</v>
          </cell>
          <cell r="D1658" t="str">
            <v>CH40</v>
          </cell>
          <cell r="E1658" t="str">
            <v>객실2(KALl)</v>
          </cell>
          <cell r="F1658" t="str">
            <v>2420</v>
          </cell>
          <cell r="G1658" t="str">
            <v>2420</v>
          </cell>
          <cell r="H1658" t="str">
            <v>19860519</v>
          </cell>
          <cell r="I1658">
            <v>16130440</v>
          </cell>
        </row>
        <row r="1659">
          <cell r="A1659" t="str">
            <v>9152201</v>
          </cell>
          <cell r="B1659" t="str">
            <v>이　정　애</v>
          </cell>
          <cell r="C1659" t="str">
            <v>9152201이　정　애</v>
          </cell>
          <cell r="D1659" t="str">
            <v>CH40</v>
          </cell>
          <cell r="E1659" t="str">
            <v>객실2(KALl)</v>
          </cell>
          <cell r="F1659" t="str">
            <v>2420</v>
          </cell>
          <cell r="G1659" t="str">
            <v>2420</v>
          </cell>
          <cell r="H1659" t="str">
            <v>19911001</v>
          </cell>
          <cell r="I1659">
            <v>8877947</v>
          </cell>
        </row>
        <row r="1660">
          <cell r="A1660" t="str">
            <v>8950904</v>
          </cell>
          <cell r="B1660" t="str">
            <v>이　향　순</v>
          </cell>
          <cell r="C1660" t="str">
            <v>8950904이　향　순</v>
          </cell>
          <cell r="D1660" t="str">
            <v>CH40</v>
          </cell>
          <cell r="E1660" t="str">
            <v>객실2(KALl)</v>
          </cell>
          <cell r="F1660" t="str">
            <v>2420</v>
          </cell>
          <cell r="G1660" t="str">
            <v>2420</v>
          </cell>
          <cell r="H1660" t="str">
            <v>19891101</v>
          </cell>
          <cell r="I1660">
            <v>10031338</v>
          </cell>
        </row>
        <row r="1661">
          <cell r="A1661" t="str">
            <v>9650070</v>
          </cell>
          <cell r="B1661" t="str">
            <v>이　호　순</v>
          </cell>
          <cell r="C1661" t="str">
            <v>9650070이　호　순</v>
          </cell>
          <cell r="D1661" t="str">
            <v>CH40</v>
          </cell>
          <cell r="E1661" t="str">
            <v>객실2(KALl)</v>
          </cell>
          <cell r="F1661" t="str">
            <v>2420</v>
          </cell>
          <cell r="G1661" t="str">
            <v>2420</v>
          </cell>
          <cell r="H1661" t="str">
            <v>19960122</v>
          </cell>
          <cell r="I1661">
            <v>3486382</v>
          </cell>
        </row>
        <row r="1662">
          <cell r="A1662" t="str">
            <v>9450088</v>
          </cell>
          <cell r="B1662" t="str">
            <v>임　미　숙</v>
          </cell>
          <cell r="C1662" t="str">
            <v>9450088임　미　숙</v>
          </cell>
          <cell r="D1662" t="str">
            <v>CH40</v>
          </cell>
          <cell r="E1662" t="str">
            <v>객실2(KALl)</v>
          </cell>
          <cell r="F1662" t="str">
            <v>2420</v>
          </cell>
          <cell r="G1662" t="str">
            <v>2420</v>
          </cell>
          <cell r="H1662" t="str">
            <v>19940105</v>
          </cell>
          <cell r="I1662">
            <v>5550856</v>
          </cell>
        </row>
        <row r="1663">
          <cell r="A1663" t="str">
            <v>8650214</v>
          </cell>
          <cell r="B1663" t="str">
            <v>임　숙　자</v>
          </cell>
          <cell r="C1663" t="str">
            <v>8650214임　숙　자</v>
          </cell>
          <cell r="D1663" t="str">
            <v>CH40</v>
          </cell>
          <cell r="E1663" t="str">
            <v>객실2(KALl)</v>
          </cell>
          <cell r="F1663" t="str">
            <v>2420</v>
          </cell>
          <cell r="G1663" t="e">
            <v>#N/A</v>
          </cell>
          <cell r="H1663" t="str">
            <v>19860501</v>
          </cell>
          <cell r="I1663">
            <v>16098125</v>
          </cell>
          <cell r="J1663" t="str">
            <v>3 월</v>
          </cell>
          <cell r="K1663">
            <v>16505437</v>
          </cell>
        </row>
        <row r="1664">
          <cell r="A1664" t="str">
            <v>9451844</v>
          </cell>
          <cell r="B1664" t="str">
            <v>임　영　자</v>
          </cell>
          <cell r="C1664" t="str">
            <v>9451844임　영　자</v>
          </cell>
          <cell r="D1664" t="str">
            <v>CH40</v>
          </cell>
          <cell r="E1664" t="str">
            <v>객실2(KALl)</v>
          </cell>
          <cell r="F1664" t="str">
            <v>2420</v>
          </cell>
          <cell r="G1664" t="e">
            <v>#N/A</v>
          </cell>
          <cell r="H1664" t="str">
            <v>19940901</v>
          </cell>
          <cell r="I1664">
            <v>4886265</v>
          </cell>
          <cell r="J1664" t="str">
            <v>9 월</v>
          </cell>
          <cell r="K1664">
            <v>15051379</v>
          </cell>
        </row>
        <row r="1665">
          <cell r="A1665" t="str">
            <v>9305280</v>
          </cell>
          <cell r="B1665" t="str">
            <v>장　석　호</v>
          </cell>
          <cell r="C1665" t="str">
            <v>9305280장　석　호</v>
          </cell>
          <cell r="D1665" t="str">
            <v>CH40</v>
          </cell>
          <cell r="E1665" t="str">
            <v>객실2(KALl)</v>
          </cell>
          <cell r="F1665" t="str">
            <v>2420</v>
          </cell>
          <cell r="G1665" t="str">
            <v>2420</v>
          </cell>
          <cell r="H1665" t="str">
            <v>19930816</v>
          </cell>
          <cell r="I1665">
            <v>7210360</v>
          </cell>
        </row>
        <row r="1666">
          <cell r="A1666" t="str">
            <v>9351865</v>
          </cell>
          <cell r="B1666" t="str">
            <v>장　순　금</v>
          </cell>
          <cell r="C1666" t="str">
            <v>9351865장　순　금</v>
          </cell>
          <cell r="D1666" t="str">
            <v>CH40</v>
          </cell>
          <cell r="E1666" t="str">
            <v>객실2(KALl)</v>
          </cell>
          <cell r="F1666" t="str">
            <v>2420</v>
          </cell>
          <cell r="G1666" t="str">
            <v>2420</v>
          </cell>
          <cell r="H1666" t="str">
            <v>19931018</v>
          </cell>
          <cell r="I1666">
            <v>5814782</v>
          </cell>
        </row>
        <row r="1667">
          <cell r="A1667" t="str">
            <v>8150433</v>
          </cell>
          <cell r="B1667" t="str">
            <v>장　옥　자</v>
          </cell>
          <cell r="C1667" t="str">
            <v>8150433장　옥　자</v>
          </cell>
          <cell r="D1667" t="str">
            <v>CH40</v>
          </cell>
          <cell r="E1667" t="str">
            <v>객실2(KALl)</v>
          </cell>
          <cell r="F1667" t="str">
            <v>2420</v>
          </cell>
          <cell r="G1667" t="str">
            <v>2420</v>
          </cell>
          <cell r="H1667" t="str">
            <v>19811101</v>
          </cell>
          <cell r="I1667">
            <v>23635778</v>
          </cell>
        </row>
        <row r="1668">
          <cell r="A1668" t="str">
            <v>8451066</v>
          </cell>
          <cell r="B1668" t="str">
            <v>장　은　희</v>
          </cell>
          <cell r="C1668" t="str">
            <v>8451066장　은　희</v>
          </cell>
          <cell r="D1668" t="str">
            <v>CH40</v>
          </cell>
          <cell r="E1668" t="str">
            <v>객실2(KALl)</v>
          </cell>
          <cell r="F1668" t="str">
            <v>2420</v>
          </cell>
          <cell r="G1668" t="str">
            <v>2420</v>
          </cell>
          <cell r="H1668" t="str">
            <v>19841115</v>
          </cell>
          <cell r="I1668">
            <v>20082259</v>
          </cell>
        </row>
        <row r="1669">
          <cell r="A1669" t="str">
            <v>8450460</v>
          </cell>
          <cell r="B1669" t="str">
            <v>전　영　숙</v>
          </cell>
          <cell r="C1669" t="str">
            <v>8450460전　영　숙</v>
          </cell>
          <cell r="D1669" t="str">
            <v>CH40</v>
          </cell>
          <cell r="E1669" t="str">
            <v>객실2(KALl)</v>
          </cell>
          <cell r="F1669" t="str">
            <v>2420</v>
          </cell>
          <cell r="G1669" t="str">
            <v>2420</v>
          </cell>
          <cell r="H1669" t="str">
            <v>19840510</v>
          </cell>
          <cell r="I1669">
            <v>19185988</v>
          </cell>
        </row>
        <row r="1670">
          <cell r="A1670" t="str">
            <v>8450572</v>
          </cell>
          <cell r="B1670" t="str">
            <v>전　행　숙</v>
          </cell>
          <cell r="C1670" t="str">
            <v>8450572전　행　숙</v>
          </cell>
          <cell r="D1670" t="str">
            <v>CH40</v>
          </cell>
          <cell r="E1670" t="str">
            <v>객실2(KALl)</v>
          </cell>
          <cell r="F1670" t="str">
            <v>2420</v>
          </cell>
          <cell r="G1670" t="e">
            <v>#N/A</v>
          </cell>
          <cell r="H1670" t="str">
            <v>19840801</v>
          </cell>
          <cell r="I1670">
            <v>18627552</v>
          </cell>
          <cell r="J1670" t="str">
            <v>9 월</v>
          </cell>
          <cell r="K1670">
            <v>33585338</v>
          </cell>
        </row>
        <row r="1671">
          <cell r="A1671" t="str">
            <v>9450540</v>
          </cell>
          <cell r="B1671" t="str">
            <v>정　명　희</v>
          </cell>
          <cell r="C1671" t="str">
            <v>9450540정　명　희</v>
          </cell>
          <cell r="D1671" t="str">
            <v>CH40</v>
          </cell>
          <cell r="E1671" t="str">
            <v>객실2(KALl)</v>
          </cell>
          <cell r="F1671" t="str">
            <v>2420</v>
          </cell>
          <cell r="G1671" t="str">
            <v>2420</v>
          </cell>
          <cell r="H1671" t="str">
            <v>19940401</v>
          </cell>
          <cell r="I1671">
            <v>5337480</v>
          </cell>
        </row>
        <row r="1672">
          <cell r="A1672" t="str">
            <v>8950386</v>
          </cell>
          <cell r="B1672" t="str">
            <v>정　미　정</v>
          </cell>
          <cell r="C1672" t="str">
            <v>8950386정　미　정</v>
          </cell>
          <cell r="D1672" t="str">
            <v>CH40</v>
          </cell>
          <cell r="E1672" t="str">
            <v>객실2(KALl)</v>
          </cell>
          <cell r="F1672" t="str">
            <v>2420</v>
          </cell>
          <cell r="G1672" t="str">
            <v>2420</v>
          </cell>
          <cell r="H1672" t="str">
            <v>19890601</v>
          </cell>
          <cell r="I1672">
            <v>11702784</v>
          </cell>
        </row>
        <row r="1673">
          <cell r="A1673" t="str">
            <v>8350323</v>
          </cell>
          <cell r="B1673" t="str">
            <v>조　순　이</v>
          </cell>
          <cell r="C1673" t="str">
            <v>8350323조　순　이</v>
          </cell>
          <cell r="D1673" t="str">
            <v>CH40</v>
          </cell>
          <cell r="E1673" t="str">
            <v>객실2(KALl)</v>
          </cell>
          <cell r="F1673" t="str">
            <v>2420</v>
          </cell>
          <cell r="G1673" t="str">
            <v>2420</v>
          </cell>
          <cell r="H1673" t="str">
            <v>19830806</v>
          </cell>
          <cell r="I1673">
            <v>18448069</v>
          </cell>
        </row>
        <row r="1674">
          <cell r="A1674" t="str">
            <v>8350064</v>
          </cell>
          <cell r="B1674" t="str">
            <v>조　연　이</v>
          </cell>
          <cell r="C1674" t="str">
            <v>8350064조　연　이</v>
          </cell>
          <cell r="D1674" t="str">
            <v>CH40</v>
          </cell>
          <cell r="E1674" t="str">
            <v>객실2(KALl)</v>
          </cell>
          <cell r="F1674" t="str">
            <v>2420</v>
          </cell>
          <cell r="G1674" t="str">
            <v>2420</v>
          </cell>
          <cell r="H1674" t="str">
            <v>19830201</v>
          </cell>
          <cell r="I1674">
            <v>20872450</v>
          </cell>
        </row>
        <row r="1675">
          <cell r="A1675" t="str">
            <v>9152291</v>
          </cell>
          <cell r="B1675" t="str">
            <v>조　용　희</v>
          </cell>
          <cell r="C1675" t="str">
            <v>9152291조　용　희</v>
          </cell>
          <cell r="D1675" t="str">
            <v>CH40</v>
          </cell>
          <cell r="E1675" t="str">
            <v>객실2(KALl)</v>
          </cell>
          <cell r="F1675" t="str">
            <v>2420</v>
          </cell>
          <cell r="G1675" t="str">
            <v>2420</v>
          </cell>
          <cell r="H1675" t="str">
            <v>19911001</v>
          </cell>
          <cell r="I1675">
            <v>7960720</v>
          </cell>
        </row>
        <row r="1676">
          <cell r="A1676" t="str">
            <v>9152166</v>
          </cell>
          <cell r="B1676" t="str">
            <v>조　운　옥</v>
          </cell>
          <cell r="C1676" t="str">
            <v>9152166조　운　옥</v>
          </cell>
          <cell r="D1676" t="str">
            <v>CH40</v>
          </cell>
          <cell r="E1676" t="str">
            <v>객실2(KALl)</v>
          </cell>
          <cell r="F1676" t="str">
            <v>2420</v>
          </cell>
          <cell r="G1676" t="str">
            <v>2420</v>
          </cell>
          <cell r="H1676" t="str">
            <v>19911001</v>
          </cell>
          <cell r="I1676">
            <v>8752467</v>
          </cell>
        </row>
        <row r="1677">
          <cell r="A1677" t="str">
            <v>8751036</v>
          </cell>
          <cell r="B1677" t="str">
            <v>조　정　분</v>
          </cell>
          <cell r="C1677" t="str">
            <v>8751036조　정　분</v>
          </cell>
          <cell r="D1677" t="str">
            <v>CH40</v>
          </cell>
          <cell r="E1677" t="str">
            <v>객실2(KALl)</v>
          </cell>
          <cell r="F1677" t="str">
            <v>2420</v>
          </cell>
          <cell r="G1677" t="str">
            <v>2420</v>
          </cell>
          <cell r="H1677" t="str">
            <v>19870807</v>
          </cell>
          <cell r="I1677">
            <v>15441026</v>
          </cell>
        </row>
        <row r="1678">
          <cell r="A1678" t="str">
            <v>9251910</v>
          </cell>
          <cell r="B1678" t="str">
            <v>주　내　순</v>
          </cell>
          <cell r="C1678" t="str">
            <v>9251910주　내　순</v>
          </cell>
          <cell r="D1678" t="str">
            <v>CH40</v>
          </cell>
          <cell r="E1678" t="str">
            <v>객실2(KALl)</v>
          </cell>
          <cell r="F1678" t="str">
            <v>2420</v>
          </cell>
          <cell r="G1678" t="str">
            <v>2420</v>
          </cell>
          <cell r="H1678" t="str">
            <v>19920810</v>
          </cell>
          <cell r="I1678">
            <v>7800679</v>
          </cell>
        </row>
        <row r="1679">
          <cell r="A1679" t="str">
            <v>8550134</v>
          </cell>
          <cell r="B1679" t="str">
            <v>진　복　순</v>
          </cell>
          <cell r="C1679" t="str">
            <v>8550134진　복　순</v>
          </cell>
          <cell r="D1679" t="str">
            <v>CH40</v>
          </cell>
          <cell r="E1679" t="str">
            <v>객실2(KALl)</v>
          </cell>
          <cell r="F1679" t="str">
            <v>2420</v>
          </cell>
          <cell r="G1679" t="e">
            <v>#N/A</v>
          </cell>
          <cell r="H1679" t="str">
            <v>19850215</v>
          </cell>
          <cell r="I1679">
            <v>17383423</v>
          </cell>
          <cell r="J1679" t="str">
            <v>3 월</v>
          </cell>
          <cell r="K1679">
            <v>17469042</v>
          </cell>
        </row>
        <row r="1680">
          <cell r="A1680" t="str">
            <v>8701705</v>
          </cell>
          <cell r="B1680" t="str">
            <v>최　　　승</v>
          </cell>
          <cell r="C1680" t="str">
            <v>8701705최　　　승</v>
          </cell>
          <cell r="D1680" t="str">
            <v>CH40</v>
          </cell>
          <cell r="E1680" t="str">
            <v>객실2(KALl)</v>
          </cell>
          <cell r="F1680" t="str">
            <v>2420</v>
          </cell>
          <cell r="G1680" t="e">
            <v>#N/A</v>
          </cell>
          <cell r="H1680" t="str">
            <v>19870801</v>
          </cell>
          <cell r="I1680">
            <v>24979827</v>
          </cell>
          <cell r="J1680" t="str">
            <v>11 월</v>
          </cell>
          <cell r="K1680">
            <v>53894913</v>
          </cell>
        </row>
        <row r="1681">
          <cell r="A1681" t="str">
            <v>8650168</v>
          </cell>
          <cell r="B1681" t="str">
            <v>최　난　순</v>
          </cell>
          <cell r="C1681" t="str">
            <v>8650168최　난　순</v>
          </cell>
          <cell r="D1681" t="str">
            <v>CH40</v>
          </cell>
          <cell r="E1681" t="str">
            <v>객실2(KALl)</v>
          </cell>
          <cell r="F1681" t="str">
            <v>2420</v>
          </cell>
          <cell r="G1681" t="str">
            <v>2420</v>
          </cell>
          <cell r="H1681" t="str">
            <v>19860501</v>
          </cell>
          <cell r="I1681">
            <v>15758327</v>
          </cell>
        </row>
        <row r="1682">
          <cell r="A1682" t="str">
            <v>8650541</v>
          </cell>
          <cell r="B1682" t="str">
            <v>최　명　화</v>
          </cell>
          <cell r="C1682" t="str">
            <v>8650541최　명　화</v>
          </cell>
          <cell r="D1682" t="str">
            <v>CH40</v>
          </cell>
          <cell r="E1682" t="str">
            <v>객실2(KALl)</v>
          </cell>
          <cell r="F1682" t="str">
            <v>2420</v>
          </cell>
          <cell r="G1682" t="str">
            <v>2420</v>
          </cell>
          <cell r="H1682" t="str">
            <v>19860616</v>
          </cell>
          <cell r="I1682">
            <v>15934790</v>
          </cell>
        </row>
        <row r="1683">
          <cell r="A1683" t="str">
            <v>8450864</v>
          </cell>
          <cell r="B1683" t="str">
            <v>최　순　분</v>
          </cell>
          <cell r="C1683" t="str">
            <v>8450864최　순　분</v>
          </cell>
          <cell r="D1683" t="str">
            <v>CH40</v>
          </cell>
          <cell r="E1683" t="str">
            <v>객실2(KALl)</v>
          </cell>
          <cell r="F1683" t="str">
            <v>2420</v>
          </cell>
          <cell r="G1683" t="str">
            <v>2420</v>
          </cell>
          <cell r="H1683" t="str">
            <v>19840901</v>
          </cell>
          <cell r="I1683">
            <v>16950808</v>
          </cell>
        </row>
        <row r="1684">
          <cell r="A1684" t="str">
            <v>8350154</v>
          </cell>
          <cell r="B1684" t="str">
            <v>최　순　옥</v>
          </cell>
          <cell r="C1684" t="str">
            <v>8350154최　순　옥</v>
          </cell>
          <cell r="D1684" t="str">
            <v>CH40</v>
          </cell>
          <cell r="E1684" t="str">
            <v>객실2(KALl)</v>
          </cell>
          <cell r="F1684" t="str">
            <v>2420</v>
          </cell>
          <cell r="G1684" t="str">
            <v>2420</v>
          </cell>
          <cell r="H1684" t="str">
            <v>19830315</v>
          </cell>
          <cell r="I1684">
            <v>20331444</v>
          </cell>
        </row>
        <row r="1685">
          <cell r="A1685" t="str">
            <v>9351382</v>
          </cell>
          <cell r="B1685" t="str">
            <v>최　순　이</v>
          </cell>
          <cell r="C1685" t="str">
            <v>9351382최　순　이</v>
          </cell>
          <cell r="D1685" t="str">
            <v>CH40</v>
          </cell>
          <cell r="E1685" t="str">
            <v>객실2(KALl)</v>
          </cell>
          <cell r="F1685" t="str">
            <v>2420</v>
          </cell>
          <cell r="G1685" t="str">
            <v>2420</v>
          </cell>
          <cell r="H1685" t="str">
            <v>19930716</v>
          </cell>
          <cell r="I1685">
            <v>6113358</v>
          </cell>
        </row>
        <row r="1686">
          <cell r="A1686" t="str">
            <v>9152190</v>
          </cell>
          <cell r="B1686" t="str">
            <v>최　양　순</v>
          </cell>
          <cell r="C1686" t="str">
            <v>9152190최　양　순</v>
          </cell>
          <cell r="D1686" t="str">
            <v>CH40</v>
          </cell>
          <cell r="E1686" t="str">
            <v>객실2(KALl)</v>
          </cell>
          <cell r="F1686" t="str">
            <v>2420</v>
          </cell>
          <cell r="G1686" t="str">
            <v>2420</v>
          </cell>
          <cell r="H1686" t="str">
            <v>19911001</v>
          </cell>
          <cell r="I1686">
            <v>7943919</v>
          </cell>
        </row>
        <row r="1687">
          <cell r="A1687" t="str">
            <v>8550022</v>
          </cell>
          <cell r="B1687" t="str">
            <v>최　영　화</v>
          </cell>
          <cell r="C1687" t="str">
            <v>8550022최　영　화</v>
          </cell>
          <cell r="D1687" t="str">
            <v>CH40</v>
          </cell>
          <cell r="E1687" t="str">
            <v>객실2(KALl)</v>
          </cell>
          <cell r="F1687" t="str">
            <v>2420</v>
          </cell>
          <cell r="G1687" t="str">
            <v>2420</v>
          </cell>
          <cell r="H1687" t="str">
            <v>19850110</v>
          </cell>
          <cell r="I1687">
            <v>17989738</v>
          </cell>
        </row>
        <row r="1688">
          <cell r="A1688" t="str">
            <v>7200167</v>
          </cell>
          <cell r="B1688" t="str">
            <v>최　완　섭</v>
          </cell>
          <cell r="C1688" t="str">
            <v>7200167최　완　섭</v>
          </cell>
          <cell r="D1688" t="str">
            <v>CH40</v>
          </cell>
          <cell r="E1688" t="str">
            <v>객실2(KALl)</v>
          </cell>
          <cell r="F1688" t="str">
            <v>2420</v>
          </cell>
          <cell r="G1688" t="e">
            <v>#N/A</v>
          </cell>
          <cell r="H1688" t="str">
            <v>19720729</v>
          </cell>
          <cell r="I1688">
            <v>48638668</v>
          </cell>
          <cell r="J1688" t="str">
            <v>3 월</v>
          </cell>
          <cell r="K1688">
            <v>48427630</v>
          </cell>
        </row>
        <row r="1689">
          <cell r="A1689" t="str">
            <v>9451833</v>
          </cell>
          <cell r="B1689" t="str">
            <v>최　은　순</v>
          </cell>
          <cell r="C1689" t="str">
            <v>9451833최　은　순</v>
          </cell>
          <cell r="D1689" t="str">
            <v>CH40</v>
          </cell>
          <cell r="E1689" t="str">
            <v>객실2(KALl)</v>
          </cell>
          <cell r="F1689" t="str">
            <v>2420</v>
          </cell>
          <cell r="G1689" t="str">
            <v>2420</v>
          </cell>
          <cell r="H1689" t="str">
            <v>19940901</v>
          </cell>
          <cell r="I1689">
            <v>4948590</v>
          </cell>
        </row>
        <row r="1690">
          <cell r="A1690" t="str">
            <v>9451890</v>
          </cell>
          <cell r="B1690" t="str">
            <v>최　정　순</v>
          </cell>
          <cell r="C1690" t="str">
            <v>9451890최　정　순</v>
          </cell>
          <cell r="D1690" t="str">
            <v>CH40</v>
          </cell>
          <cell r="E1690" t="str">
            <v>객실2(KALl)</v>
          </cell>
          <cell r="F1690" t="str">
            <v>2420</v>
          </cell>
          <cell r="G1690" t="str">
            <v>2420</v>
          </cell>
          <cell r="H1690" t="str">
            <v>19940901</v>
          </cell>
          <cell r="I1690">
            <v>4881678</v>
          </cell>
        </row>
        <row r="1691">
          <cell r="A1691" t="str">
            <v>9152032</v>
          </cell>
          <cell r="B1691" t="str">
            <v>최　정　자</v>
          </cell>
          <cell r="C1691" t="str">
            <v>9152032최　정　자</v>
          </cell>
          <cell r="D1691" t="str">
            <v>CH40</v>
          </cell>
          <cell r="E1691" t="str">
            <v>객실2(KALl)</v>
          </cell>
          <cell r="F1691" t="str">
            <v>2420</v>
          </cell>
          <cell r="G1691" t="str">
            <v>2420</v>
          </cell>
          <cell r="H1691" t="str">
            <v>19911001</v>
          </cell>
          <cell r="I1691">
            <v>8069218</v>
          </cell>
        </row>
        <row r="1692">
          <cell r="A1692" t="str">
            <v>8451055</v>
          </cell>
          <cell r="B1692" t="str">
            <v>최　준　옥</v>
          </cell>
          <cell r="C1692" t="str">
            <v>8451055최　준　옥</v>
          </cell>
          <cell r="D1692" t="str">
            <v>CH40</v>
          </cell>
          <cell r="E1692" t="str">
            <v>객실2(KALl)</v>
          </cell>
          <cell r="F1692" t="str">
            <v>2420</v>
          </cell>
          <cell r="G1692" t="str">
            <v>2420</v>
          </cell>
          <cell r="H1692" t="str">
            <v>19841115</v>
          </cell>
          <cell r="I1692">
            <v>20835835</v>
          </cell>
        </row>
        <row r="1693">
          <cell r="A1693" t="str">
            <v>8550731</v>
          </cell>
          <cell r="B1693" t="str">
            <v>최　필　희</v>
          </cell>
          <cell r="C1693" t="str">
            <v>8550731최　필　희</v>
          </cell>
          <cell r="D1693" t="str">
            <v>CH40</v>
          </cell>
          <cell r="E1693" t="str">
            <v>객실2(KALl)</v>
          </cell>
          <cell r="F1693" t="str">
            <v>2420</v>
          </cell>
          <cell r="G1693" t="str">
            <v>2420</v>
          </cell>
          <cell r="H1693" t="str">
            <v>19850701</v>
          </cell>
          <cell r="I1693">
            <v>17511104</v>
          </cell>
        </row>
        <row r="1694">
          <cell r="A1694" t="str">
            <v>8050138</v>
          </cell>
          <cell r="B1694" t="str">
            <v>한　영　순</v>
          </cell>
          <cell r="C1694" t="str">
            <v>8050138한　영　순</v>
          </cell>
          <cell r="D1694" t="str">
            <v>CH40</v>
          </cell>
          <cell r="E1694" t="str">
            <v>객실2(KALl)</v>
          </cell>
          <cell r="F1694" t="str">
            <v>2420</v>
          </cell>
          <cell r="G1694" t="str">
            <v>2420</v>
          </cell>
          <cell r="H1694" t="str">
            <v>19800201</v>
          </cell>
          <cell r="I1694">
            <v>22976911</v>
          </cell>
        </row>
        <row r="1695">
          <cell r="A1695" t="str">
            <v>9550866</v>
          </cell>
          <cell r="B1695" t="str">
            <v>함　미　숙</v>
          </cell>
          <cell r="C1695" t="str">
            <v>9550866함　미　숙</v>
          </cell>
          <cell r="D1695" t="str">
            <v>CH40</v>
          </cell>
          <cell r="E1695" t="str">
            <v>객실2(KALl)</v>
          </cell>
          <cell r="F1695" t="str">
            <v>2420</v>
          </cell>
          <cell r="G1695" t="str">
            <v>2420</v>
          </cell>
          <cell r="H1695" t="str">
            <v>19951207</v>
          </cell>
          <cell r="I1695">
            <v>3681230</v>
          </cell>
        </row>
        <row r="1696">
          <cell r="A1696" t="str">
            <v>8550347</v>
          </cell>
          <cell r="B1696" t="str">
            <v>현　상　애</v>
          </cell>
          <cell r="C1696" t="str">
            <v>8550347현　상　애</v>
          </cell>
          <cell r="D1696" t="str">
            <v>CH40</v>
          </cell>
          <cell r="E1696" t="str">
            <v>객실2(KALl)</v>
          </cell>
          <cell r="F1696" t="str">
            <v>2420</v>
          </cell>
          <cell r="G1696" t="str">
            <v>2420</v>
          </cell>
          <cell r="H1696" t="str">
            <v>19850416</v>
          </cell>
          <cell r="I1696">
            <v>20147200</v>
          </cell>
        </row>
        <row r="1697">
          <cell r="A1697" t="str">
            <v>8350121</v>
          </cell>
          <cell r="B1697" t="str">
            <v>홍　성　애</v>
          </cell>
          <cell r="C1697" t="str">
            <v>8350121홍　성　애</v>
          </cell>
          <cell r="D1697" t="str">
            <v>CH40</v>
          </cell>
          <cell r="E1697" t="str">
            <v>객실2(KALl)</v>
          </cell>
          <cell r="F1697" t="str">
            <v>2420</v>
          </cell>
          <cell r="G1697" t="str">
            <v>2420</v>
          </cell>
          <cell r="H1697" t="str">
            <v>19830315</v>
          </cell>
          <cell r="I1697">
            <v>18850490</v>
          </cell>
        </row>
        <row r="1698">
          <cell r="A1698" t="str">
            <v>9207720</v>
          </cell>
          <cell r="B1698" t="str">
            <v>홍　성　표</v>
          </cell>
          <cell r="C1698" t="str">
            <v>9207720홍　성　표</v>
          </cell>
          <cell r="D1698" t="str">
            <v>CH40</v>
          </cell>
          <cell r="E1698" t="str">
            <v>객실2(KALl)</v>
          </cell>
          <cell r="F1698" t="str">
            <v>2420</v>
          </cell>
          <cell r="G1698" t="str">
            <v>2420</v>
          </cell>
          <cell r="H1698" t="str">
            <v>19921201</v>
          </cell>
          <cell r="I1698">
            <v>9020785</v>
          </cell>
        </row>
        <row r="1699">
          <cell r="A1699" t="str">
            <v>9451798</v>
          </cell>
          <cell r="B1699" t="str">
            <v>황　정　숙</v>
          </cell>
          <cell r="C1699" t="str">
            <v>9451798황　정　숙</v>
          </cell>
          <cell r="D1699" t="str">
            <v>CH40</v>
          </cell>
          <cell r="E1699" t="str">
            <v>객실2(KALl)</v>
          </cell>
          <cell r="F1699" t="str">
            <v>2420</v>
          </cell>
          <cell r="G1699" t="str">
            <v>2420</v>
          </cell>
          <cell r="H1699" t="str">
            <v>19940901</v>
          </cell>
          <cell r="I1699">
            <v>4887412</v>
          </cell>
        </row>
        <row r="1700">
          <cell r="A1700" t="str">
            <v>8550437</v>
          </cell>
          <cell r="B1700" t="str">
            <v>황　춘　화</v>
          </cell>
          <cell r="C1700" t="str">
            <v>8550437황　춘　화</v>
          </cell>
          <cell r="D1700" t="str">
            <v>CH40</v>
          </cell>
          <cell r="E1700" t="str">
            <v>객실2(KALl)</v>
          </cell>
          <cell r="F1700" t="str">
            <v>2420</v>
          </cell>
          <cell r="G1700" t="str">
            <v>2420</v>
          </cell>
          <cell r="H1700" t="str">
            <v>19850416</v>
          </cell>
          <cell r="I1700">
            <v>19297226</v>
          </cell>
        </row>
        <row r="1701">
          <cell r="A1701" t="str">
            <v>8150692</v>
          </cell>
          <cell r="B1701" t="str">
            <v>황　홍　련</v>
          </cell>
          <cell r="C1701" t="str">
            <v>8150692황　홍　련</v>
          </cell>
          <cell r="D1701" t="str">
            <v>CH40</v>
          </cell>
          <cell r="E1701" t="str">
            <v>객실2(KALl)</v>
          </cell>
          <cell r="F1701" t="str">
            <v>2420</v>
          </cell>
          <cell r="G1701" t="str">
            <v>2420</v>
          </cell>
          <cell r="H1701" t="str">
            <v>19811119</v>
          </cell>
          <cell r="I1701">
            <v>24478579</v>
          </cell>
        </row>
        <row r="1702">
          <cell r="A1702" t="str">
            <v>8701547</v>
          </cell>
          <cell r="B1702" t="str">
            <v>구　행　회</v>
          </cell>
          <cell r="C1702" t="str">
            <v>8701547구　행　회</v>
          </cell>
          <cell r="D1702" t="str">
            <v>기체지원</v>
          </cell>
          <cell r="E1702" t="str">
            <v>객실1(기체지원)</v>
          </cell>
          <cell r="F1702" t="str">
            <v>2432</v>
          </cell>
          <cell r="G1702" t="str">
            <v>2420</v>
          </cell>
          <cell r="H1702" t="str">
            <v>19870801</v>
          </cell>
          <cell r="I1702">
            <v>24060205</v>
          </cell>
        </row>
        <row r="1703">
          <cell r="A1703" t="str">
            <v>8401656</v>
          </cell>
          <cell r="B1703" t="str">
            <v>김　광　종</v>
          </cell>
          <cell r="C1703" t="str">
            <v>8401656김　광　종</v>
          </cell>
          <cell r="D1703" t="str">
            <v>기체지원</v>
          </cell>
          <cell r="E1703" t="str">
            <v>객실1(기체지원)</v>
          </cell>
          <cell r="F1703" t="str">
            <v>2432</v>
          </cell>
          <cell r="G1703" t="str">
            <v>2420</v>
          </cell>
          <cell r="H1703" t="str">
            <v>19841126</v>
          </cell>
          <cell r="I1703">
            <v>26215517</v>
          </cell>
        </row>
        <row r="1704">
          <cell r="A1704" t="str">
            <v>7800401</v>
          </cell>
          <cell r="B1704" t="str">
            <v>김　기　수</v>
          </cell>
          <cell r="C1704" t="str">
            <v>7800401김　기　수</v>
          </cell>
          <cell r="D1704" t="str">
            <v>기체지원</v>
          </cell>
          <cell r="E1704" t="str">
            <v>객실1(기체지원)</v>
          </cell>
          <cell r="F1704" t="str">
            <v>2432</v>
          </cell>
          <cell r="G1704" t="str">
            <v>2420</v>
          </cell>
          <cell r="H1704" t="str">
            <v>19780601</v>
          </cell>
          <cell r="I1704">
            <v>38358444</v>
          </cell>
        </row>
        <row r="1705">
          <cell r="A1705" t="str">
            <v>8750564</v>
          </cell>
          <cell r="B1705" t="str">
            <v>김　미　화</v>
          </cell>
          <cell r="C1705" t="str">
            <v>8750564김　미　화</v>
          </cell>
          <cell r="D1705" t="str">
            <v>기체지원</v>
          </cell>
          <cell r="E1705" t="str">
            <v>객실1(기체지원)</v>
          </cell>
          <cell r="F1705" t="str">
            <v>2432</v>
          </cell>
          <cell r="G1705" t="str">
            <v>2420</v>
          </cell>
          <cell r="H1705" t="str">
            <v>19870507</v>
          </cell>
          <cell r="I1705">
            <v>14787016</v>
          </cell>
        </row>
        <row r="1706">
          <cell r="A1706" t="str">
            <v>7900492</v>
          </cell>
          <cell r="B1706" t="str">
            <v>김　원　태</v>
          </cell>
          <cell r="C1706" t="str">
            <v>7900492김　원　태</v>
          </cell>
          <cell r="D1706" t="str">
            <v>기체지원</v>
          </cell>
          <cell r="E1706" t="str">
            <v>객실1(기체지원)</v>
          </cell>
          <cell r="F1706" t="str">
            <v>2432</v>
          </cell>
          <cell r="G1706" t="str">
            <v>2420</v>
          </cell>
          <cell r="H1706" t="str">
            <v>19790613</v>
          </cell>
          <cell r="I1706">
            <v>39226143</v>
          </cell>
        </row>
        <row r="1707">
          <cell r="A1707" t="str">
            <v>8502491</v>
          </cell>
          <cell r="B1707" t="str">
            <v>김　진　곤</v>
          </cell>
          <cell r="C1707" t="str">
            <v>8502491김　진　곤</v>
          </cell>
          <cell r="D1707" t="str">
            <v>기체지원</v>
          </cell>
          <cell r="E1707" t="str">
            <v>객실1(기체지원)</v>
          </cell>
          <cell r="F1707" t="str">
            <v>2432</v>
          </cell>
          <cell r="G1707" t="e">
            <v>#N/A</v>
          </cell>
          <cell r="H1707" t="str">
            <v>19851210</v>
          </cell>
          <cell r="I1707">
            <v>30222385</v>
          </cell>
          <cell r="J1707" t="str">
            <v>11 월</v>
          </cell>
          <cell r="K1707">
            <v>38404731</v>
          </cell>
        </row>
        <row r="1708">
          <cell r="A1708" t="str">
            <v>8400172</v>
          </cell>
          <cell r="B1708" t="str">
            <v>남　길　현</v>
          </cell>
          <cell r="C1708" t="str">
            <v>8400172남　길　현</v>
          </cell>
          <cell r="D1708" t="str">
            <v>기체지원</v>
          </cell>
          <cell r="E1708" t="str">
            <v>객실1(기체지원)</v>
          </cell>
          <cell r="F1708" t="str">
            <v>2432</v>
          </cell>
          <cell r="G1708" t="str">
            <v>2420</v>
          </cell>
          <cell r="H1708" t="str">
            <v>19840401</v>
          </cell>
          <cell r="I1708">
            <v>28291200</v>
          </cell>
        </row>
        <row r="1709">
          <cell r="A1709" t="str">
            <v>9450202</v>
          </cell>
          <cell r="B1709" t="str">
            <v>남　선　순</v>
          </cell>
          <cell r="C1709" t="str">
            <v>9450202남　선　순</v>
          </cell>
          <cell r="D1709" t="str">
            <v>기체지원</v>
          </cell>
          <cell r="E1709" t="str">
            <v>객실1(기체지원)</v>
          </cell>
          <cell r="F1709" t="str">
            <v>2432</v>
          </cell>
          <cell r="G1709" t="str">
            <v>2420</v>
          </cell>
          <cell r="H1709" t="str">
            <v>19940120</v>
          </cell>
          <cell r="I1709">
            <v>5537494</v>
          </cell>
        </row>
        <row r="1710">
          <cell r="A1710" t="str">
            <v>9002880</v>
          </cell>
          <cell r="B1710" t="str">
            <v>박　광　이</v>
          </cell>
          <cell r="C1710" t="str">
            <v>9002880박　광　이</v>
          </cell>
          <cell r="D1710" t="str">
            <v>기체지원</v>
          </cell>
          <cell r="E1710" t="str">
            <v>객실1(기체지원)</v>
          </cell>
          <cell r="F1710" t="str">
            <v>2432</v>
          </cell>
          <cell r="G1710" t="str">
            <v>2420</v>
          </cell>
          <cell r="H1710" t="str">
            <v>19900302</v>
          </cell>
          <cell r="I1710">
            <v>17590793</v>
          </cell>
        </row>
        <row r="1711">
          <cell r="A1711" t="str">
            <v>8500544</v>
          </cell>
          <cell r="B1711" t="str">
            <v>박　준　수</v>
          </cell>
          <cell r="C1711" t="str">
            <v>8500544박　준　수</v>
          </cell>
          <cell r="D1711" t="str">
            <v>기체지원</v>
          </cell>
          <cell r="E1711" t="str">
            <v>객실1(기체지원)</v>
          </cell>
          <cell r="F1711" t="str">
            <v>2432</v>
          </cell>
          <cell r="G1711" t="str">
            <v>2420</v>
          </cell>
          <cell r="H1711" t="str">
            <v>19850305</v>
          </cell>
          <cell r="I1711">
            <v>25203014</v>
          </cell>
        </row>
        <row r="1712">
          <cell r="A1712" t="str">
            <v>7900795</v>
          </cell>
          <cell r="B1712" t="str">
            <v>심　석　무</v>
          </cell>
          <cell r="C1712" t="str">
            <v>7900795심　석　무</v>
          </cell>
          <cell r="D1712" t="str">
            <v>기체지원</v>
          </cell>
          <cell r="E1712" t="str">
            <v>객실1(기체지원)</v>
          </cell>
          <cell r="F1712" t="str">
            <v>2432</v>
          </cell>
          <cell r="G1712" t="str">
            <v>2420</v>
          </cell>
          <cell r="H1712" t="str">
            <v>19791101</v>
          </cell>
          <cell r="I1712">
            <v>40615692</v>
          </cell>
        </row>
        <row r="1713">
          <cell r="A1713" t="str">
            <v>8100527</v>
          </cell>
          <cell r="B1713" t="str">
            <v>오　동　원</v>
          </cell>
          <cell r="C1713" t="str">
            <v>8100527오　동　원</v>
          </cell>
          <cell r="D1713" t="str">
            <v>기체지원</v>
          </cell>
          <cell r="E1713" t="str">
            <v>객실1(기체지원)</v>
          </cell>
          <cell r="F1713" t="str">
            <v>2432</v>
          </cell>
          <cell r="G1713" t="str">
            <v>2420</v>
          </cell>
          <cell r="H1713" t="str">
            <v>19981001</v>
          </cell>
          <cell r="I1713">
            <v>2150028</v>
          </cell>
        </row>
        <row r="1714">
          <cell r="A1714" t="str">
            <v>7800456</v>
          </cell>
          <cell r="B1714" t="str">
            <v>유　병　표</v>
          </cell>
          <cell r="C1714" t="str">
            <v>7800456유　병　표</v>
          </cell>
          <cell r="D1714" t="str">
            <v>기체지원</v>
          </cell>
          <cell r="E1714" t="str">
            <v>객실1(기체지원)</v>
          </cell>
          <cell r="F1714" t="str">
            <v>2432</v>
          </cell>
          <cell r="G1714" t="str">
            <v>2420</v>
          </cell>
          <cell r="H1714" t="str">
            <v>19780601</v>
          </cell>
          <cell r="I1714">
            <v>35968086</v>
          </cell>
        </row>
        <row r="1715">
          <cell r="A1715" t="str">
            <v>8300880</v>
          </cell>
          <cell r="B1715" t="str">
            <v>이　수　덕</v>
          </cell>
          <cell r="C1715" t="str">
            <v>8300880이　수　덕</v>
          </cell>
          <cell r="D1715" t="str">
            <v>기체지원</v>
          </cell>
          <cell r="E1715" t="str">
            <v>객실1(기체지원)</v>
          </cell>
          <cell r="F1715" t="str">
            <v>2432</v>
          </cell>
          <cell r="G1715" t="str">
            <v>2420</v>
          </cell>
          <cell r="H1715" t="str">
            <v>19831115</v>
          </cell>
          <cell r="I1715">
            <v>29306283</v>
          </cell>
        </row>
        <row r="1716">
          <cell r="A1716" t="str">
            <v>9103151</v>
          </cell>
          <cell r="B1716" t="str">
            <v>이　충　호</v>
          </cell>
          <cell r="C1716" t="str">
            <v>9103151이　충　호</v>
          </cell>
          <cell r="D1716" t="str">
            <v>기체지원</v>
          </cell>
          <cell r="E1716" t="str">
            <v>객실1(기체지원)</v>
          </cell>
          <cell r="F1716" t="str">
            <v>2432</v>
          </cell>
          <cell r="G1716" t="str">
            <v>2420</v>
          </cell>
          <cell r="H1716" t="str">
            <v>19910801</v>
          </cell>
          <cell r="I1716">
            <v>11374397</v>
          </cell>
        </row>
        <row r="1717">
          <cell r="A1717" t="str">
            <v>9202612</v>
          </cell>
          <cell r="B1717" t="str">
            <v>장　성　욱</v>
          </cell>
          <cell r="C1717" t="str">
            <v>9202612장　성　욱</v>
          </cell>
          <cell r="D1717" t="str">
            <v>기체지원</v>
          </cell>
          <cell r="E1717" t="str">
            <v>객실1(기체지원)</v>
          </cell>
          <cell r="F1717" t="str">
            <v>2432</v>
          </cell>
          <cell r="G1717" t="str">
            <v>2420</v>
          </cell>
          <cell r="H1717" t="str">
            <v>19920501</v>
          </cell>
          <cell r="I1717">
            <v>10965029</v>
          </cell>
        </row>
        <row r="1718">
          <cell r="A1718" t="str">
            <v>8300114</v>
          </cell>
          <cell r="B1718" t="str">
            <v>최　동　석</v>
          </cell>
          <cell r="C1718" t="str">
            <v>8300114최　동　석</v>
          </cell>
          <cell r="D1718" t="str">
            <v>기체지원</v>
          </cell>
          <cell r="E1718" t="str">
            <v>객실1(기체지원)</v>
          </cell>
          <cell r="F1718" t="str">
            <v>2432</v>
          </cell>
          <cell r="G1718" t="str">
            <v>2420</v>
          </cell>
          <cell r="H1718" t="str">
            <v>19991001</v>
          </cell>
          <cell r="I1718">
            <v>454533</v>
          </cell>
        </row>
        <row r="1719">
          <cell r="A1719" t="str">
            <v>9550890</v>
          </cell>
          <cell r="B1719" t="str">
            <v>최　명　숙</v>
          </cell>
          <cell r="C1719" t="str">
            <v>9550890최　명　숙</v>
          </cell>
          <cell r="D1719" t="str">
            <v>기체지원</v>
          </cell>
          <cell r="E1719" t="str">
            <v>객실1(기체지원)</v>
          </cell>
          <cell r="F1719" t="str">
            <v>2432</v>
          </cell>
          <cell r="G1719" t="str">
            <v>2420</v>
          </cell>
          <cell r="H1719" t="str">
            <v>19951207</v>
          </cell>
          <cell r="I1719">
            <v>3626636</v>
          </cell>
        </row>
        <row r="1720">
          <cell r="A1720" t="str">
            <v>9700312</v>
          </cell>
          <cell r="B1720" t="str">
            <v>김　윤　식</v>
          </cell>
          <cell r="C1720" t="str">
            <v>9700312김　윤　식</v>
          </cell>
          <cell r="D1720" t="str">
            <v>서울외부</v>
          </cell>
          <cell r="E1720" t="str">
            <v>객실1(외부세척)</v>
          </cell>
          <cell r="F1720" t="str">
            <v>2433</v>
          </cell>
          <cell r="G1720" t="str">
            <v>2433</v>
          </cell>
          <cell r="H1720" t="str">
            <v>19970221</v>
          </cell>
          <cell r="I1720">
            <v>2992418</v>
          </cell>
        </row>
        <row r="1721">
          <cell r="A1721" t="str">
            <v>8604450</v>
          </cell>
          <cell r="B1721" t="str">
            <v>김　일　화</v>
          </cell>
          <cell r="C1721" t="str">
            <v>8604450김　일　화</v>
          </cell>
          <cell r="D1721" t="str">
            <v>서울외부</v>
          </cell>
          <cell r="E1721" t="str">
            <v>객실1(외부세척)</v>
          </cell>
          <cell r="F1721" t="str">
            <v>2433</v>
          </cell>
          <cell r="G1721" t="str">
            <v>2433</v>
          </cell>
          <cell r="H1721" t="str">
            <v>19980101</v>
          </cell>
          <cell r="I1721">
            <v>3013280</v>
          </cell>
        </row>
        <row r="1722">
          <cell r="A1722" t="str">
            <v>9003723</v>
          </cell>
          <cell r="B1722" t="str">
            <v>김　진　수</v>
          </cell>
          <cell r="C1722" t="str">
            <v>9003723김　진　수</v>
          </cell>
          <cell r="D1722" t="str">
            <v>서울외부</v>
          </cell>
          <cell r="E1722" t="str">
            <v>객실1(외부세척)</v>
          </cell>
          <cell r="F1722" t="str">
            <v>2433</v>
          </cell>
          <cell r="G1722" t="str">
            <v>2433</v>
          </cell>
          <cell r="H1722" t="str">
            <v>19900813</v>
          </cell>
          <cell r="I1722">
            <v>11980476</v>
          </cell>
        </row>
        <row r="1723">
          <cell r="A1723" t="str">
            <v>7300315</v>
          </cell>
          <cell r="B1723" t="str">
            <v>김　창　식</v>
          </cell>
          <cell r="C1723" t="str">
            <v>7300315김　창　식</v>
          </cell>
          <cell r="D1723" t="str">
            <v>서울외부</v>
          </cell>
          <cell r="E1723" t="str">
            <v>객실1(외부세척)</v>
          </cell>
          <cell r="F1723" t="str">
            <v>2433</v>
          </cell>
          <cell r="G1723" t="str">
            <v>2433</v>
          </cell>
          <cell r="H1723" t="str">
            <v>19731012</v>
          </cell>
          <cell r="I1723">
            <v>49140889</v>
          </cell>
        </row>
        <row r="1724">
          <cell r="A1724" t="str">
            <v>8000122</v>
          </cell>
          <cell r="B1724" t="str">
            <v>김　학　기</v>
          </cell>
          <cell r="C1724" t="str">
            <v>8000122김　학　기</v>
          </cell>
          <cell r="D1724" t="str">
            <v>서울외부</v>
          </cell>
          <cell r="E1724" t="str">
            <v>객실1(외부세척)</v>
          </cell>
          <cell r="F1724" t="str">
            <v>2433</v>
          </cell>
          <cell r="G1724" t="str">
            <v>2433</v>
          </cell>
          <cell r="H1724" t="str">
            <v>19800411</v>
          </cell>
          <cell r="I1724">
            <v>30629743</v>
          </cell>
        </row>
        <row r="1725">
          <cell r="A1725" t="str">
            <v>9402636</v>
          </cell>
          <cell r="B1725" t="str">
            <v>박　종　진</v>
          </cell>
          <cell r="C1725" t="str">
            <v>9402636박　종　진</v>
          </cell>
          <cell r="D1725" t="str">
            <v>서울외부</v>
          </cell>
          <cell r="E1725" t="str">
            <v>객실1(외부세척)</v>
          </cell>
          <cell r="F1725" t="str">
            <v>2433</v>
          </cell>
          <cell r="G1725" t="str">
            <v>2433</v>
          </cell>
          <cell r="H1725" t="str">
            <v>19940502</v>
          </cell>
          <cell r="I1725">
            <v>6157962</v>
          </cell>
        </row>
        <row r="1726">
          <cell r="A1726" t="str">
            <v>9502345</v>
          </cell>
          <cell r="B1726" t="str">
            <v>송　만　식</v>
          </cell>
          <cell r="C1726" t="str">
            <v>9502345송　만　식</v>
          </cell>
          <cell r="D1726" t="str">
            <v>서울외부</v>
          </cell>
          <cell r="E1726" t="str">
            <v>객실1(외부세척)</v>
          </cell>
          <cell r="F1726" t="str">
            <v>2433</v>
          </cell>
          <cell r="G1726" t="str">
            <v>2433</v>
          </cell>
          <cell r="H1726" t="str">
            <v>19950916</v>
          </cell>
          <cell r="I1726">
            <v>4594716</v>
          </cell>
        </row>
        <row r="1727">
          <cell r="A1727" t="str">
            <v>9103511</v>
          </cell>
          <cell r="B1727" t="str">
            <v>안　신　환</v>
          </cell>
          <cell r="C1727" t="str">
            <v>9103511안　신　환</v>
          </cell>
          <cell r="D1727" t="str">
            <v>서울외부</v>
          </cell>
          <cell r="E1727" t="str">
            <v>객실1(외부세척)</v>
          </cell>
          <cell r="F1727" t="str">
            <v>2433</v>
          </cell>
          <cell r="G1727" t="str">
            <v>2433</v>
          </cell>
          <cell r="H1727" t="str">
            <v>19910816</v>
          </cell>
          <cell r="I1727">
            <v>10491786</v>
          </cell>
        </row>
        <row r="1728">
          <cell r="A1728" t="str">
            <v>8400532</v>
          </cell>
          <cell r="B1728" t="str">
            <v>양　유　범</v>
          </cell>
          <cell r="C1728" t="str">
            <v>8400532양　유　범</v>
          </cell>
          <cell r="D1728" t="str">
            <v>서울외부</v>
          </cell>
          <cell r="E1728" t="str">
            <v>객실1(외부세척)</v>
          </cell>
          <cell r="F1728" t="str">
            <v>2433</v>
          </cell>
          <cell r="G1728" t="str">
            <v>2433</v>
          </cell>
          <cell r="H1728" t="str">
            <v>19840601</v>
          </cell>
          <cell r="I1728">
            <v>23106736</v>
          </cell>
        </row>
        <row r="1729">
          <cell r="A1729" t="str">
            <v>9000270</v>
          </cell>
          <cell r="B1729" t="str">
            <v>유　용　학</v>
          </cell>
          <cell r="C1729" t="str">
            <v>9000270유　용　학</v>
          </cell>
          <cell r="D1729" t="str">
            <v>서울외부</v>
          </cell>
          <cell r="E1729" t="str">
            <v>객실1(외부세척)</v>
          </cell>
          <cell r="F1729" t="str">
            <v>2433</v>
          </cell>
          <cell r="G1729" t="str">
            <v>2433</v>
          </cell>
          <cell r="H1729" t="str">
            <v>19981201</v>
          </cell>
          <cell r="I1729">
            <v>1552971</v>
          </cell>
        </row>
        <row r="1730">
          <cell r="A1730" t="str">
            <v>7800366</v>
          </cell>
          <cell r="B1730" t="str">
            <v>윤　관　식</v>
          </cell>
          <cell r="C1730" t="str">
            <v>7800366윤　관　식</v>
          </cell>
          <cell r="D1730" t="str">
            <v>서울외부</v>
          </cell>
          <cell r="E1730" t="str">
            <v>객실1(외부세척)</v>
          </cell>
          <cell r="F1730" t="str">
            <v>2433</v>
          </cell>
          <cell r="G1730" t="str">
            <v>2433</v>
          </cell>
          <cell r="H1730" t="str">
            <v>19780601</v>
          </cell>
          <cell r="I1730">
            <v>40676187</v>
          </cell>
        </row>
        <row r="1731">
          <cell r="A1731" t="str">
            <v>8200710</v>
          </cell>
          <cell r="B1731" t="str">
            <v>이　완　형</v>
          </cell>
          <cell r="C1731" t="str">
            <v>8200710이　완　형</v>
          </cell>
          <cell r="D1731" t="str">
            <v>서울외부</v>
          </cell>
          <cell r="E1731" t="str">
            <v>객실1(외부세척)</v>
          </cell>
          <cell r="F1731" t="str">
            <v>2433</v>
          </cell>
          <cell r="G1731" t="str">
            <v>2433</v>
          </cell>
          <cell r="H1731" t="str">
            <v>19820901</v>
          </cell>
          <cell r="I1731">
            <v>26269546</v>
          </cell>
        </row>
        <row r="1732">
          <cell r="A1732" t="str">
            <v>9204322</v>
          </cell>
          <cell r="B1732" t="str">
            <v>이　운　하</v>
          </cell>
          <cell r="C1732" t="str">
            <v>9204322이　운　하</v>
          </cell>
          <cell r="D1732" t="str">
            <v>서울외부</v>
          </cell>
          <cell r="E1732" t="str">
            <v>객실1(외부세척)</v>
          </cell>
          <cell r="F1732" t="str">
            <v>2433</v>
          </cell>
          <cell r="G1732" t="str">
            <v>2433</v>
          </cell>
          <cell r="H1732" t="str">
            <v>19920722</v>
          </cell>
          <cell r="I1732">
            <v>9199733</v>
          </cell>
        </row>
        <row r="1733">
          <cell r="A1733" t="str">
            <v>8000133</v>
          </cell>
          <cell r="B1733" t="str">
            <v>이　진　성</v>
          </cell>
          <cell r="C1733" t="str">
            <v>8000133이　진　성</v>
          </cell>
          <cell r="D1733" t="str">
            <v>서울외부</v>
          </cell>
          <cell r="E1733" t="str">
            <v>객실1(외부세척)</v>
          </cell>
          <cell r="F1733" t="str">
            <v>2433</v>
          </cell>
          <cell r="G1733" t="str">
            <v>2433</v>
          </cell>
          <cell r="H1733" t="str">
            <v>19981201</v>
          </cell>
          <cell r="I1733">
            <v>2008058</v>
          </cell>
        </row>
        <row r="1734">
          <cell r="A1734" t="str">
            <v>8600354</v>
          </cell>
          <cell r="B1734" t="str">
            <v>이　환　두</v>
          </cell>
          <cell r="C1734" t="str">
            <v>8600354이　환　두</v>
          </cell>
          <cell r="D1734" t="str">
            <v>서울외부</v>
          </cell>
          <cell r="E1734" t="str">
            <v>객실1(외부세척)</v>
          </cell>
          <cell r="F1734" t="str">
            <v>2433</v>
          </cell>
          <cell r="G1734" t="str">
            <v>2433</v>
          </cell>
          <cell r="H1734" t="str">
            <v>19870907</v>
          </cell>
          <cell r="I1734">
            <v>18935858</v>
          </cell>
        </row>
        <row r="1735">
          <cell r="A1735" t="str">
            <v>8100540</v>
          </cell>
          <cell r="B1735" t="str">
            <v>정　재　철</v>
          </cell>
          <cell r="C1735" t="str">
            <v>8100540정　재　철</v>
          </cell>
          <cell r="D1735" t="str">
            <v>서울외부</v>
          </cell>
          <cell r="E1735" t="str">
            <v>객실1(외부세척)</v>
          </cell>
          <cell r="F1735" t="str">
            <v>2433</v>
          </cell>
          <cell r="G1735" t="str">
            <v>2433</v>
          </cell>
          <cell r="H1735" t="str">
            <v>19811019</v>
          </cell>
          <cell r="I1735">
            <v>29569212</v>
          </cell>
        </row>
        <row r="1736">
          <cell r="A1736" t="str">
            <v>9503572</v>
          </cell>
          <cell r="B1736" t="str">
            <v>최　봉　녕</v>
          </cell>
          <cell r="C1736" t="str">
            <v>9503572최　봉　녕</v>
          </cell>
          <cell r="D1736" t="str">
            <v>서울외부</v>
          </cell>
          <cell r="E1736" t="str">
            <v>객실1(외부세척)</v>
          </cell>
          <cell r="F1736" t="str">
            <v>2433</v>
          </cell>
          <cell r="G1736" t="str">
            <v>2433</v>
          </cell>
          <cell r="H1736" t="str">
            <v>19951113</v>
          </cell>
          <cell r="I1736">
            <v>4448531</v>
          </cell>
        </row>
        <row r="1737">
          <cell r="A1737" t="str">
            <v>7900751</v>
          </cell>
          <cell r="B1737" t="str">
            <v>최　안　진</v>
          </cell>
          <cell r="C1737" t="str">
            <v>7900751최　안　진</v>
          </cell>
          <cell r="D1737" t="str">
            <v>서울외부</v>
          </cell>
          <cell r="E1737" t="str">
            <v>객실1(외부세척)</v>
          </cell>
          <cell r="F1737" t="str">
            <v>2433</v>
          </cell>
          <cell r="G1737" t="str">
            <v>2433</v>
          </cell>
          <cell r="H1737" t="str">
            <v>19791101</v>
          </cell>
          <cell r="I1737">
            <v>32927812</v>
          </cell>
        </row>
        <row r="1738">
          <cell r="A1738" t="str">
            <v>9200891</v>
          </cell>
          <cell r="B1738" t="str">
            <v>황　장　연</v>
          </cell>
          <cell r="C1738" t="str">
            <v>9200891황　장　연</v>
          </cell>
          <cell r="D1738" t="str">
            <v>서울외부</v>
          </cell>
          <cell r="E1738" t="str">
            <v>객실1(외부세척)</v>
          </cell>
          <cell r="F1738" t="str">
            <v>2433</v>
          </cell>
          <cell r="G1738" t="str">
            <v>2433</v>
          </cell>
          <cell r="H1738" t="str">
            <v>19920210</v>
          </cell>
          <cell r="I1738">
            <v>9744644</v>
          </cell>
        </row>
        <row r="1739">
          <cell r="A1739" t="str">
            <v>9301228</v>
          </cell>
          <cell r="B1739" t="str">
            <v>윤　병　로</v>
          </cell>
          <cell r="C1739" t="str">
            <v>9301228윤　병　로</v>
          </cell>
          <cell r="D1739" t="str">
            <v>CD20</v>
          </cell>
          <cell r="E1739" t="str">
            <v>기내식지원팀</v>
          </cell>
          <cell r="F1739" t="str">
            <v>2520</v>
          </cell>
          <cell r="G1739" t="str">
            <v>2520</v>
          </cell>
          <cell r="H1739" t="str">
            <v>19930301</v>
          </cell>
          <cell r="I1739">
            <v>8556682</v>
          </cell>
        </row>
        <row r="1740">
          <cell r="A1740" t="str">
            <v>8604268</v>
          </cell>
          <cell r="B1740" t="str">
            <v>최　재　균</v>
          </cell>
          <cell r="C1740" t="str">
            <v>8604268최　재　균</v>
          </cell>
          <cell r="D1740" t="str">
            <v>CD20</v>
          </cell>
          <cell r="E1740" t="str">
            <v>기내식지원팀</v>
          </cell>
          <cell r="F1740" t="str">
            <v>2520</v>
          </cell>
          <cell r="G1740" t="str">
            <v>2653</v>
          </cell>
          <cell r="H1740" t="str">
            <v>19861020</v>
          </cell>
          <cell r="I1740">
            <v>21629691</v>
          </cell>
        </row>
        <row r="1741">
          <cell r="A1741" t="str">
            <v>7800142</v>
          </cell>
          <cell r="B1741" t="str">
            <v>최　기　선</v>
          </cell>
          <cell r="C1741" t="str">
            <v>7800142최　기　선</v>
          </cell>
          <cell r="D1741" t="str">
            <v>CI10</v>
          </cell>
          <cell r="E1741" t="str">
            <v>기내식지원팀</v>
          </cell>
          <cell r="F1741" t="str">
            <v>2520</v>
          </cell>
          <cell r="G1741" t="str">
            <v>2520</v>
          </cell>
          <cell r="H1741" t="str">
            <v>19780322</v>
          </cell>
          <cell r="I1741">
            <v>41260785</v>
          </cell>
        </row>
        <row r="1742">
          <cell r="A1742" t="str">
            <v>9307394</v>
          </cell>
          <cell r="B1742" t="str">
            <v>강　석　성</v>
          </cell>
          <cell r="C1742" t="str">
            <v>9307394강　석　성</v>
          </cell>
          <cell r="D1742" t="str">
            <v>CI20</v>
          </cell>
          <cell r="E1742" t="str">
            <v>기내식지원팀</v>
          </cell>
          <cell r="F1742" t="str">
            <v>2520</v>
          </cell>
          <cell r="G1742" t="str">
            <v>2520</v>
          </cell>
          <cell r="H1742" t="str">
            <v>19931116</v>
          </cell>
          <cell r="I1742">
            <v>6872606</v>
          </cell>
        </row>
        <row r="1743">
          <cell r="A1743" t="str">
            <v>9404177</v>
          </cell>
          <cell r="B1743" t="str">
            <v>강　신　도</v>
          </cell>
          <cell r="C1743" t="str">
            <v>9404177강　신　도</v>
          </cell>
          <cell r="D1743" t="str">
            <v>CI20</v>
          </cell>
          <cell r="E1743" t="str">
            <v>기내식지원팀</v>
          </cell>
          <cell r="F1743" t="str">
            <v>2520</v>
          </cell>
          <cell r="G1743" t="e">
            <v>#N/A</v>
          </cell>
          <cell r="H1743" t="str">
            <v>19940701</v>
          </cell>
          <cell r="I1743">
            <v>6023791</v>
          </cell>
          <cell r="J1743" t="str">
            <v>11 월</v>
          </cell>
          <cell r="K1743">
            <v>8797492</v>
          </cell>
        </row>
        <row r="1744">
          <cell r="A1744" t="str">
            <v>9503976</v>
          </cell>
          <cell r="B1744" t="str">
            <v>강　인　구</v>
          </cell>
          <cell r="C1744" t="str">
            <v>9503976강　인　구</v>
          </cell>
          <cell r="D1744" t="str">
            <v>CI20</v>
          </cell>
          <cell r="E1744" t="str">
            <v>기내식지원팀</v>
          </cell>
          <cell r="F1744" t="str">
            <v>2520</v>
          </cell>
          <cell r="G1744" t="str">
            <v>2520</v>
          </cell>
          <cell r="H1744" t="str">
            <v>19951207</v>
          </cell>
          <cell r="I1744">
            <v>4442090</v>
          </cell>
        </row>
        <row r="1745">
          <cell r="A1745" t="str">
            <v>9451225</v>
          </cell>
          <cell r="B1745" t="str">
            <v>강　전　주</v>
          </cell>
          <cell r="C1745" t="str">
            <v>9451225강　전　주</v>
          </cell>
          <cell r="D1745" t="str">
            <v>CI20</v>
          </cell>
          <cell r="E1745" t="str">
            <v>기내식지원팀</v>
          </cell>
          <cell r="F1745" t="str">
            <v>2520</v>
          </cell>
          <cell r="G1745" t="str">
            <v>2520</v>
          </cell>
          <cell r="H1745" t="str">
            <v>19940601</v>
          </cell>
          <cell r="I1745">
            <v>5122000</v>
          </cell>
        </row>
        <row r="1746">
          <cell r="A1746" t="str">
            <v>7800625</v>
          </cell>
          <cell r="B1746" t="str">
            <v>강　태　구</v>
          </cell>
          <cell r="C1746" t="str">
            <v>7800625강　태　구</v>
          </cell>
          <cell r="D1746" t="str">
            <v>CI20</v>
          </cell>
          <cell r="E1746" t="str">
            <v>기내식지원팀</v>
          </cell>
          <cell r="F1746" t="str">
            <v>2520</v>
          </cell>
          <cell r="G1746" t="str">
            <v>2520</v>
          </cell>
          <cell r="H1746" t="str">
            <v>19780802</v>
          </cell>
          <cell r="I1746">
            <v>34181859</v>
          </cell>
        </row>
        <row r="1747">
          <cell r="A1747" t="str">
            <v>9502187</v>
          </cell>
          <cell r="B1747" t="str">
            <v>강　희　호</v>
          </cell>
          <cell r="C1747" t="str">
            <v>9502187강　희　호</v>
          </cell>
          <cell r="D1747" t="str">
            <v>CI20</v>
          </cell>
          <cell r="E1747" t="str">
            <v>기내식지원팀</v>
          </cell>
          <cell r="F1747" t="str">
            <v>2520</v>
          </cell>
          <cell r="G1747" t="str">
            <v>2520</v>
          </cell>
          <cell r="H1747" t="str">
            <v>19950816</v>
          </cell>
          <cell r="I1747">
            <v>4765698</v>
          </cell>
        </row>
        <row r="1748">
          <cell r="A1748" t="str">
            <v>9205817</v>
          </cell>
          <cell r="B1748" t="str">
            <v>경　호　석</v>
          </cell>
          <cell r="C1748" t="str">
            <v>9205817경　호　석</v>
          </cell>
          <cell r="D1748" t="str">
            <v>CI20</v>
          </cell>
          <cell r="E1748" t="str">
            <v>기내식지원팀</v>
          </cell>
          <cell r="F1748" t="str">
            <v>2520</v>
          </cell>
          <cell r="G1748" t="str">
            <v>2520</v>
          </cell>
          <cell r="H1748" t="str">
            <v>19921005</v>
          </cell>
          <cell r="I1748">
            <v>8249106</v>
          </cell>
        </row>
        <row r="1749">
          <cell r="A1749" t="str">
            <v>8150602</v>
          </cell>
          <cell r="B1749" t="str">
            <v>고　경　숙</v>
          </cell>
          <cell r="C1749" t="str">
            <v>8150602고　경　숙</v>
          </cell>
          <cell r="D1749" t="str">
            <v>CI20</v>
          </cell>
          <cell r="E1749" t="str">
            <v>기내식지원팀</v>
          </cell>
          <cell r="F1749" t="str">
            <v>2520</v>
          </cell>
          <cell r="G1749" t="str">
            <v>2520</v>
          </cell>
          <cell r="H1749" t="str">
            <v>19811101</v>
          </cell>
          <cell r="I1749">
            <v>32161598</v>
          </cell>
        </row>
        <row r="1750">
          <cell r="A1750" t="str">
            <v>9308204</v>
          </cell>
          <cell r="B1750" t="str">
            <v>고　성　철</v>
          </cell>
          <cell r="C1750" t="str">
            <v>9308204고　성　철</v>
          </cell>
          <cell r="D1750" t="str">
            <v>CI20</v>
          </cell>
          <cell r="E1750" t="str">
            <v>기내식지원팀</v>
          </cell>
          <cell r="F1750" t="str">
            <v>2520</v>
          </cell>
          <cell r="G1750" t="str">
            <v>2520</v>
          </cell>
          <cell r="H1750" t="str">
            <v>19931216</v>
          </cell>
          <cell r="I1750">
            <v>6856153</v>
          </cell>
        </row>
        <row r="1751">
          <cell r="A1751" t="str">
            <v>8300913</v>
          </cell>
          <cell r="B1751" t="str">
            <v>고　재　근</v>
          </cell>
          <cell r="C1751" t="str">
            <v>8300913고　재　근</v>
          </cell>
          <cell r="D1751" t="str">
            <v>CI20</v>
          </cell>
          <cell r="E1751" t="str">
            <v>기내식지원팀</v>
          </cell>
          <cell r="F1751" t="str">
            <v>2520</v>
          </cell>
          <cell r="G1751" t="str">
            <v>2520</v>
          </cell>
          <cell r="H1751" t="str">
            <v>19831201</v>
          </cell>
          <cell r="I1751">
            <v>24478595</v>
          </cell>
        </row>
        <row r="1752">
          <cell r="A1752" t="str">
            <v>9701796</v>
          </cell>
          <cell r="B1752" t="str">
            <v>곽　종　기</v>
          </cell>
          <cell r="C1752" t="str">
            <v>9701796곽　종　기</v>
          </cell>
          <cell r="D1752" t="str">
            <v>CI20</v>
          </cell>
          <cell r="E1752" t="str">
            <v>기내식지원팀</v>
          </cell>
          <cell r="F1752" t="str">
            <v>2520</v>
          </cell>
          <cell r="G1752" t="str">
            <v>2520</v>
          </cell>
          <cell r="H1752" t="str">
            <v>19970601</v>
          </cell>
          <cell r="I1752">
            <v>2661732</v>
          </cell>
        </row>
        <row r="1753">
          <cell r="A1753" t="str">
            <v>8100494</v>
          </cell>
          <cell r="B1753" t="str">
            <v>권　득　주</v>
          </cell>
          <cell r="C1753" t="str">
            <v>8100494권　득　주</v>
          </cell>
          <cell r="D1753" t="str">
            <v>CI20</v>
          </cell>
          <cell r="E1753" t="str">
            <v>기내식지원팀</v>
          </cell>
          <cell r="F1753" t="str">
            <v>2520</v>
          </cell>
          <cell r="G1753" t="str">
            <v>2520</v>
          </cell>
          <cell r="H1753" t="str">
            <v>19811019</v>
          </cell>
          <cell r="I1753">
            <v>31578244</v>
          </cell>
        </row>
        <row r="1754">
          <cell r="A1754" t="str">
            <v>9102227</v>
          </cell>
          <cell r="B1754" t="str">
            <v>권　맹　락</v>
          </cell>
          <cell r="C1754" t="str">
            <v>9102227권　맹　락</v>
          </cell>
          <cell r="D1754" t="str">
            <v>CI20</v>
          </cell>
          <cell r="E1754" t="str">
            <v>기내식지원팀</v>
          </cell>
          <cell r="F1754" t="str">
            <v>2520</v>
          </cell>
          <cell r="G1754" t="str">
            <v>2520</v>
          </cell>
          <cell r="H1754" t="str">
            <v>19910621</v>
          </cell>
          <cell r="I1754">
            <v>10745953</v>
          </cell>
        </row>
        <row r="1755">
          <cell r="A1755" t="str">
            <v>9302567</v>
          </cell>
          <cell r="B1755" t="str">
            <v>권　상　태</v>
          </cell>
          <cell r="C1755" t="str">
            <v>9302567권　상　태</v>
          </cell>
          <cell r="D1755" t="str">
            <v>CI20</v>
          </cell>
          <cell r="E1755" t="str">
            <v>기내식지원팀</v>
          </cell>
          <cell r="F1755" t="str">
            <v>2520</v>
          </cell>
          <cell r="G1755" t="str">
            <v>2520</v>
          </cell>
          <cell r="H1755" t="str">
            <v>19930517</v>
          </cell>
          <cell r="I1755">
            <v>7572286</v>
          </cell>
        </row>
        <row r="1756">
          <cell r="A1756" t="str">
            <v>7900874</v>
          </cell>
          <cell r="B1756" t="str">
            <v>권　종　무</v>
          </cell>
          <cell r="C1756" t="str">
            <v>7900874권　종　무</v>
          </cell>
          <cell r="D1756" t="str">
            <v>CI20</v>
          </cell>
          <cell r="E1756" t="str">
            <v>기내식지원팀</v>
          </cell>
          <cell r="F1756" t="str">
            <v>2520</v>
          </cell>
          <cell r="G1756" t="str">
            <v>2520</v>
          </cell>
          <cell r="H1756" t="str">
            <v>19981211</v>
          </cell>
          <cell r="I1756">
            <v>1955426</v>
          </cell>
        </row>
        <row r="1757">
          <cell r="A1757" t="str">
            <v>8901191</v>
          </cell>
          <cell r="B1757" t="str">
            <v>권　태　현</v>
          </cell>
          <cell r="C1757" t="str">
            <v>8901191권　태　현</v>
          </cell>
          <cell r="D1757" t="str">
            <v>CI20</v>
          </cell>
          <cell r="E1757" t="str">
            <v>기내식지원팀</v>
          </cell>
          <cell r="F1757" t="str">
            <v>2520</v>
          </cell>
          <cell r="G1757" t="str">
            <v>2520</v>
          </cell>
          <cell r="H1757" t="str">
            <v>19880914</v>
          </cell>
          <cell r="I1757">
            <v>14758796</v>
          </cell>
        </row>
        <row r="1758">
          <cell r="A1758" t="str">
            <v>8400767</v>
          </cell>
          <cell r="B1758" t="str">
            <v>권　혁　남</v>
          </cell>
          <cell r="C1758" t="str">
            <v>8400767권　혁　남</v>
          </cell>
          <cell r="D1758" t="str">
            <v>CI20</v>
          </cell>
          <cell r="E1758" t="str">
            <v>기내식지원팀</v>
          </cell>
          <cell r="F1758" t="str">
            <v>2520</v>
          </cell>
          <cell r="G1758" t="str">
            <v>2520</v>
          </cell>
          <cell r="H1758" t="str">
            <v>19840813</v>
          </cell>
          <cell r="I1758">
            <v>25301816</v>
          </cell>
        </row>
        <row r="1759">
          <cell r="A1759" t="str">
            <v>8601906</v>
          </cell>
          <cell r="B1759" t="str">
            <v>권　혁　면</v>
          </cell>
          <cell r="C1759" t="str">
            <v>8601906권　혁　면</v>
          </cell>
          <cell r="D1759" t="str">
            <v>CI20</v>
          </cell>
          <cell r="E1759" t="str">
            <v>기내식지원팀</v>
          </cell>
          <cell r="F1759" t="str">
            <v>2520</v>
          </cell>
          <cell r="G1759" t="str">
            <v>2520</v>
          </cell>
          <cell r="H1759" t="str">
            <v>19860616</v>
          </cell>
          <cell r="I1759">
            <v>21050378</v>
          </cell>
        </row>
        <row r="1760">
          <cell r="A1760" t="str">
            <v>9701807</v>
          </cell>
          <cell r="B1760" t="str">
            <v>기　정　업</v>
          </cell>
          <cell r="C1760" t="str">
            <v>9701807기　정　업</v>
          </cell>
          <cell r="D1760" t="str">
            <v>CI20</v>
          </cell>
          <cell r="E1760" t="str">
            <v>기내식지원팀</v>
          </cell>
          <cell r="F1760" t="str">
            <v>2520</v>
          </cell>
          <cell r="G1760" t="e">
            <v>#N/A</v>
          </cell>
          <cell r="H1760" t="str">
            <v>19970601</v>
          </cell>
          <cell r="I1760">
            <v>2692920</v>
          </cell>
          <cell r="J1760" t="str">
            <v>10 월</v>
          </cell>
          <cell r="K1760">
            <v>4279918</v>
          </cell>
        </row>
        <row r="1761">
          <cell r="A1761" t="str">
            <v>9003611</v>
          </cell>
          <cell r="B1761" t="str">
            <v>김　갑　수</v>
          </cell>
          <cell r="C1761" t="str">
            <v>9003611김　갑　수</v>
          </cell>
          <cell r="D1761" t="str">
            <v>CI20</v>
          </cell>
          <cell r="E1761" t="str">
            <v>기내식지원팀</v>
          </cell>
          <cell r="F1761" t="str">
            <v>2520</v>
          </cell>
          <cell r="G1761" t="e">
            <v>#N/A</v>
          </cell>
          <cell r="H1761" t="str">
            <v>19900702</v>
          </cell>
          <cell r="I1761">
            <v>12728131</v>
          </cell>
          <cell r="J1761" t="str">
            <v>8 월</v>
          </cell>
          <cell r="K1761">
            <v>15272437</v>
          </cell>
        </row>
        <row r="1762">
          <cell r="A1762" t="str">
            <v>8400442</v>
          </cell>
          <cell r="B1762" t="str">
            <v>김　경　렬</v>
          </cell>
          <cell r="C1762" t="str">
            <v>8400442김　경　렬</v>
          </cell>
          <cell r="D1762" t="str">
            <v>CI20</v>
          </cell>
          <cell r="E1762" t="str">
            <v>기내식지원팀</v>
          </cell>
          <cell r="F1762" t="str">
            <v>2520</v>
          </cell>
          <cell r="G1762" t="str">
            <v>2520</v>
          </cell>
          <cell r="H1762" t="str">
            <v>19840517</v>
          </cell>
          <cell r="I1762">
            <v>27143307</v>
          </cell>
        </row>
        <row r="1763">
          <cell r="A1763" t="str">
            <v>9501153</v>
          </cell>
          <cell r="B1763" t="str">
            <v>김　경　호</v>
          </cell>
          <cell r="C1763" t="str">
            <v>9501153김　경　호</v>
          </cell>
          <cell r="D1763" t="str">
            <v>CI20</v>
          </cell>
          <cell r="E1763" t="str">
            <v>기내식지원팀</v>
          </cell>
          <cell r="F1763" t="str">
            <v>2520</v>
          </cell>
          <cell r="G1763" t="str">
            <v>2520</v>
          </cell>
          <cell r="H1763" t="str">
            <v>19950615</v>
          </cell>
          <cell r="I1763">
            <v>5746826</v>
          </cell>
        </row>
        <row r="1764">
          <cell r="A1764" t="str">
            <v>9503932</v>
          </cell>
          <cell r="B1764" t="str">
            <v>김　광　희</v>
          </cell>
          <cell r="C1764" t="str">
            <v>9503932김　광　희</v>
          </cell>
          <cell r="D1764" t="str">
            <v>CI20</v>
          </cell>
          <cell r="E1764" t="str">
            <v>기내식지원팀</v>
          </cell>
          <cell r="F1764" t="str">
            <v>2520</v>
          </cell>
          <cell r="G1764" t="str">
            <v>2520</v>
          </cell>
          <cell r="H1764" t="str">
            <v>19951207</v>
          </cell>
          <cell r="I1764">
            <v>4404291</v>
          </cell>
        </row>
        <row r="1765">
          <cell r="A1765" t="str">
            <v>8100595</v>
          </cell>
          <cell r="B1765" t="str">
            <v>김　기　정</v>
          </cell>
          <cell r="C1765" t="str">
            <v>8100595김　기　정</v>
          </cell>
          <cell r="D1765" t="str">
            <v>CI20</v>
          </cell>
          <cell r="E1765" t="str">
            <v>기내식지원팀</v>
          </cell>
          <cell r="F1765" t="str">
            <v>2520</v>
          </cell>
          <cell r="G1765" t="e">
            <v>#N/A</v>
          </cell>
          <cell r="H1765" t="str">
            <v>19811101</v>
          </cell>
          <cell r="I1765">
            <v>37061410</v>
          </cell>
          <cell r="J1765" t="str">
            <v>7 월</v>
          </cell>
          <cell r="K1765">
            <v>62691090</v>
          </cell>
        </row>
        <row r="1766">
          <cell r="A1766" t="str">
            <v>8400227</v>
          </cell>
          <cell r="B1766" t="str">
            <v>김　명　선</v>
          </cell>
          <cell r="C1766" t="str">
            <v>8400227김　명　선</v>
          </cell>
          <cell r="D1766" t="str">
            <v>CI20</v>
          </cell>
          <cell r="E1766" t="str">
            <v>기내식지원팀</v>
          </cell>
          <cell r="F1766" t="str">
            <v>2520</v>
          </cell>
          <cell r="G1766" t="str">
            <v>2520</v>
          </cell>
          <cell r="H1766" t="str">
            <v>19840401</v>
          </cell>
          <cell r="I1766">
            <v>25836048</v>
          </cell>
        </row>
        <row r="1767">
          <cell r="A1767" t="str">
            <v>9402164</v>
          </cell>
          <cell r="B1767" t="str">
            <v>김　문　태</v>
          </cell>
          <cell r="C1767" t="str">
            <v>9402164김　문　태</v>
          </cell>
          <cell r="D1767" t="str">
            <v>CI20</v>
          </cell>
          <cell r="E1767" t="str">
            <v>기내식지원팀</v>
          </cell>
          <cell r="F1767" t="str">
            <v>2520</v>
          </cell>
          <cell r="G1767" t="str">
            <v>2520</v>
          </cell>
          <cell r="H1767" t="str">
            <v>19940418</v>
          </cell>
          <cell r="I1767">
            <v>6234679</v>
          </cell>
        </row>
        <row r="1768">
          <cell r="A1768" t="str">
            <v>9301882</v>
          </cell>
          <cell r="B1768" t="str">
            <v>김　민　철</v>
          </cell>
          <cell r="C1768" t="str">
            <v>9301882김　민　철</v>
          </cell>
          <cell r="D1768" t="str">
            <v>CI20</v>
          </cell>
          <cell r="E1768" t="str">
            <v>기내식지원팀</v>
          </cell>
          <cell r="F1768" t="str">
            <v>2520</v>
          </cell>
          <cell r="G1768" t="str">
            <v>2520</v>
          </cell>
          <cell r="H1768" t="str">
            <v>19930401</v>
          </cell>
          <cell r="I1768">
            <v>7678163</v>
          </cell>
        </row>
        <row r="1769">
          <cell r="A1769" t="str">
            <v>9101790</v>
          </cell>
          <cell r="B1769" t="str">
            <v>김　삼　회</v>
          </cell>
          <cell r="C1769" t="str">
            <v>9101790김　삼　회</v>
          </cell>
          <cell r="D1769" t="str">
            <v>CI20</v>
          </cell>
          <cell r="E1769" t="str">
            <v>기내식지원팀</v>
          </cell>
          <cell r="F1769" t="str">
            <v>2520</v>
          </cell>
          <cell r="G1769" t="str">
            <v>2520</v>
          </cell>
          <cell r="H1769" t="str">
            <v>19910520</v>
          </cell>
          <cell r="I1769">
            <v>9980960</v>
          </cell>
        </row>
        <row r="1770">
          <cell r="A1770" t="str">
            <v>9701818</v>
          </cell>
          <cell r="B1770" t="str">
            <v>김　상　우</v>
          </cell>
          <cell r="C1770" t="str">
            <v>9701818김　상　우</v>
          </cell>
          <cell r="D1770" t="str">
            <v>CI20</v>
          </cell>
          <cell r="E1770" t="str">
            <v>기내식지원팀</v>
          </cell>
          <cell r="F1770" t="str">
            <v>2520</v>
          </cell>
          <cell r="G1770" t="e">
            <v>#N/A</v>
          </cell>
          <cell r="H1770" t="str">
            <v>19970601</v>
          </cell>
          <cell r="I1770">
            <v>2682207</v>
          </cell>
          <cell r="J1770" t="str">
            <v>8 월</v>
          </cell>
          <cell r="K1770">
            <v>3873441</v>
          </cell>
        </row>
        <row r="1771">
          <cell r="A1771" t="str">
            <v>9307462</v>
          </cell>
          <cell r="B1771" t="str">
            <v>김　상　원</v>
          </cell>
          <cell r="C1771" t="str">
            <v>9307462김　상　원</v>
          </cell>
          <cell r="D1771" t="str">
            <v>CI20</v>
          </cell>
          <cell r="E1771" t="str">
            <v>기내식지원팀</v>
          </cell>
          <cell r="F1771" t="str">
            <v>2520</v>
          </cell>
          <cell r="G1771" t="str">
            <v>2520</v>
          </cell>
          <cell r="H1771" t="str">
            <v>19931116</v>
          </cell>
          <cell r="I1771">
            <v>6805600</v>
          </cell>
        </row>
        <row r="1772">
          <cell r="A1772" t="str">
            <v>9401940</v>
          </cell>
          <cell r="B1772" t="str">
            <v>김　상　태</v>
          </cell>
          <cell r="C1772" t="str">
            <v>9401940김　상　태</v>
          </cell>
          <cell r="D1772" t="str">
            <v>CI20</v>
          </cell>
          <cell r="E1772" t="str">
            <v>기내식지원팀</v>
          </cell>
          <cell r="F1772" t="str">
            <v>2520</v>
          </cell>
          <cell r="G1772" t="str">
            <v>2520</v>
          </cell>
          <cell r="H1772" t="str">
            <v>19940401</v>
          </cell>
          <cell r="I1772">
            <v>6303309</v>
          </cell>
        </row>
        <row r="1773">
          <cell r="A1773" t="str">
            <v>8702526</v>
          </cell>
          <cell r="B1773" t="str">
            <v>김　석　철</v>
          </cell>
          <cell r="C1773" t="str">
            <v>8702526김　석　철</v>
          </cell>
          <cell r="D1773" t="str">
            <v>CI20</v>
          </cell>
          <cell r="E1773" t="str">
            <v>기내식지원팀</v>
          </cell>
          <cell r="F1773" t="str">
            <v>2520</v>
          </cell>
          <cell r="G1773" t="str">
            <v>2520</v>
          </cell>
          <cell r="H1773" t="str">
            <v>19871201</v>
          </cell>
          <cell r="I1773">
            <v>19568196</v>
          </cell>
        </row>
        <row r="1774">
          <cell r="A1774" t="str">
            <v>9105052</v>
          </cell>
          <cell r="B1774" t="str">
            <v>김　선　태</v>
          </cell>
          <cell r="C1774" t="str">
            <v>9105052김　선　태</v>
          </cell>
          <cell r="D1774" t="str">
            <v>CI20</v>
          </cell>
          <cell r="E1774" t="str">
            <v>기내식지원팀</v>
          </cell>
          <cell r="F1774" t="str">
            <v>2520</v>
          </cell>
          <cell r="G1774" t="str">
            <v>2520</v>
          </cell>
          <cell r="H1774" t="str">
            <v>19911105</v>
          </cell>
          <cell r="I1774">
            <v>11705161</v>
          </cell>
        </row>
        <row r="1775">
          <cell r="A1775" t="str">
            <v>9451697</v>
          </cell>
          <cell r="B1775" t="str">
            <v>김　선　희</v>
          </cell>
          <cell r="C1775" t="str">
            <v>9451697김　선　희</v>
          </cell>
          <cell r="D1775" t="str">
            <v>CI20</v>
          </cell>
          <cell r="E1775" t="str">
            <v>기내식지원팀</v>
          </cell>
          <cell r="F1775" t="str">
            <v>2520</v>
          </cell>
          <cell r="G1775" t="str">
            <v>2420</v>
          </cell>
          <cell r="H1775" t="str">
            <v>19940801</v>
          </cell>
          <cell r="I1775">
            <v>4962871</v>
          </cell>
        </row>
        <row r="1776">
          <cell r="A1776" t="str">
            <v>9501390</v>
          </cell>
          <cell r="B1776" t="str">
            <v>김　성　주</v>
          </cell>
          <cell r="C1776" t="str">
            <v>9501390김　성　주</v>
          </cell>
          <cell r="D1776" t="str">
            <v>CI20</v>
          </cell>
          <cell r="E1776" t="str">
            <v>기내식지원팀</v>
          </cell>
          <cell r="F1776" t="str">
            <v>2520</v>
          </cell>
          <cell r="G1776" t="str">
            <v>2520</v>
          </cell>
          <cell r="H1776" t="str">
            <v>19950615</v>
          </cell>
          <cell r="I1776">
            <v>4922237</v>
          </cell>
        </row>
        <row r="1777">
          <cell r="A1777" t="str">
            <v>9202072</v>
          </cell>
          <cell r="B1777" t="str">
            <v>김　성　중</v>
          </cell>
          <cell r="C1777" t="str">
            <v>9202072김　성　중</v>
          </cell>
          <cell r="D1777" t="str">
            <v>CI20</v>
          </cell>
          <cell r="E1777" t="str">
            <v>기내식지원팀</v>
          </cell>
          <cell r="F1777" t="str">
            <v>2520</v>
          </cell>
          <cell r="G1777" t="str">
            <v>2520</v>
          </cell>
          <cell r="H1777" t="str">
            <v>19920416</v>
          </cell>
          <cell r="I1777">
            <v>9579255</v>
          </cell>
        </row>
        <row r="1778">
          <cell r="A1778" t="str">
            <v>9201565</v>
          </cell>
          <cell r="B1778" t="str">
            <v>김　성　진</v>
          </cell>
          <cell r="C1778" t="str">
            <v>9201565김　성　진</v>
          </cell>
          <cell r="D1778" t="str">
            <v>CI20</v>
          </cell>
          <cell r="E1778" t="str">
            <v>기내식지원팀</v>
          </cell>
          <cell r="F1778" t="str">
            <v>2520</v>
          </cell>
          <cell r="G1778" t="e">
            <v>#N/A</v>
          </cell>
          <cell r="H1778" t="str">
            <v>19920401</v>
          </cell>
          <cell r="I1778">
            <v>8812359</v>
          </cell>
          <cell r="J1778" t="str">
            <v>3 월</v>
          </cell>
          <cell r="K1778">
            <v>9113167</v>
          </cell>
        </row>
        <row r="1779">
          <cell r="A1779" t="str">
            <v>9500938</v>
          </cell>
          <cell r="B1779" t="str">
            <v>김　성　학</v>
          </cell>
          <cell r="C1779" t="str">
            <v>9500938김　성　학</v>
          </cell>
          <cell r="D1779" t="str">
            <v>CI20</v>
          </cell>
          <cell r="E1779" t="str">
            <v>기내식지원팀</v>
          </cell>
          <cell r="F1779" t="str">
            <v>2520</v>
          </cell>
          <cell r="G1779" t="str">
            <v>2520</v>
          </cell>
          <cell r="H1779" t="str">
            <v>19950417</v>
          </cell>
          <cell r="I1779">
            <v>5387187</v>
          </cell>
        </row>
        <row r="1780">
          <cell r="A1780" t="str">
            <v>9304075</v>
          </cell>
          <cell r="B1780" t="str">
            <v>김　순　규</v>
          </cell>
          <cell r="C1780" t="str">
            <v>9304075김　순　규</v>
          </cell>
          <cell r="D1780" t="str">
            <v>CI20</v>
          </cell>
          <cell r="E1780" t="str">
            <v>기내식지원팀</v>
          </cell>
          <cell r="F1780" t="str">
            <v>2520</v>
          </cell>
          <cell r="G1780" t="str">
            <v>2520</v>
          </cell>
          <cell r="H1780" t="str">
            <v>19930701</v>
          </cell>
          <cell r="I1780">
            <v>8589763</v>
          </cell>
        </row>
        <row r="1781">
          <cell r="A1781" t="str">
            <v>8603730</v>
          </cell>
          <cell r="B1781" t="str">
            <v>김　순　덕</v>
          </cell>
          <cell r="C1781" t="str">
            <v>8603730김　순　덕</v>
          </cell>
          <cell r="D1781" t="str">
            <v>CI20</v>
          </cell>
          <cell r="E1781" t="str">
            <v>기내식지원팀</v>
          </cell>
          <cell r="F1781" t="str">
            <v>2520</v>
          </cell>
          <cell r="G1781" t="str">
            <v>2520</v>
          </cell>
          <cell r="H1781" t="str">
            <v>19860901</v>
          </cell>
          <cell r="I1781">
            <v>23562958</v>
          </cell>
        </row>
        <row r="1782">
          <cell r="A1782" t="str">
            <v>9251908</v>
          </cell>
          <cell r="B1782" t="str">
            <v>김　승　순</v>
          </cell>
          <cell r="C1782" t="str">
            <v>9251908김　승　순</v>
          </cell>
          <cell r="D1782" t="str">
            <v>CI20</v>
          </cell>
          <cell r="E1782" t="str">
            <v>기내식지원팀</v>
          </cell>
          <cell r="F1782" t="str">
            <v>2520</v>
          </cell>
          <cell r="G1782" t="str">
            <v>2420</v>
          </cell>
          <cell r="H1782" t="str">
            <v>19920810</v>
          </cell>
          <cell r="I1782">
            <v>6942814</v>
          </cell>
        </row>
        <row r="1783">
          <cell r="A1783" t="str">
            <v>8603414</v>
          </cell>
          <cell r="B1783" t="str">
            <v>김　양　석</v>
          </cell>
          <cell r="C1783" t="str">
            <v>8603414김　양　석</v>
          </cell>
          <cell r="D1783" t="str">
            <v>CI20</v>
          </cell>
          <cell r="E1783" t="str">
            <v>기내식지원팀</v>
          </cell>
          <cell r="F1783" t="str">
            <v>2520</v>
          </cell>
          <cell r="G1783" t="e">
            <v>#N/A</v>
          </cell>
          <cell r="H1783" t="str">
            <v>19860901</v>
          </cell>
          <cell r="I1783">
            <v>26967259</v>
          </cell>
          <cell r="J1783" t="str">
            <v>9 월</v>
          </cell>
          <cell r="K1783">
            <v>60363430</v>
          </cell>
        </row>
        <row r="1784">
          <cell r="A1784" t="str">
            <v>9502391</v>
          </cell>
          <cell r="B1784" t="str">
            <v>김　영　배</v>
          </cell>
          <cell r="C1784" t="str">
            <v>9502391김　영　배</v>
          </cell>
          <cell r="D1784" t="str">
            <v>CI20</v>
          </cell>
          <cell r="E1784" t="str">
            <v>기내식지원팀</v>
          </cell>
          <cell r="F1784" t="str">
            <v>2520</v>
          </cell>
          <cell r="G1784" t="str">
            <v>2520</v>
          </cell>
          <cell r="H1784" t="str">
            <v>19950916</v>
          </cell>
          <cell r="I1784">
            <v>4596235</v>
          </cell>
        </row>
        <row r="1785">
          <cell r="A1785" t="str">
            <v>8550652</v>
          </cell>
          <cell r="B1785" t="str">
            <v>김　영　수</v>
          </cell>
          <cell r="C1785" t="str">
            <v>8550652김　영　수</v>
          </cell>
          <cell r="D1785" t="str">
            <v>CI20</v>
          </cell>
          <cell r="E1785" t="str">
            <v>기내식지원팀</v>
          </cell>
          <cell r="F1785" t="str">
            <v>2520</v>
          </cell>
          <cell r="G1785" t="str">
            <v>2520</v>
          </cell>
          <cell r="H1785" t="str">
            <v>19850601</v>
          </cell>
          <cell r="I1785">
            <v>20271295</v>
          </cell>
        </row>
        <row r="1786">
          <cell r="A1786" t="str">
            <v>9202702</v>
          </cell>
          <cell r="B1786" t="str">
            <v>김　영　철</v>
          </cell>
          <cell r="C1786" t="str">
            <v>9202702김　영　철</v>
          </cell>
          <cell r="D1786" t="str">
            <v>CI20</v>
          </cell>
          <cell r="E1786" t="str">
            <v>기내식지원팀</v>
          </cell>
          <cell r="F1786" t="str">
            <v>2520</v>
          </cell>
          <cell r="G1786" t="str">
            <v>2520</v>
          </cell>
          <cell r="H1786" t="str">
            <v>19920501</v>
          </cell>
          <cell r="I1786">
            <v>9591470</v>
          </cell>
        </row>
        <row r="1787">
          <cell r="A1787" t="str">
            <v>8604764</v>
          </cell>
          <cell r="B1787" t="str">
            <v>김　운　규</v>
          </cell>
          <cell r="C1787" t="str">
            <v>8604764김　운　규</v>
          </cell>
          <cell r="D1787" t="str">
            <v>CI20</v>
          </cell>
          <cell r="E1787" t="str">
            <v>기내식지원팀</v>
          </cell>
          <cell r="F1787" t="str">
            <v>2520</v>
          </cell>
          <cell r="G1787" t="str">
            <v>2520</v>
          </cell>
          <cell r="H1787" t="str">
            <v>19861001</v>
          </cell>
          <cell r="I1787">
            <v>21122919</v>
          </cell>
        </row>
        <row r="1788">
          <cell r="A1788" t="str">
            <v>8603493</v>
          </cell>
          <cell r="B1788" t="str">
            <v>김　윤　석</v>
          </cell>
          <cell r="C1788" t="str">
            <v>8603493김　윤　석</v>
          </cell>
          <cell r="D1788" t="str">
            <v>CI20</v>
          </cell>
          <cell r="E1788" t="str">
            <v>기내식지원팀</v>
          </cell>
          <cell r="F1788" t="str">
            <v>2520</v>
          </cell>
          <cell r="G1788" t="e">
            <v>#N/A</v>
          </cell>
          <cell r="H1788" t="str">
            <v>19860901</v>
          </cell>
          <cell r="I1788">
            <v>25791463</v>
          </cell>
          <cell r="J1788" t="str">
            <v>6 월</v>
          </cell>
          <cell r="K1788">
            <v>40329953</v>
          </cell>
        </row>
        <row r="1789">
          <cell r="A1789" t="str">
            <v>8603493</v>
          </cell>
          <cell r="B1789" t="str">
            <v>김　윤　석</v>
          </cell>
          <cell r="C1789" t="str">
            <v>8603493김　윤　석</v>
          </cell>
          <cell r="D1789" t="str">
            <v>CI20</v>
          </cell>
          <cell r="E1789" t="str">
            <v>기내식지원팀</v>
          </cell>
          <cell r="F1789" t="str">
            <v>2520</v>
          </cell>
          <cell r="G1789" t="e">
            <v>#N/A</v>
          </cell>
          <cell r="H1789" t="str">
            <v>19860901</v>
          </cell>
          <cell r="J1789" t="str">
            <v>7 월</v>
          </cell>
          <cell r="K1789">
            <v>2412963</v>
          </cell>
        </row>
        <row r="1790">
          <cell r="A1790" t="str">
            <v>9001258</v>
          </cell>
          <cell r="B1790" t="str">
            <v>김　은　종</v>
          </cell>
          <cell r="C1790" t="str">
            <v>9001258김　은　종</v>
          </cell>
          <cell r="D1790" t="str">
            <v>CI20</v>
          </cell>
          <cell r="E1790" t="str">
            <v>기내식지원팀</v>
          </cell>
          <cell r="F1790" t="str">
            <v>2520</v>
          </cell>
          <cell r="G1790" t="str">
            <v>2520</v>
          </cell>
          <cell r="H1790" t="str">
            <v>19891005</v>
          </cell>
          <cell r="I1790">
            <v>13304492</v>
          </cell>
        </row>
        <row r="1791">
          <cell r="A1791" t="str">
            <v>8604325</v>
          </cell>
          <cell r="B1791" t="str">
            <v>김　인　산</v>
          </cell>
          <cell r="C1791" t="str">
            <v>8604325김　인　산</v>
          </cell>
          <cell r="D1791" t="str">
            <v>CI20</v>
          </cell>
          <cell r="E1791" t="str">
            <v>기내식지원팀</v>
          </cell>
          <cell r="F1791" t="str">
            <v>2520</v>
          </cell>
          <cell r="G1791" t="str">
            <v>2520</v>
          </cell>
          <cell r="H1791" t="str">
            <v>19861020</v>
          </cell>
          <cell r="I1791">
            <v>20478704</v>
          </cell>
        </row>
        <row r="1792">
          <cell r="A1792" t="str">
            <v>8250401</v>
          </cell>
          <cell r="B1792" t="str">
            <v>김　인　숙</v>
          </cell>
          <cell r="C1792" t="str">
            <v>8250401김　인　숙</v>
          </cell>
          <cell r="D1792" t="str">
            <v>CI20</v>
          </cell>
          <cell r="E1792" t="str">
            <v>기내식지원팀</v>
          </cell>
          <cell r="F1792" t="str">
            <v>2520</v>
          </cell>
          <cell r="G1792" t="str">
            <v>2520</v>
          </cell>
          <cell r="H1792" t="str">
            <v>19821216</v>
          </cell>
          <cell r="I1792">
            <v>33003887</v>
          </cell>
        </row>
        <row r="1793">
          <cell r="A1793" t="str">
            <v>9450123</v>
          </cell>
          <cell r="B1793" t="str">
            <v>김　임　란</v>
          </cell>
          <cell r="C1793" t="str">
            <v>9450123김　임　란</v>
          </cell>
          <cell r="D1793" t="str">
            <v>CI20</v>
          </cell>
          <cell r="E1793" t="str">
            <v>기내식지원팀</v>
          </cell>
          <cell r="F1793" t="str">
            <v>2520</v>
          </cell>
          <cell r="G1793" t="str">
            <v>2520</v>
          </cell>
          <cell r="H1793" t="str">
            <v>19940105</v>
          </cell>
          <cell r="I1793">
            <v>5528344</v>
          </cell>
        </row>
        <row r="1794">
          <cell r="A1794" t="str">
            <v>8501512</v>
          </cell>
          <cell r="B1794" t="str">
            <v>김　자　연</v>
          </cell>
          <cell r="C1794" t="str">
            <v>8501512김　자　연</v>
          </cell>
          <cell r="D1794" t="str">
            <v>CI20</v>
          </cell>
          <cell r="E1794" t="str">
            <v>기내식지원팀</v>
          </cell>
          <cell r="F1794" t="str">
            <v>2520</v>
          </cell>
          <cell r="G1794" t="str">
            <v>2520</v>
          </cell>
          <cell r="H1794" t="str">
            <v>19981211</v>
          </cell>
          <cell r="I1794">
            <v>1705311</v>
          </cell>
        </row>
        <row r="1795">
          <cell r="A1795" t="str">
            <v>8201182</v>
          </cell>
          <cell r="B1795" t="str">
            <v>김　재　성</v>
          </cell>
          <cell r="C1795" t="str">
            <v>8201182김　재　성</v>
          </cell>
          <cell r="D1795" t="str">
            <v>CI20</v>
          </cell>
          <cell r="E1795" t="str">
            <v>기내식지원팀</v>
          </cell>
          <cell r="F1795" t="str">
            <v>2520</v>
          </cell>
          <cell r="G1795" t="str">
            <v>2520</v>
          </cell>
          <cell r="H1795" t="str">
            <v>19821016</v>
          </cell>
          <cell r="I1795">
            <v>28220609</v>
          </cell>
        </row>
        <row r="1796">
          <cell r="A1796" t="str">
            <v>9204096</v>
          </cell>
          <cell r="B1796" t="str">
            <v>김　정　남</v>
          </cell>
          <cell r="C1796" t="str">
            <v>9204096김　정　남</v>
          </cell>
          <cell r="D1796" t="str">
            <v>CI20</v>
          </cell>
          <cell r="E1796" t="str">
            <v>기내식지원팀</v>
          </cell>
          <cell r="F1796" t="str">
            <v>2520</v>
          </cell>
          <cell r="G1796" t="str">
            <v>2520</v>
          </cell>
          <cell r="H1796" t="str">
            <v>19920722</v>
          </cell>
          <cell r="I1796">
            <v>10045321</v>
          </cell>
        </row>
        <row r="1797">
          <cell r="A1797" t="str">
            <v>8450807</v>
          </cell>
          <cell r="B1797" t="str">
            <v>김　정　미</v>
          </cell>
          <cell r="C1797" t="str">
            <v>8450807김　정　미</v>
          </cell>
          <cell r="D1797" t="str">
            <v>CI20</v>
          </cell>
          <cell r="E1797" t="str">
            <v>기내식지원팀</v>
          </cell>
          <cell r="F1797" t="str">
            <v>2520</v>
          </cell>
          <cell r="G1797" t="str">
            <v>2520</v>
          </cell>
          <cell r="H1797" t="str">
            <v>19840901</v>
          </cell>
          <cell r="I1797">
            <v>29839203</v>
          </cell>
        </row>
        <row r="1798">
          <cell r="A1798" t="str">
            <v>8901224</v>
          </cell>
          <cell r="B1798" t="str">
            <v>김　정　완</v>
          </cell>
          <cell r="C1798" t="str">
            <v>8901224김　정　완</v>
          </cell>
          <cell r="D1798" t="str">
            <v>CI20</v>
          </cell>
          <cell r="E1798" t="str">
            <v>기내식지원팀</v>
          </cell>
          <cell r="F1798" t="str">
            <v>2520</v>
          </cell>
          <cell r="G1798" t="str">
            <v>2520</v>
          </cell>
          <cell r="H1798" t="str">
            <v>19880901</v>
          </cell>
          <cell r="I1798">
            <v>15084006</v>
          </cell>
        </row>
        <row r="1799">
          <cell r="A1799" t="str">
            <v>9305357</v>
          </cell>
          <cell r="B1799" t="str">
            <v>김　정　훈</v>
          </cell>
          <cell r="C1799" t="str">
            <v>9305357김　정　훈</v>
          </cell>
          <cell r="D1799" t="str">
            <v>CI20</v>
          </cell>
          <cell r="E1799" t="str">
            <v>기내식지원팀</v>
          </cell>
          <cell r="F1799" t="str">
            <v>2520</v>
          </cell>
          <cell r="G1799" t="str">
            <v>2520</v>
          </cell>
          <cell r="H1799" t="str">
            <v>19930816</v>
          </cell>
          <cell r="I1799">
            <v>7539491</v>
          </cell>
        </row>
        <row r="1800">
          <cell r="A1800" t="str">
            <v>9105783</v>
          </cell>
          <cell r="B1800" t="str">
            <v>김　종　규</v>
          </cell>
          <cell r="C1800" t="str">
            <v>9105783김　종　규</v>
          </cell>
          <cell r="D1800" t="str">
            <v>CI20</v>
          </cell>
          <cell r="E1800" t="str">
            <v>기내식지원팀</v>
          </cell>
          <cell r="F1800" t="str">
            <v>2520</v>
          </cell>
          <cell r="G1800" t="str">
            <v>2520</v>
          </cell>
          <cell r="H1800" t="str">
            <v>19911201</v>
          </cell>
          <cell r="I1800">
            <v>10342689</v>
          </cell>
        </row>
        <row r="1801">
          <cell r="A1801" t="str">
            <v>9503921</v>
          </cell>
          <cell r="B1801" t="str">
            <v>김　종　기</v>
          </cell>
          <cell r="C1801" t="str">
            <v>9503921김　종　기</v>
          </cell>
          <cell r="D1801" t="str">
            <v>CI20</v>
          </cell>
          <cell r="E1801" t="str">
            <v>기내식지원팀</v>
          </cell>
          <cell r="F1801" t="str">
            <v>2520</v>
          </cell>
          <cell r="G1801" t="str">
            <v>2520</v>
          </cell>
          <cell r="H1801" t="str">
            <v>19951207</v>
          </cell>
          <cell r="I1801">
            <v>4407354</v>
          </cell>
        </row>
        <row r="1802">
          <cell r="A1802" t="str">
            <v>8401342</v>
          </cell>
          <cell r="B1802" t="str">
            <v>김　종　민</v>
          </cell>
          <cell r="C1802" t="str">
            <v>8401342김　종　민</v>
          </cell>
          <cell r="D1802" t="str">
            <v>CI20</v>
          </cell>
          <cell r="E1802" t="str">
            <v>기내식지원팀</v>
          </cell>
          <cell r="F1802" t="str">
            <v>2520</v>
          </cell>
          <cell r="G1802" t="e">
            <v>#N/A</v>
          </cell>
          <cell r="H1802" t="str">
            <v>19841001</v>
          </cell>
          <cell r="I1802">
            <v>25294404</v>
          </cell>
          <cell r="J1802" t="str">
            <v>8 월</v>
          </cell>
          <cell r="K1802">
            <v>30128957</v>
          </cell>
        </row>
        <row r="1803">
          <cell r="A1803" t="str">
            <v>8200980</v>
          </cell>
          <cell r="B1803" t="str">
            <v>김　종　육</v>
          </cell>
          <cell r="C1803" t="str">
            <v>8200980김　종　육</v>
          </cell>
          <cell r="D1803" t="str">
            <v>CI20</v>
          </cell>
          <cell r="E1803" t="str">
            <v>기내식지원팀</v>
          </cell>
          <cell r="F1803" t="str">
            <v>2520</v>
          </cell>
          <cell r="G1803" t="str">
            <v>2520</v>
          </cell>
          <cell r="H1803" t="str">
            <v>19821016</v>
          </cell>
          <cell r="I1803">
            <v>30730664</v>
          </cell>
        </row>
        <row r="1804">
          <cell r="A1804" t="str">
            <v>9307653</v>
          </cell>
          <cell r="B1804" t="str">
            <v>김　종　필</v>
          </cell>
          <cell r="C1804" t="str">
            <v>9307653김　종　필</v>
          </cell>
          <cell r="D1804" t="str">
            <v>CI20</v>
          </cell>
          <cell r="E1804" t="str">
            <v>기내식지원팀</v>
          </cell>
          <cell r="F1804" t="str">
            <v>2520</v>
          </cell>
          <cell r="G1804" t="str">
            <v>2520</v>
          </cell>
          <cell r="H1804" t="str">
            <v>19931201</v>
          </cell>
          <cell r="I1804">
            <v>6975321</v>
          </cell>
        </row>
        <row r="1805">
          <cell r="A1805" t="str">
            <v>8201081</v>
          </cell>
          <cell r="B1805" t="str">
            <v>김　종　현</v>
          </cell>
          <cell r="C1805" t="str">
            <v>8201081김　종　현</v>
          </cell>
          <cell r="D1805" t="str">
            <v>CI20</v>
          </cell>
          <cell r="E1805" t="str">
            <v>기내식지원팀</v>
          </cell>
          <cell r="F1805" t="str">
            <v>2520</v>
          </cell>
          <cell r="G1805" t="str">
            <v>2520</v>
          </cell>
          <cell r="H1805" t="str">
            <v>19821016</v>
          </cell>
          <cell r="I1805">
            <v>28938527</v>
          </cell>
        </row>
        <row r="1806">
          <cell r="A1806" t="str">
            <v>9002711</v>
          </cell>
          <cell r="B1806" t="str">
            <v>김　주　원</v>
          </cell>
          <cell r="C1806" t="str">
            <v>9002711김　주　원</v>
          </cell>
          <cell r="D1806" t="str">
            <v>CI20</v>
          </cell>
          <cell r="E1806" t="str">
            <v>기내식지원팀</v>
          </cell>
          <cell r="F1806" t="str">
            <v>2520</v>
          </cell>
          <cell r="G1806" t="str">
            <v>2520</v>
          </cell>
          <cell r="H1806" t="str">
            <v>19900201</v>
          </cell>
          <cell r="I1806">
            <v>12682930</v>
          </cell>
        </row>
        <row r="1807">
          <cell r="A1807" t="str">
            <v>9105568</v>
          </cell>
          <cell r="B1807" t="str">
            <v>김　주　회</v>
          </cell>
          <cell r="C1807" t="str">
            <v>9105568김　주　회</v>
          </cell>
          <cell r="D1807" t="str">
            <v>CI20</v>
          </cell>
          <cell r="E1807" t="str">
            <v>기내식지원팀</v>
          </cell>
          <cell r="F1807" t="str">
            <v>2520</v>
          </cell>
          <cell r="G1807" t="str">
            <v>2520</v>
          </cell>
          <cell r="H1807" t="str">
            <v>19911201</v>
          </cell>
          <cell r="I1807">
            <v>9231945</v>
          </cell>
        </row>
        <row r="1808">
          <cell r="A1808" t="str">
            <v>9003486</v>
          </cell>
          <cell r="B1808" t="str">
            <v>김　준　회</v>
          </cell>
          <cell r="C1808" t="str">
            <v>9003486김　준　회</v>
          </cell>
          <cell r="D1808" t="str">
            <v>CI20</v>
          </cell>
          <cell r="E1808" t="str">
            <v>기내식지원팀</v>
          </cell>
          <cell r="F1808" t="str">
            <v>2520</v>
          </cell>
          <cell r="G1808" t="str">
            <v>2520</v>
          </cell>
          <cell r="H1808" t="str">
            <v>19900702</v>
          </cell>
          <cell r="I1808">
            <v>12172790</v>
          </cell>
        </row>
        <row r="1809">
          <cell r="A1809" t="str">
            <v>9202623</v>
          </cell>
          <cell r="B1809" t="str">
            <v>김　진　석</v>
          </cell>
          <cell r="C1809" t="str">
            <v>9202623김　진　석</v>
          </cell>
          <cell r="D1809" t="str">
            <v>CI20</v>
          </cell>
          <cell r="E1809" t="str">
            <v>기내식지원팀</v>
          </cell>
          <cell r="F1809" t="str">
            <v>2520</v>
          </cell>
          <cell r="G1809" t="str">
            <v>2520</v>
          </cell>
          <cell r="H1809" t="str">
            <v>19920501</v>
          </cell>
          <cell r="I1809">
            <v>8864999</v>
          </cell>
        </row>
        <row r="1810">
          <cell r="A1810" t="str">
            <v>8901617</v>
          </cell>
          <cell r="B1810" t="str">
            <v>김　진　원</v>
          </cell>
          <cell r="C1810" t="str">
            <v>8901617김　진　원</v>
          </cell>
          <cell r="D1810" t="str">
            <v>CI20</v>
          </cell>
          <cell r="E1810" t="str">
            <v>기내식지원팀</v>
          </cell>
          <cell r="F1810" t="str">
            <v>2520</v>
          </cell>
          <cell r="G1810" t="str">
            <v>2520</v>
          </cell>
          <cell r="H1810" t="str">
            <v>19881128</v>
          </cell>
          <cell r="I1810">
            <v>16458133</v>
          </cell>
        </row>
        <row r="1811">
          <cell r="A1811" t="str">
            <v>9206886</v>
          </cell>
          <cell r="B1811" t="str">
            <v>김　진　일</v>
          </cell>
          <cell r="C1811" t="str">
            <v>9206886김　진　일</v>
          </cell>
          <cell r="D1811" t="str">
            <v>CI20</v>
          </cell>
          <cell r="E1811" t="str">
            <v>기내식지원팀</v>
          </cell>
          <cell r="F1811" t="str">
            <v>2520</v>
          </cell>
          <cell r="G1811" t="str">
            <v>2520</v>
          </cell>
          <cell r="H1811" t="str">
            <v>19921101</v>
          </cell>
          <cell r="I1811">
            <v>8074046</v>
          </cell>
        </row>
        <row r="1812">
          <cell r="A1812" t="str">
            <v>9302681</v>
          </cell>
          <cell r="B1812" t="str">
            <v>김　진　형</v>
          </cell>
          <cell r="C1812" t="str">
            <v>9302681김　진　형</v>
          </cell>
          <cell r="D1812" t="str">
            <v>CI20</v>
          </cell>
          <cell r="E1812" t="str">
            <v>기내식지원팀</v>
          </cell>
          <cell r="F1812" t="str">
            <v>2520</v>
          </cell>
          <cell r="G1812" t="e">
            <v>#N/A</v>
          </cell>
          <cell r="H1812" t="str">
            <v>19930517</v>
          </cell>
          <cell r="I1812">
            <v>7395596</v>
          </cell>
          <cell r="J1812" t="str">
            <v>10 월</v>
          </cell>
          <cell r="K1812">
            <v>9857064</v>
          </cell>
        </row>
        <row r="1813">
          <cell r="A1813" t="str">
            <v>9307080</v>
          </cell>
          <cell r="B1813" t="str">
            <v>김　찬　우</v>
          </cell>
          <cell r="C1813" t="str">
            <v>9307080김　찬　우</v>
          </cell>
          <cell r="D1813" t="str">
            <v>CI20</v>
          </cell>
          <cell r="E1813" t="str">
            <v>기내식지원팀</v>
          </cell>
          <cell r="F1813" t="str">
            <v>2520</v>
          </cell>
          <cell r="G1813" t="str">
            <v>2520</v>
          </cell>
          <cell r="H1813" t="str">
            <v>19931101</v>
          </cell>
          <cell r="I1813">
            <v>6923531</v>
          </cell>
        </row>
        <row r="1814">
          <cell r="A1814" t="str">
            <v>8604718</v>
          </cell>
          <cell r="B1814" t="str">
            <v>김　창　헌</v>
          </cell>
          <cell r="C1814" t="str">
            <v>8604718김　창　헌</v>
          </cell>
          <cell r="D1814" t="str">
            <v>CI20</v>
          </cell>
          <cell r="E1814" t="str">
            <v>기내식지원팀</v>
          </cell>
          <cell r="F1814" t="str">
            <v>2520</v>
          </cell>
          <cell r="G1814" t="str">
            <v>2520</v>
          </cell>
          <cell r="H1814" t="str">
            <v>19861001</v>
          </cell>
          <cell r="I1814">
            <v>23601308</v>
          </cell>
        </row>
        <row r="1815">
          <cell r="A1815" t="str">
            <v>9501287</v>
          </cell>
          <cell r="B1815" t="str">
            <v>김　천　겸</v>
          </cell>
          <cell r="C1815" t="str">
            <v>9501287김　천　겸</v>
          </cell>
          <cell r="D1815" t="str">
            <v>CI20</v>
          </cell>
          <cell r="E1815" t="str">
            <v>기내식지원팀</v>
          </cell>
          <cell r="F1815" t="str">
            <v>2520</v>
          </cell>
          <cell r="G1815" t="str">
            <v>2520</v>
          </cell>
          <cell r="H1815" t="str">
            <v>19950615</v>
          </cell>
          <cell r="I1815">
            <v>5807431</v>
          </cell>
        </row>
        <row r="1816">
          <cell r="A1816" t="str">
            <v>8600084</v>
          </cell>
          <cell r="B1816" t="str">
            <v>김　철　헌</v>
          </cell>
          <cell r="C1816" t="str">
            <v>8600084김　철　헌</v>
          </cell>
          <cell r="D1816" t="str">
            <v>CI20</v>
          </cell>
          <cell r="E1816" t="str">
            <v>기내식지원팀</v>
          </cell>
          <cell r="F1816" t="str">
            <v>2520</v>
          </cell>
          <cell r="G1816" t="str">
            <v>2520</v>
          </cell>
          <cell r="H1816" t="str">
            <v>19860912</v>
          </cell>
          <cell r="I1816">
            <v>22831072</v>
          </cell>
        </row>
        <row r="1817">
          <cell r="A1817" t="str">
            <v>9005231</v>
          </cell>
          <cell r="B1817" t="str">
            <v>김　춘　성</v>
          </cell>
          <cell r="C1817" t="str">
            <v>9005231김　춘　성</v>
          </cell>
          <cell r="D1817" t="str">
            <v>CI20</v>
          </cell>
          <cell r="E1817" t="str">
            <v>기내식지원팀</v>
          </cell>
          <cell r="F1817" t="str">
            <v>2520</v>
          </cell>
          <cell r="G1817" t="str">
            <v>2520</v>
          </cell>
          <cell r="H1817" t="str">
            <v>19901206</v>
          </cell>
          <cell r="I1817">
            <v>12573753</v>
          </cell>
        </row>
        <row r="1818">
          <cell r="A1818" t="str">
            <v>9403907</v>
          </cell>
          <cell r="B1818" t="str">
            <v>김　충　석</v>
          </cell>
          <cell r="C1818" t="str">
            <v>9403907김　충　석</v>
          </cell>
          <cell r="D1818" t="str">
            <v>CI20</v>
          </cell>
          <cell r="E1818" t="str">
            <v>기내식지원팀</v>
          </cell>
          <cell r="F1818" t="str">
            <v>2520</v>
          </cell>
          <cell r="G1818" t="str">
            <v>2520</v>
          </cell>
          <cell r="H1818" t="str">
            <v>19940616</v>
          </cell>
          <cell r="I1818">
            <v>6153497</v>
          </cell>
        </row>
        <row r="1819">
          <cell r="A1819" t="str">
            <v>8600207</v>
          </cell>
          <cell r="B1819" t="str">
            <v>김　태　준</v>
          </cell>
          <cell r="C1819" t="str">
            <v>8600207김　태　준</v>
          </cell>
          <cell r="D1819" t="str">
            <v>CI20</v>
          </cell>
          <cell r="E1819" t="str">
            <v>기내식지원팀</v>
          </cell>
          <cell r="F1819" t="str">
            <v>2520</v>
          </cell>
          <cell r="G1819" t="str">
            <v>2520</v>
          </cell>
          <cell r="H1819" t="str">
            <v>19860912</v>
          </cell>
          <cell r="I1819">
            <v>23219712</v>
          </cell>
        </row>
        <row r="1820">
          <cell r="A1820" t="str">
            <v>8201160</v>
          </cell>
          <cell r="B1820" t="str">
            <v>김　판　호</v>
          </cell>
          <cell r="C1820" t="str">
            <v>8201160김　판　호</v>
          </cell>
          <cell r="D1820" t="str">
            <v>CI20</v>
          </cell>
          <cell r="E1820" t="str">
            <v>기내식지원팀</v>
          </cell>
          <cell r="F1820" t="str">
            <v>2520</v>
          </cell>
          <cell r="G1820" t="str">
            <v>2520</v>
          </cell>
          <cell r="H1820" t="str">
            <v>19981001</v>
          </cell>
          <cell r="I1820">
            <v>2099545</v>
          </cell>
        </row>
        <row r="1821">
          <cell r="A1821" t="str">
            <v>8501591</v>
          </cell>
          <cell r="B1821" t="str">
            <v>김　한　승</v>
          </cell>
          <cell r="C1821" t="str">
            <v>8501591김　한　승</v>
          </cell>
          <cell r="D1821" t="str">
            <v>CI20</v>
          </cell>
          <cell r="E1821" t="str">
            <v>기내식지원팀</v>
          </cell>
          <cell r="F1821" t="str">
            <v>2520</v>
          </cell>
          <cell r="G1821" t="str">
            <v>2520</v>
          </cell>
          <cell r="H1821" t="str">
            <v>19850701</v>
          </cell>
          <cell r="I1821">
            <v>21850673</v>
          </cell>
        </row>
        <row r="1822">
          <cell r="A1822" t="str">
            <v>9202645</v>
          </cell>
          <cell r="B1822" t="str">
            <v>김　현　래</v>
          </cell>
          <cell r="C1822" t="str">
            <v>9202645김　현　래</v>
          </cell>
          <cell r="D1822" t="str">
            <v>CI20</v>
          </cell>
          <cell r="E1822" t="str">
            <v>기내식지원팀</v>
          </cell>
          <cell r="F1822" t="str">
            <v>2520</v>
          </cell>
          <cell r="G1822" t="str">
            <v>2520</v>
          </cell>
          <cell r="H1822" t="str">
            <v>19920501</v>
          </cell>
          <cell r="I1822">
            <v>9583499</v>
          </cell>
        </row>
        <row r="1823">
          <cell r="A1823" t="str">
            <v>8603954</v>
          </cell>
          <cell r="B1823" t="str">
            <v>김　형　식</v>
          </cell>
          <cell r="C1823" t="str">
            <v>8603954김　형　식</v>
          </cell>
          <cell r="D1823" t="str">
            <v>CI20</v>
          </cell>
          <cell r="E1823" t="str">
            <v>기내식지원팀</v>
          </cell>
          <cell r="F1823" t="str">
            <v>2520</v>
          </cell>
          <cell r="G1823" t="str">
            <v>2520</v>
          </cell>
          <cell r="H1823" t="str">
            <v>19860916</v>
          </cell>
          <cell r="I1823">
            <v>20544579</v>
          </cell>
        </row>
        <row r="1824">
          <cell r="A1824" t="str">
            <v>8800918</v>
          </cell>
          <cell r="B1824" t="str">
            <v>김　형　주</v>
          </cell>
          <cell r="C1824" t="str">
            <v>8800918김　형　주</v>
          </cell>
          <cell r="D1824" t="str">
            <v>CI20</v>
          </cell>
          <cell r="E1824" t="str">
            <v>기내식지원팀</v>
          </cell>
          <cell r="F1824" t="str">
            <v>2520</v>
          </cell>
          <cell r="G1824" t="e">
            <v>#N/A</v>
          </cell>
          <cell r="H1824" t="str">
            <v>19880602</v>
          </cell>
          <cell r="I1824">
            <v>15350326</v>
          </cell>
          <cell r="J1824" t="str">
            <v>5 월</v>
          </cell>
          <cell r="K1824">
            <v>15922661</v>
          </cell>
        </row>
        <row r="1825">
          <cell r="A1825" t="str">
            <v>8100753</v>
          </cell>
          <cell r="B1825" t="str">
            <v>김　흥　수</v>
          </cell>
          <cell r="C1825" t="str">
            <v>8100753김　흥　수</v>
          </cell>
          <cell r="D1825" t="str">
            <v>CI20</v>
          </cell>
          <cell r="E1825" t="str">
            <v>기내식지원팀</v>
          </cell>
          <cell r="F1825" t="str">
            <v>2520</v>
          </cell>
          <cell r="G1825" t="str">
            <v>2520</v>
          </cell>
          <cell r="H1825" t="str">
            <v>19811101</v>
          </cell>
          <cell r="I1825">
            <v>33046191</v>
          </cell>
        </row>
        <row r="1826">
          <cell r="A1826" t="str">
            <v>8501635</v>
          </cell>
          <cell r="B1826" t="str">
            <v>나　봉　석</v>
          </cell>
          <cell r="C1826" t="str">
            <v>8501635나　봉　석</v>
          </cell>
          <cell r="D1826" t="str">
            <v>CI20</v>
          </cell>
          <cell r="E1826" t="str">
            <v>기내식지원팀</v>
          </cell>
          <cell r="F1826" t="str">
            <v>2520</v>
          </cell>
          <cell r="G1826" t="str">
            <v>2520</v>
          </cell>
          <cell r="H1826" t="str">
            <v>19850701</v>
          </cell>
          <cell r="I1826">
            <v>22991580</v>
          </cell>
        </row>
        <row r="1827">
          <cell r="A1827" t="str">
            <v>9202691</v>
          </cell>
          <cell r="B1827" t="str">
            <v>나　영　흠</v>
          </cell>
          <cell r="C1827" t="str">
            <v>9202691나　영　흠</v>
          </cell>
          <cell r="D1827" t="str">
            <v>CI20</v>
          </cell>
          <cell r="E1827" t="str">
            <v>기내식지원팀</v>
          </cell>
          <cell r="F1827" t="str">
            <v>2520</v>
          </cell>
          <cell r="G1827" t="str">
            <v>2520</v>
          </cell>
          <cell r="H1827" t="str">
            <v>19920501</v>
          </cell>
          <cell r="I1827">
            <v>9539267</v>
          </cell>
        </row>
        <row r="1828">
          <cell r="A1828" t="str">
            <v>8500926</v>
          </cell>
          <cell r="B1828" t="str">
            <v>나　재　용</v>
          </cell>
          <cell r="C1828" t="str">
            <v>8500926나　재　용</v>
          </cell>
          <cell r="D1828" t="str">
            <v>CI20</v>
          </cell>
          <cell r="E1828" t="str">
            <v>기내식지원팀</v>
          </cell>
          <cell r="F1828" t="str">
            <v>2520</v>
          </cell>
          <cell r="G1828" t="str">
            <v>2520</v>
          </cell>
          <cell r="H1828" t="str">
            <v>19850416</v>
          </cell>
          <cell r="I1828">
            <v>21943101</v>
          </cell>
        </row>
        <row r="1829">
          <cell r="A1829" t="str">
            <v>9500567</v>
          </cell>
          <cell r="B1829" t="str">
            <v>남　성　민</v>
          </cell>
          <cell r="C1829" t="str">
            <v>9500567남　성　민</v>
          </cell>
          <cell r="D1829" t="str">
            <v>CI20</v>
          </cell>
          <cell r="E1829" t="str">
            <v>기내식지원팀</v>
          </cell>
          <cell r="F1829" t="str">
            <v>2520</v>
          </cell>
          <cell r="G1829" t="str">
            <v>2520</v>
          </cell>
          <cell r="H1829" t="str">
            <v>19950105</v>
          </cell>
          <cell r="I1829">
            <v>5474549</v>
          </cell>
        </row>
        <row r="1830">
          <cell r="A1830" t="str">
            <v>9503010</v>
          </cell>
          <cell r="B1830" t="str">
            <v>남　중　호</v>
          </cell>
          <cell r="C1830" t="str">
            <v>9503010남　중　호</v>
          </cell>
          <cell r="D1830" t="str">
            <v>CI20</v>
          </cell>
          <cell r="E1830" t="str">
            <v>기내식지원팀</v>
          </cell>
          <cell r="F1830" t="str">
            <v>2520</v>
          </cell>
          <cell r="G1830" t="str">
            <v>2520</v>
          </cell>
          <cell r="H1830" t="str">
            <v>19951023</v>
          </cell>
          <cell r="I1830">
            <v>4534614</v>
          </cell>
        </row>
        <row r="1831">
          <cell r="A1831" t="str">
            <v>8600567</v>
          </cell>
          <cell r="B1831" t="str">
            <v>문　재　근</v>
          </cell>
          <cell r="C1831" t="str">
            <v>8600567문　재　근</v>
          </cell>
          <cell r="D1831" t="str">
            <v>CI20</v>
          </cell>
          <cell r="E1831" t="str">
            <v>기내식지원팀</v>
          </cell>
          <cell r="F1831" t="str">
            <v>2520</v>
          </cell>
          <cell r="G1831" t="e">
            <v>#N/A</v>
          </cell>
          <cell r="H1831" t="str">
            <v>19860912</v>
          </cell>
          <cell r="I1831">
            <v>20168177</v>
          </cell>
          <cell r="J1831" t="str">
            <v>3 월</v>
          </cell>
          <cell r="K1831">
            <v>20647638</v>
          </cell>
        </row>
        <row r="1832">
          <cell r="A1832" t="str">
            <v>9250942</v>
          </cell>
          <cell r="B1832" t="str">
            <v>문　춘　자</v>
          </cell>
          <cell r="C1832" t="str">
            <v>9250942문　춘　자</v>
          </cell>
          <cell r="D1832" t="str">
            <v>CI20</v>
          </cell>
          <cell r="E1832" t="str">
            <v>기내식지원팀</v>
          </cell>
          <cell r="F1832" t="str">
            <v>2520</v>
          </cell>
          <cell r="G1832" t="str">
            <v>2520</v>
          </cell>
          <cell r="H1832" t="str">
            <v>19920416</v>
          </cell>
          <cell r="I1832">
            <v>8168536</v>
          </cell>
        </row>
        <row r="1833">
          <cell r="A1833" t="str">
            <v>9207022</v>
          </cell>
          <cell r="B1833" t="str">
            <v>민　병　욱</v>
          </cell>
          <cell r="C1833" t="str">
            <v>9207022민　병　욱</v>
          </cell>
          <cell r="D1833" t="str">
            <v>CI20</v>
          </cell>
          <cell r="E1833" t="str">
            <v>기내식지원팀</v>
          </cell>
          <cell r="F1833" t="str">
            <v>2520</v>
          </cell>
          <cell r="G1833" t="e">
            <v>#N/A</v>
          </cell>
          <cell r="H1833" t="str">
            <v>19921101</v>
          </cell>
          <cell r="I1833">
            <v>7949790</v>
          </cell>
          <cell r="J1833" t="str">
            <v>11 월</v>
          </cell>
          <cell r="K1833">
            <v>10910533</v>
          </cell>
        </row>
        <row r="1834">
          <cell r="A1834" t="str">
            <v>8604887</v>
          </cell>
          <cell r="B1834" t="str">
            <v>민　병　일</v>
          </cell>
          <cell r="C1834" t="str">
            <v>8604887민　병　일</v>
          </cell>
          <cell r="D1834" t="str">
            <v>CI20</v>
          </cell>
          <cell r="E1834" t="str">
            <v>기내식지원팀</v>
          </cell>
          <cell r="F1834" t="str">
            <v>2520</v>
          </cell>
          <cell r="G1834" t="str">
            <v>2520</v>
          </cell>
          <cell r="H1834" t="str">
            <v>19861101</v>
          </cell>
          <cell r="I1834">
            <v>25263030</v>
          </cell>
        </row>
        <row r="1835">
          <cell r="A1835" t="str">
            <v>9000696</v>
          </cell>
          <cell r="B1835" t="str">
            <v>민　인　호</v>
          </cell>
          <cell r="C1835" t="str">
            <v>9000696민　인　호</v>
          </cell>
          <cell r="D1835" t="str">
            <v>CI20</v>
          </cell>
          <cell r="E1835" t="str">
            <v>기내식지원팀</v>
          </cell>
          <cell r="F1835" t="str">
            <v>2520</v>
          </cell>
          <cell r="G1835" t="str">
            <v>2520</v>
          </cell>
          <cell r="H1835" t="str">
            <v>19890718</v>
          </cell>
          <cell r="I1835">
            <v>15506924</v>
          </cell>
        </row>
        <row r="1836">
          <cell r="A1836" t="str">
            <v>9401747</v>
          </cell>
          <cell r="B1836" t="str">
            <v>민　진　식</v>
          </cell>
          <cell r="C1836" t="str">
            <v>9401747민　진　식</v>
          </cell>
          <cell r="D1836" t="str">
            <v>CI20</v>
          </cell>
          <cell r="E1836" t="str">
            <v>기내식지원팀</v>
          </cell>
          <cell r="F1836" t="str">
            <v>2520</v>
          </cell>
          <cell r="G1836" t="str">
            <v>2520</v>
          </cell>
          <cell r="H1836" t="str">
            <v>19940314</v>
          </cell>
          <cell r="I1836">
            <v>6413927</v>
          </cell>
        </row>
        <row r="1837">
          <cell r="A1837" t="str">
            <v>8201147</v>
          </cell>
          <cell r="B1837" t="str">
            <v>민　청　식</v>
          </cell>
          <cell r="C1837" t="str">
            <v>8201147민　청　식</v>
          </cell>
          <cell r="D1837" t="str">
            <v>CI20</v>
          </cell>
          <cell r="E1837" t="str">
            <v>기내식지원팀</v>
          </cell>
          <cell r="F1837" t="str">
            <v>2520</v>
          </cell>
          <cell r="G1837" t="str">
            <v>2520</v>
          </cell>
          <cell r="H1837" t="str">
            <v>19821016</v>
          </cell>
          <cell r="I1837">
            <v>29713001</v>
          </cell>
        </row>
        <row r="1838">
          <cell r="A1838" t="str">
            <v>9451710</v>
          </cell>
          <cell r="B1838" t="str">
            <v>민　춘　식</v>
          </cell>
          <cell r="C1838" t="str">
            <v>9451710민　춘　식</v>
          </cell>
          <cell r="D1838" t="str">
            <v>CI20</v>
          </cell>
          <cell r="E1838" t="str">
            <v>기내식지원팀</v>
          </cell>
          <cell r="F1838" t="str">
            <v>2520</v>
          </cell>
          <cell r="G1838" t="str">
            <v>2420</v>
          </cell>
          <cell r="H1838" t="str">
            <v>19940801</v>
          </cell>
          <cell r="I1838">
            <v>4959376</v>
          </cell>
        </row>
        <row r="1839">
          <cell r="A1839" t="str">
            <v>8604630</v>
          </cell>
          <cell r="B1839" t="str">
            <v>민　태　호</v>
          </cell>
          <cell r="C1839" t="str">
            <v>8604630민　태　호</v>
          </cell>
          <cell r="D1839" t="str">
            <v>CI20</v>
          </cell>
          <cell r="E1839" t="str">
            <v>기내식지원팀</v>
          </cell>
          <cell r="F1839" t="str">
            <v>2520</v>
          </cell>
          <cell r="G1839" t="str">
            <v>2520</v>
          </cell>
          <cell r="H1839" t="str">
            <v>19861001</v>
          </cell>
          <cell r="I1839">
            <v>24515577</v>
          </cell>
        </row>
        <row r="1840">
          <cell r="A1840" t="str">
            <v>9503954</v>
          </cell>
          <cell r="B1840" t="str">
            <v>박　계　원</v>
          </cell>
          <cell r="C1840" t="str">
            <v>9503954박　계　원</v>
          </cell>
          <cell r="D1840" t="str">
            <v>CI20</v>
          </cell>
          <cell r="E1840" t="str">
            <v>기내식지원팀</v>
          </cell>
          <cell r="F1840" t="str">
            <v>2520</v>
          </cell>
          <cell r="G1840" t="str">
            <v>2520</v>
          </cell>
          <cell r="H1840" t="str">
            <v>19951207</v>
          </cell>
          <cell r="I1840">
            <v>4503804</v>
          </cell>
        </row>
        <row r="1841">
          <cell r="A1841" t="str">
            <v>7900727</v>
          </cell>
          <cell r="B1841" t="str">
            <v>박　광　재</v>
          </cell>
          <cell r="C1841" t="str">
            <v>7900727박　광　재</v>
          </cell>
          <cell r="D1841" t="str">
            <v>CI20</v>
          </cell>
          <cell r="E1841" t="str">
            <v>기내식지원팀</v>
          </cell>
          <cell r="F1841" t="str">
            <v>2520</v>
          </cell>
          <cell r="G1841" t="str">
            <v>2520</v>
          </cell>
          <cell r="H1841" t="str">
            <v>19791101</v>
          </cell>
          <cell r="I1841">
            <v>35940333</v>
          </cell>
        </row>
        <row r="1842">
          <cell r="A1842" t="str">
            <v>9500826</v>
          </cell>
          <cell r="B1842" t="str">
            <v>박　기　복</v>
          </cell>
          <cell r="C1842" t="str">
            <v>9500826박　기　복</v>
          </cell>
          <cell r="D1842" t="str">
            <v>CI20</v>
          </cell>
          <cell r="E1842" t="str">
            <v>기내식지원팀</v>
          </cell>
          <cell r="F1842" t="str">
            <v>2520</v>
          </cell>
          <cell r="G1842" t="e">
            <v>#N/A</v>
          </cell>
          <cell r="H1842" t="str">
            <v>19950417</v>
          </cell>
          <cell r="I1842">
            <v>5070558</v>
          </cell>
          <cell r="J1842" t="str">
            <v>10 월</v>
          </cell>
          <cell r="K1842">
            <v>7235828</v>
          </cell>
        </row>
        <row r="1843">
          <cell r="A1843" t="str">
            <v>8900100</v>
          </cell>
          <cell r="B1843" t="str">
            <v>박　기　주</v>
          </cell>
          <cell r="C1843" t="str">
            <v>8900100박　기　주</v>
          </cell>
          <cell r="D1843" t="str">
            <v>CI20</v>
          </cell>
          <cell r="E1843" t="str">
            <v>기내식지원팀</v>
          </cell>
          <cell r="F1843" t="str">
            <v>2520</v>
          </cell>
          <cell r="G1843" t="str">
            <v>2520</v>
          </cell>
          <cell r="H1843" t="str">
            <v>19880719</v>
          </cell>
          <cell r="I1843">
            <v>16952635</v>
          </cell>
        </row>
        <row r="1844">
          <cell r="A1844" t="str">
            <v>8600466</v>
          </cell>
          <cell r="B1844" t="str">
            <v>박　노　진</v>
          </cell>
          <cell r="C1844" t="str">
            <v>8600466박　노　진</v>
          </cell>
          <cell r="D1844" t="str">
            <v>CI20</v>
          </cell>
          <cell r="E1844" t="str">
            <v>기내식지원팀</v>
          </cell>
          <cell r="F1844" t="str">
            <v>2520</v>
          </cell>
          <cell r="G1844" t="str">
            <v>2520</v>
          </cell>
          <cell r="H1844" t="str">
            <v>19970720</v>
          </cell>
          <cell r="I1844">
            <v>4453626</v>
          </cell>
        </row>
        <row r="1845">
          <cell r="A1845" t="str">
            <v>9101632</v>
          </cell>
          <cell r="B1845" t="str">
            <v>박　병　남</v>
          </cell>
          <cell r="C1845" t="str">
            <v>9101632박　병　남</v>
          </cell>
          <cell r="D1845" t="str">
            <v>CI20</v>
          </cell>
          <cell r="E1845" t="str">
            <v>기내식지원팀</v>
          </cell>
          <cell r="F1845" t="str">
            <v>2520</v>
          </cell>
          <cell r="G1845" t="e">
            <v>#N/A</v>
          </cell>
          <cell r="H1845" t="str">
            <v>19910502</v>
          </cell>
          <cell r="I1845">
            <v>10210742</v>
          </cell>
          <cell r="J1845" t="str">
            <v>9 월</v>
          </cell>
          <cell r="K1845">
            <v>13167427</v>
          </cell>
        </row>
        <row r="1846">
          <cell r="A1846" t="str">
            <v>9207371</v>
          </cell>
          <cell r="B1846" t="str">
            <v>박　상　수</v>
          </cell>
          <cell r="C1846" t="str">
            <v>9207371박　상　수</v>
          </cell>
          <cell r="D1846" t="str">
            <v>CI20</v>
          </cell>
          <cell r="E1846" t="str">
            <v>기내식지원팀</v>
          </cell>
          <cell r="F1846" t="str">
            <v>2520</v>
          </cell>
          <cell r="G1846" t="str">
            <v>2520</v>
          </cell>
          <cell r="H1846" t="str">
            <v>19921116</v>
          </cell>
          <cell r="I1846">
            <v>7998186</v>
          </cell>
        </row>
        <row r="1847">
          <cell r="A1847" t="str">
            <v>9201240</v>
          </cell>
          <cell r="B1847" t="str">
            <v>박　성　식</v>
          </cell>
          <cell r="C1847" t="str">
            <v>9201240박　성　식</v>
          </cell>
          <cell r="D1847" t="str">
            <v>CI20</v>
          </cell>
          <cell r="E1847" t="str">
            <v>기내식지원팀</v>
          </cell>
          <cell r="F1847" t="str">
            <v>2520</v>
          </cell>
          <cell r="G1847" t="str">
            <v>2520</v>
          </cell>
          <cell r="H1847" t="str">
            <v>19920316</v>
          </cell>
          <cell r="I1847">
            <v>9584747</v>
          </cell>
        </row>
        <row r="1848">
          <cell r="A1848" t="str">
            <v>9201677</v>
          </cell>
          <cell r="B1848" t="str">
            <v>박　세　군</v>
          </cell>
          <cell r="C1848" t="str">
            <v>9201677박　세　군</v>
          </cell>
          <cell r="D1848" t="str">
            <v>CI20</v>
          </cell>
          <cell r="E1848" t="str">
            <v>기내식지원팀</v>
          </cell>
          <cell r="F1848" t="str">
            <v>2520</v>
          </cell>
          <cell r="G1848" t="e">
            <v>#N/A</v>
          </cell>
          <cell r="H1848" t="str">
            <v>19920401</v>
          </cell>
          <cell r="I1848">
            <v>8777492</v>
          </cell>
          <cell r="J1848" t="str">
            <v>8 월</v>
          </cell>
          <cell r="K1848">
            <v>11205819</v>
          </cell>
        </row>
        <row r="1849">
          <cell r="A1849" t="str">
            <v>8601041</v>
          </cell>
          <cell r="B1849" t="str">
            <v>박　세　열</v>
          </cell>
          <cell r="C1849" t="str">
            <v>8601041박　세　열</v>
          </cell>
          <cell r="D1849" t="str">
            <v>CI20</v>
          </cell>
          <cell r="E1849" t="str">
            <v>기내식지원팀</v>
          </cell>
          <cell r="F1849" t="str">
            <v>2520</v>
          </cell>
          <cell r="G1849" t="str">
            <v>2520</v>
          </cell>
          <cell r="H1849" t="str">
            <v>19860507</v>
          </cell>
          <cell r="I1849">
            <v>21809286</v>
          </cell>
        </row>
        <row r="1850">
          <cell r="A1850" t="str">
            <v>9501366</v>
          </cell>
          <cell r="B1850" t="str">
            <v>박　영　우</v>
          </cell>
          <cell r="C1850" t="str">
            <v>9501366박　영　우</v>
          </cell>
          <cell r="D1850" t="str">
            <v>CI20</v>
          </cell>
          <cell r="E1850" t="str">
            <v>기내식지원팀</v>
          </cell>
          <cell r="F1850" t="str">
            <v>2520</v>
          </cell>
          <cell r="G1850" t="str">
            <v>2520</v>
          </cell>
          <cell r="H1850" t="str">
            <v>19950615</v>
          </cell>
          <cell r="I1850">
            <v>4969049</v>
          </cell>
        </row>
        <row r="1851">
          <cell r="A1851" t="str">
            <v>8501646</v>
          </cell>
          <cell r="B1851" t="str">
            <v>박　인　홍</v>
          </cell>
          <cell r="C1851" t="str">
            <v>8501646박　인　홍</v>
          </cell>
          <cell r="D1851" t="str">
            <v>CI20</v>
          </cell>
          <cell r="E1851" t="str">
            <v>기내식지원팀</v>
          </cell>
          <cell r="F1851" t="str">
            <v>2520</v>
          </cell>
          <cell r="G1851" t="str">
            <v>2520</v>
          </cell>
          <cell r="H1851" t="str">
            <v>19850701</v>
          </cell>
          <cell r="I1851">
            <v>23196798</v>
          </cell>
        </row>
        <row r="1852">
          <cell r="A1852" t="str">
            <v>9502110</v>
          </cell>
          <cell r="B1852" t="str">
            <v>박　재　춘</v>
          </cell>
          <cell r="C1852" t="str">
            <v>9502110박　재　춘</v>
          </cell>
          <cell r="D1852" t="str">
            <v>CI20</v>
          </cell>
          <cell r="E1852" t="str">
            <v>기내식지원팀</v>
          </cell>
          <cell r="F1852" t="str">
            <v>2520</v>
          </cell>
          <cell r="G1852" t="str">
            <v>2520</v>
          </cell>
          <cell r="H1852" t="str">
            <v>19950816</v>
          </cell>
          <cell r="I1852">
            <v>4722504</v>
          </cell>
        </row>
        <row r="1853">
          <cell r="A1853" t="str">
            <v>8603662</v>
          </cell>
          <cell r="B1853" t="str">
            <v>박　창　남</v>
          </cell>
          <cell r="C1853" t="str">
            <v>8603662박　창　남</v>
          </cell>
          <cell r="D1853" t="str">
            <v>CI20</v>
          </cell>
          <cell r="E1853" t="str">
            <v>기내식지원팀</v>
          </cell>
          <cell r="F1853" t="str">
            <v>2520</v>
          </cell>
          <cell r="G1853" t="str">
            <v>2520</v>
          </cell>
          <cell r="H1853" t="str">
            <v>19860901</v>
          </cell>
          <cell r="I1853">
            <v>22862339</v>
          </cell>
        </row>
        <row r="1854">
          <cell r="A1854" t="str">
            <v>9304571</v>
          </cell>
          <cell r="B1854" t="str">
            <v>박　창　수</v>
          </cell>
          <cell r="C1854" t="str">
            <v>9304571박　창　수</v>
          </cell>
          <cell r="D1854" t="str">
            <v>CI20</v>
          </cell>
          <cell r="E1854" t="str">
            <v>기내식지원팀</v>
          </cell>
          <cell r="F1854" t="str">
            <v>2520</v>
          </cell>
          <cell r="G1854" t="str">
            <v>2520</v>
          </cell>
          <cell r="H1854" t="str">
            <v>19930801</v>
          </cell>
          <cell r="I1854">
            <v>7331536</v>
          </cell>
        </row>
        <row r="1855">
          <cell r="A1855" t="str">
            <v>8201158</v>
          </cell>
          <cell r="B1855" t="str">
            <v>배　장　식</v>
          </cell>
          <cell r="C1855" t="str">
            <v>8201158배　장　식</v>
          </cell>
          <cell r="D1855" t="str">
            <v>CI20</v>
          </cell>
          <cell r="E1855" t="str">
            <v>기내식지원팀</v>
          </cell>
          <cell r="F1855" t="str">
            <v>2520</v>
          </cell>
          <cell r="G1855" t="str">
            <v>2520</v>
          </cell>
          <cell r="H1855" t="str">
            <v>19821016</v>
          </cell>
          <cell r="I1855">
            <v>30038269</v>
          </cell>
        </row>
        <row r="1856">
          <cell r="A1856" t="str">
            <v>8800874</v>
          </cell>
          <cell r="B1856" t="str">
            <v>배　형　수</v>
          </cell>
          <cell r="C1856" t="str">
            <v>8800874배　형　수</v>
          </cell>
          <cell r="D1856" t="str">
            <v>CI20</v>
          </cell>
          <cell r="E1856" t="str">
            <v>기내식지원팀</v>
          </cell>
          <cell r="F1856" t="str">
            <v>2520</v>
          </cell>
          <cell r="G1856" t="str">
            <v>2520</v>
          </cell>
          <cell r="H1856" t="str">
            <v>19880622</v>
          </cell>
          <cell r="I1856">
            <v>15321492</v>
          </cell>
        </row>
        <row r="1857">
          <cell r="A1857" t="str">
            <v>9404717</v>
          </cell>
          <cell r="B1857" t="str">
            <v>백　승　은</v>
          </cell>
          <cell r="C1857" t="str">
            <v>9404717백　승　은</v>
          </cell>
          <cell r="D1857" t="str">
            <v>CI20</v>
          </cell>
          <cell r="E1857" t="str">
            <v>기내식지원팀</v>
          </cell>
          <cell r="F1857" t="str">
            <v>2520</v>
          </cell>
          <cell r="G1857" t="str">
            <v>2520</v>
          </cell>
          <cell r="H1857" t="str">
            <v>19940718</v>
          </cell>
          <cell r="I1857">
            <v>6085947</v>
          </cell>
        </row>
        <row r="1858">
          <cell r="A1858" t="str">
            <v>9501557</v>
          </cell>
          <cell r="B1858" t="str">
            <v>백　승　환</v>
          </cell>
          <cell r="C1858" t="str">
            <v>9501557백　승　환</v>
          </cell>
          <cell r="D1858" t="str">
            <v>CI20</v>
          </cell>
          <cell r="E1858" t="str">
            <v>기내식지원팀</v>
          </cell>
          <cell r="F1858" t="str">
            <v>2520</v>
          </cell>
          <cell r="G1858" t="str">
            <v>2520</v>
          </cell>
          <cell r="H1858" t="str">
            <v>19950710</v>
          </cell>
          <cell r="I1858">
            <v>4879477</v>
          </cell>
        </row>
        <row r="1859">
          <cell r="A1859" t="str">
            <v>9300082</v>
          </cell>
          <cell r="B1859" t="str">
            <v>백　운　엽</v>
          </cell>
          <cell r="C1859" t="str">
            <v>9300082백　운　엽</v>
          </cell>
          <cell r="D1859" t="str">
            <v>CI20</v>
          </cell>
          <cell r="E1859" t="str">
            <v>기내식지원팀</v>
          </cell>
          <cell r="F1859" t="str">
            <v>2520</v>
          </cell>
          <cell r="G1859" t="str">
            <v>2520</v>
          </cell>
          <cell r="H1859" t="str">
            <v>19930105</v>
          </cell>
          <cell r="I1859">
            <v>7801471</v>
          </cell>
        </row>
        <row r="1860">
          <cell r="A1860" t="str">
            <v>8500353</v>
          </cell>
          <cell r="B1860" t="str">
            <v>범　복　균</v>
          </cell>
          <cell r="C1860" t="str">
            <v>8500353범　복　균</v>
          </cell>
          <cell r="D1860" t="str">
            <v>CI20</v>
          </cell>
          <cell r="E1860" t="str">
            <v>기내식지원팀</v>
          </cell>
          <cell r="F1860" t="str">
            <v>2520</v>
          </cell>
          <cell r="G1860" t="str">
            <v>2520</v>
          </cell>
          <cell r="H1860" t="str">
            <v>19850215</v>
          </cell>
          <cell r="I1860">
            <v>20875357</v>
          </cell>
        </row>
        <row r="1861">
          <cell r="A1861" t="str">
            <v>9501513</v>
          </cell>
          <cell r="B1861" t="str">
            <v>사　영　남</v>
          </cell>
          <cell r="C1861" t="str">
            <v>9501513사　영　남</v>
          </cell>
          <cell r="D1861" t="str">
            <v>CI20</v>
          </cell>
          <cell r="E1861" t="str">
            <v>기내식지원팀</v>
          </cell>
          <cell r="F1861" t="str">
            <v>2520</v>
          </cell>
          <cell r="G1861" t="str">
            <v>2520</v>
          </cell>
          <cell r="H1861" t="str">
            <v>19950710</v>
          </cell>
          <cell r="I1861">
            <v>5105844</v>
          </cell>
        </row>
        <row r="1862">
          <cell r="A1862" t="str">
            <v>9702066</v>
          </cell>
          <cell r="B1862" t="str">
            <v>서　대　산</v>
          </cell>
          <cell r="C1862" t="str">
            <v>9702066서　대　산</v>
          </cell>
          <cell r="D1862" t="str">
            <v>CI20</v>
          </cell>
          <cell r="E1862" t="str">
            <v>기내식지원팀</v>
          </cell>
          <cell r="F1862" t="str">
            <v>2520</v>
          </cell>
          <cell r="G1862" t="str">
            <v>2520</v>
          </cell>
          <cell r="H1862" t="str">
            <v>19970725</v>
          </cell>
          <cell r="I1862">
            <v>2564367</v>
          </cell>
        </row>
        <row r="1863">
          <cell r="A1863" t="str">
            <v>9104398</v>
          </cell>
          <cell r="B1863" t="str">
            <v>서　동　연</v>
          </cell>
          <cell r="C1863" t="str">
            <v>9104398서　동　연</v>
          </cell>
          <cell r="D1863" t="str">
            <v>CI20</v>
          </cell>
          <cell r="E1863" t="str">
            <v>기내식지원팀</v>
          </cell>
          <cell r="F1863" t="str">
            <v>2520</v>
          </cell>
          <cell r="G1863" t="str">
            <v>2520</v>
          </cell>
          <cell r="H1863" t="str">
            <v>19911001</v>
          </cell>
          <cell r="I1863">
            <v>10418001</v>
          </cell>
        </row>
        <row r="1864">
          <cell r="A1864" t="str">
            <v>9503594</v>
          </cell>
          <cell r="B1864" t="str">
            <v>서　명　원</v>
          </cell>
          <cell r="C1864" t="str">
            <v>9503594서　명　원</v>
          </cell>
          <cell r="D1864" t="str">
            <v>CI20</v>
          </cell>
          <cell r="E1864" t="str">
            <v>기내식지원팀</v>
          </cell>
          <cell r="F1864" t="str">
            <v>2520</v>
          </cell>
          <cell r="G1864" t="str">
            <v>2520</v>
          </cell>
          <cell r="H1864" t="str">
            <v>19951207</v>
          </cell>
          <cell r="I1864">
            <v>4396117</v>
          </cell>
        </row>
        <row r="1865">
          <cell r="A1865" t="str">
            <v>9000652</v>
          </cell>
          <cell r="B1865" t="str">
            <v>서　재　원</v>
          </cell>
          <cell r="C1865" t="str">
            <v>9000652서　재　원</v>
          </cell>
          <cell r="D1865" t="str">
            <v>CI20</v>
          </cell>
          <cell r="E1865" t="str">
            <v>기내식지원팀</v>
          </cell>
          <cell r="F1865" t="str">
            <v>2520</v>
          </cell>
          <cell r="G1865" t="str">
            <v>2520</v>
          </cell>
          <cell r="H1865" t="str">
            <v>19890718</v>
          </cell>
          <cell r="I1865">
            <v>15472143</v>
          </cell>
        </row>
        <row r="1866">
          <cell r="A1866" t="str">
            <v>9100686</v>
          </cell>
          <cell r="B1866" t="str">
            <v>서　재　춘</v>
          </cell>
          <cell r="C1866" t="str">
            <v>9100686서　재　춘</v>
          </cell>
          <cell r="D1866" t="str">
            <v>CI20</v>
          </cell>
          <cell r="E1866" t="str">
            <v>기내식지원팀</v>
          </cell>
          <cell r="F1866" t="str">
            <v>2520</v>
          </cell>
          <cell r="G1866" t="str">
            <v>2520</v>
          </cell>
          <cell r="H1866" t="str">
            <v>19910211</v>
          </cell>
          <cell r="I1866">
            <v>11247506</v>
          </cell>
        </row>
        <row r="1867">
          <cell r="A1867" t="str">
            <v>8150567</v>
          </cell>
          <cell r="B1867" t="str">
            <v>서　정　분</v>
          </cell>
          <cell r="C1867" t="str">
            <v>8150567서　정　분</v>
          </cell>
          <cell r="D1867" t="str">
            <v>CI20</v>
          </cell>
          <cell r="E1867" t="str">
            <v>기내식지원팀</v>
          </cell>
          <cell r="F1867" t="str">
            <v>2520</v>
          </cell>
          <cell r="G1867" t="str">
            <v>2520</v>
          </cell>
          <cell r="H1867" t="str">
            <v>19811101</v>
          </cell>
          <cell r="I1867">
            <v>25735023</v>
          </cell>
        </row>
        <row r="1868">
          <cell r="A1868" t="str">
            <v>9402412</v>
          </cell>
          <cell r="B1868" t="str">
            <v>석　상　진</v>
          </cell>
          <cell r="C1868" t="str">
            <v>9402412석　상　진</v>
          </cell>
          <cell r="D1868" t="str">
            <v>CI20</v>
          </cell>
          <cell r="E1868" t="str">
            <v>기내식지원팀</v>
          </cell>
          <cell r="F1868" t="str">
            <v>2520</v>
          </cell>
          <cell r="G1868" t="str">
            <v>2520</v>
          </cell>
          <cell r="H1868" t="str">
            <v>19940418</v>
          </cell>
          <cell r="I1868">
            <v>6310853</v>
          </cell>
        </row>
        <row r="1869">
          <cell r="A1869" t="str">
            <v>8500083</v>
          </cell>
          <cell r="B1869" t="str">
            <v>석　수　업</v>
          </cell>
          <cell r="C1869" t="str">
            <v>8500083석　수　업</v>
          </cell>
          <cell r="D1869" t="str">
            <v>CI20</v>
          </cell>
          <cell r="E1869" t="str">
            <v>기내식지원팀</v>
          </cell>
          <cell r="F1869" t="str">
            <v>2520</v>
          </cell>
          <cell r="G1869" t="str">
            <v>2520</v>
          </cell>
          <cell r="H1869" t="str">
            <v>19981201</v>
          </cell>
          <cell r="I1869">
            <v>1966560</v>
          </cell>
        </row>
        <row r="1870">
          <cell r="A1870" t="str">
            <v>9502233</v>
          </cell>
          <cell r="B1870" t="str">
            <v>석　진　경</v>
          </cell>
          <cell r="C1870" t="str">
            <v>9502233석　진　경</v>
          </cell>
          <cell r="D1870" t="str">
            <v>CI20</v>
          </cell>
          <cell r="E1870" t="str">
            <v>기내식지원팀</v>
          </cell>
          <cell r="F1870" t="str">
            <v>2520</v>
          </cell>
          <cell r="G1870" t="str">
            <v>2520</v>
          </cell>
          <cell r="H1870" t="str">
            <v>19950916</v>
          </cell>
          <cell r="I1870">
            <v>4696295</v>
          </cell>
        </row>
        <row r="1871">
          <cell r="A1871" t="str">
            <v>9205975</v>
          </cell>
          <cell r="B1871" t="str">
            <v>성　동　표</v>
          </cell>
          <cell r="C1871" t="str">
            <v>9205975성　동　표</v>
          </cell>
          <cell r="D1871" t="str">
            <v>CI20</v>
          </cell>
          <cell r="E1871" t="str">
            <v>기내식지원팀</v>
          </cell>
          <cell r="F1871" t="str">
            <v>2520</v>
          </cell>
          <cell r="G1871" t="str">
            <v>2520</v>
          </cell>
          <cell r="H1871" t="str">
            <v>19921005</v>
          </cell>
          <cell r="I1871">
            <v>8140086</v>
          </cell>
        </row>
        <row r="1872">
          <cell r="A1872" t="str">
            <v>9701223</v>
          </cell>
          <cell r="B1872" t="str">
            <v>손　광　동</v>
          </cell>
          <cell r="C1872" t="str">
            <v>9701223손　광　동</v>
          </cell>
          <cell r="D1872" t="str">
            <v>CI20</v>
          </cell>
          <cell r="E1872" t="str">
            <v>기내식지원팀</v>
          </cell>
          <cell r="F1872" t="str">
            <v>2520</v>
          </cell>
          <cell r="G1872" t="str">
            <v>2520</v>
          </cell>
          <cell r="H1872" t="str">
            <v>19970601</v>
          </cell>
          <cell r="I1872">
            <v>2714978</v>
          </cell>
        </row>
        <row r="1873">
          <cell r="A1873" t="str">
            <v>9000358</v>
          </cell>
          <cell r="B1873" t="str">
            <v>송　기　창</v>
          </cell>
          <cell r="C1873" t="str">
            <v>9000358송　기　창</v>
          </cell>
          <cell r="D1873" t="str">
            <v>CI20</v>
          </cell>
          <cell r="E1873" t="str">
            <v>기내식지원팀</v>
          </cell>
          <cell r="F1873" t="str">
            <v>2520</v>
          </cell>
          <cell r="G1873" t="str">
            <v>2520</v>
          </cell>
          <cell r="H1873" t="str">
            <v>19890510</v>
          </cell>
          <cell r="I1873">
            <v>15462252</v>
          </cell>
        </row>
        <row r="1874">
          <cell r="A1874" t="str">
            <v>8700625</v>
          </cell>
          <cell r="B1874" t="str">
            <v>송　기　홍</v>
          </cell>
          <cell r="C1874" t="str">
            <v>8700625송　기　홍</v>
          </cell>
          <cell r="D1874" t="str">
            <v>CI20</v>
          </cell>
          <cell r="E1874" t="str">
            <v>기내식지원팀</v>
          </cell>
          <cell r="F1874" t="str">
            <v>2520</v>
          </cell>
          <cell r="G1874" t="str">
            <v>2520</v>
          </cell>
          <cell r="H1874" t="str">
            <v>19870521</v>
          </cell>
          <cell r="I1874">
            <v>20142864</v>
          </cell>
        </row>
        <row r="1875">
          <cell r="A1875" t="str">
            <v>8601838</v>
          </cell>
          <cell r="B1875" t="str">
            <v>송　대　근</v>
          </cell>
          <cell r="C1875" t="str">
            <v>8601838송　대　근</v>
          </cell>
          <cell r="D1875" t="str">
            <v>CI20</v>
          </cell>
          <cell r="E1875" t="str">
            <v>기내식지원팀</v>
          </cell>
          <cell r="F1875" t="str">
            <v>2520</v>
          </cell>
          <cell r="G1875" t="str">
            <v>2520</v>
          </cell>
          <cell r="H1875" t="str">
            <v>19860616</v>
          </cell>
          <cell r="I1875">
            <v>20152900</v>
          </cell>
        </row>
        <row r="1876">
          <cell r="A1876" t="str">
            <v>9302354</v>
          </cell>
          <cell r="B1876" t="str">
            <v>송　봉　철</v>
          </cell>
          <cell r="C1876" t="str">
            <v>9302354송　봉　철</v>
          </cell>
          <cell r="D1876" t="str">
            <v>CI20</v>
          </cell>
          <cell r="E1876" t="str">
            <v>기내식지원팀</v>
          </cell>
          <cell r="F1876" t="str">
            <v>2520</v>
          </cell>
          <cell r="G1876" t="str">
            <v>2520</v>
          </cell>
          <cell r="H1876" t="str">
            <v>19930501</v>
          </cell>
          <cell r="I1876">
            <v>7532458</v>
          </cell>
        </row>
        <row r="1877">
          <cell r="A1877" t="str">
            <v>9300982</v>
          </cell>
          <cell r="B1877" t="str">
            <v>송　용　훈</v>
          </cell>
          <cell r="C1877" t="str">
            <v>9300982송　용　훈</v>
          </cell>
          <cell r="D1877" t="str">
            <v>CI20</v>
          </cell>
          <cell r="E1877" t="str">
            <v>기내식지원팀</v>
          </cell>
          <cell r="F1877" t="str">
            <v>2520</v>
          </cell>
          <cell r="G1877" t="str">
            <v>2520</v>
          </cell>
          <cell r="H1877" t="str">
            <v>19930216</v>
          </cell>
          <cell r="I1877">
            <v>8099303</v>
          </cell>
        </row>
        <row r="1878">
          <cell r="A1878" t="str">
            <v>8701380</v>
          </cell>
          <cell r="B1878" t="str">
            <v>송　춘　섭</v>
          </cell>
          <cell r="C1878" t="str">
            <v>8701380송　춘　섭</v>
          </cell>
          <cell r="D1878" t="str">
            <v>CI20</v>
          </cell>
          <cell r="E1878" t="str">
            <v>기내식지원팀</v>
          </cell>
          <cell r="F1878" t="str">
            <v>2520</v>
          </cell>
          <cell r="G1878" t="str">
            <v>2520</v>
          </cell>
          <cell r="H1878" t="str">
            <v>19870801</v>
          </cell>
          <cell r="I1878">
            <v>20143966</v>
          </cell>
        </row>
        <row r="1879">
          <cell r="A1879" t="str">
            <v>9101610</v>
          </cell>
          <cell r="B1879" t="str">
            <v>송　태　준</v>
          </cell>
          <cell r="C1879" t="str">
            <v>9101610송　태　준</v>
          </cell>
          <cell r="D1879" t="str">
            <v>CI20</v>
          </cell>
          <cell r="E1879" t="str">
            <v>기내식지원팀</v>
          </cell>
          <cell r="F1879" t="str">
            <v>2520</v>
          </cell>
          <cell r="G1879" t="str">
            <v>2520</v>
          </cell>
          <cell r="H1879" t="str">
            <v>19910502</v>
          </cell>
          <cell r="I1879">
            <v>11133276</v>
          </cell>
        </row>
        <row r="1880">
          <cell r="A1880" t="str">
            <v>8604461</v>
          </cell>
          <cell r="B1880" t="str">
            <v>신　성　철</v>
          </cell>
          <cell r="C1880" t="str">
            <v>8604461신　성　철</v>
          </cell>
          <cell r="D1880" t="str">
            <v>CI20</v>
          </cell>
          <cell r="E1880" t="str">
            <v>기내식지원팀</v>
          </cell>
          <cell r="F1880" t="str">
            <v>2520</v>
          </cell>
          <cell r="G1880" t="str">
            <v>2520</v>
          </cell>
          <cell r="H1880" t="str">
            <v>19861020</v>
          </cell>
          <cell r="I1880">
            <v>20760630</v>
          </cell>
        </row>
        <row r="1881">
          <cell r="A1881" t="str">
            <v>9500872</v>
          </cell>
          <cell r="B1881" t="str">
            <v>신　영　철</v>
          </cell>
          <cell r="C1881" t="str">
            <v>9500872신　영　철</v>
          </cell>
          <cell r="D1881" t="str">
            <v>CI20</v>
          </cell>
          <cell r="E1881" t="str">
            <v>기내식지원팀</v>
          </cell>
          <cell r="F1881" t="str">
            <v>2520</v>
          </cell>
          <cell r="G1881" t="str">
            <v>2520</v>
          </cell>
          <cell r="H1881" t="str">
            <v>19950417</v>
          </cell>
          <cell r="I1881">
            <v>5203083</v>
          </cell>
        </row>
        <row r="1882">
          <cell r="A1882" t="str">
            <v>9250435</v>
          </cell>
          <cell r="B1882" t="str">
            <v>신　점　자</v>
          </cell>
          <cell r="C1882" t="str">
            <v>9250435신　점　자</v>
          </cell>
          <cell r="D1882" t="str">
            <v>CI20</v>
          </cell>
          <cell r="E1882" t="str">
            <v>기내식지원팀</v>
          </cell>
          <cell r="F1882" t="str">
            <v>2520</v>
          </cell>
          <cell r="G1882" t="str">
            <v>2520</v>
          </cell>
          <cell r="H1882" t="str">
            <v>19920316</v>
          </cell>
          <cell r="I1882">
            <v>8190880</v>
          </cell>
        </row>
        <row r="1883">
          <cell r="A1883" t="str">
            <v>9702044</v>
          </cell>
          <cell r="B1883" t="str">
            <v>신　준　성</v>
          </cell>
          <cell r="C1883" t="str">
            <v>9702044신　준　성</v>
          </cell>
          <cell r="D1883" t="str">
            <v>CI20</v>
          </cell>
          <cell r="E1883" t="str">
            <v>기내식지원팀</v>
          </cell>
          <cell r="F1883" t="str">
            <v>2520</v>
          </cell>
          <cell r="G1883" t="str">
            <v>2520</v>
          </cell>
          <cell r="H1883" t="str">
            <v>19970725</v>
          </cell>
          <cell r="I1883">
            <v>2532876</v>
          </cell>
        </row>
        <row r="1884">
          <cell r="A1884" t="str">
            <v>9501491</v>
          </cell>
          <cell r="B1884" t="str">
            <v>신　현　구</v>
          </cell>
          <cell r="C1884" t="str">
            <v>9501491신　현　구</v>
          </cell>
          <cell r="D1884" t="str">
            <v>CI20</v>
          </cell>
          <cell r="E1884" t="str">
            <v>기내식지원팀</v>
          </cell>
          <cell r="F1884" t="str">
            <v>2520</v>
          </cell>
          <cell r="G1884" t="str">
            <v>2520</v>
          </cell>
          <cell r="H1884" t="str">
            <v>19950710</v>
          </cell>
          <cell r="I1884">
            <v>5109046</v>
          </cell>
        </row>
        <row r="1885">
          <cell r="A1885" t="str">
            <v>8350108</v>
          </cell>
          <cell r="B1885" t="str">
            <v>심　승　분</v>
          </cell>
          <cell r="C1885" t="str">
            <v>8350108심　승　분</v>
          </cell>
          <cell r="D1885" t="str">
            <v>CI20</v>
          </cell>
          <cell r="E1885" t="str">
            <v>기내식지원팀</v>
          </cell>
          <cell r="F1885" t="str">
            <v>2520</v>
          </cell>
          <cell r="G1885" t="str">
            <v>2520</v>
          </cell>
          <cell r="H1885" t="str">
            <v>19830315</v>
          </cell>
          <cell r="I1885">
            <v>21758788</v>
          </cell>
        </row>
        <row r="1886">
          <cell r="A1886" t="str">
            <v>8601941</v>
          </cell>
          <cell r="B1886" t="str">
            <v>안　근　환</v>
          </cell>
          <cell r="C1886" t="str">
            <v>8601941안　근　환</v>
          </cell>
          <cell r="D1886" t="str">
            <v>CI20</v>
          </cell>
          <cell r="E1886" t="str">
            <v>기내식지원팀</v>
          </cell>
          <cell r="F1886" t="str">
            <v>2520</v>
          </cell>
          <cell r="G1886" t="str">
            <v>2520</v>
          </cell>
          <cell r="H1886" t="str">
            <v>19860616</v>
          </cell>
          <cell r="I1886">
            <v>21187713</v>
          </cell>
        </row>
        <row r="1887">
          <cell r="A1887" t="str">
            <v>9301555</v>
          </cell>
          <cell r="B1887" t="str">
            <v>안　동　구</v>
          </cell>
          <cell r="C1887" t="str">
            <v>9301555안　동　구</v>
          </cell>
          <cell r="D1887" t="str">
            <v>CI20</v>
          </cell>
          <cell r="E1887" t="str">
            <v>기내식지원팀</v>
          </cell>
          <cell r="F1887" t="str">
            <v>2520</v>
          </cell>
          <cell r="G1887" t="str">
            <v>2520</v>
          </cell>
          <cell r="H1887" t="str">
            <v>19930316</v>
          </cell>
          <cell r="I1887">
            <v>7625601</v>
          </cell>
        </row>
        <row r="1888">
          <cell r="A1888" t="str">
            <v>8350380</v>
          </cell>
          <cell r="B1888" t="str">
            <v>안　미　옥</v>
          </cell>
          <cell r="C1888" t="str">
            <v>8350380안　미　옥</v>
          </cell>
          <cell r="D1888" t="str">
            <v>CI20</v>
          </cell>
          <cell r="E1888" t="str">
            <v>기내식지원팀</v>
          </cell>
          <cell r="F1888" t="str">
            <v>2520</v>
          </cell>
          <cell r="G1888" t="str">
            <v>2520</v>
          </cell>
          <cell r="H1888" t="str">
            <v>19830806</v>
          </cell>
          <cell r="I1888">
            <v>19948966</v>
          </cell>
        </row>
        <row r="1889">
          <cell r="A1889" t="str">
            <v>8200798</v>
          </cell>
          <cell r="B1889" t="str">
            <v>안　봉　화</v>
          </cell>
          <cell r="C1889" t="str">
            <v>8200798안　봉　화</v>
          </cell>
          <cell r="D1889" t="str">
            <v>CI20</v>
          </cell>
          <cell r="E1889" t="str">
            <v>기내식지원팀</v>
          </cell>
          <cell r="F1889" t="str">
            <v>2520</v>
          </cell>
          <cell r="G1889" t="str">
            <v>2520</v>
          </cell>
          <cell r="H1889" t="str">
            <v>19820901</v>
          </cell>
          <cell r="I1889">
            <v>28040772</v>
          </cell>
        </row>
        <row r="1890">
          <cell r="A1890" t="str">
            <v>9200812</v>
          </cell>
          <cell r="B1890" t="str">
            <v>안　승　길</v>
          </cell>
          <cell r="C1890" t="str">
            <v>9200812안　승　길</v>
          </cell>
          <cell r="D1890" t="str">
            <v>CI20</v>
          </cell>
          <cell r="E1890" t="str">
            <v>기내식지원팀</v>
          </cell>
          <cell r="F1890" t="str">
            <v>2520</v>
          </cell>
          <cell r="G1890" t="str">
            <v>2520</v>
          </cell>
          <cell r="H1890" t="str">
            <v>19920210</v>
          </cell>
          <cell r="I1890">
            <v>9128206</v>
          </cell>
        </row>
        <row r="1891">
          <cell r="A1891" t="str">
            <v>9700863</v>
          </cell>
          <cell r="B1891" t="str">
            <v>안　승　준</v>
          </cell>
          <cell r="C1891" t="str">
            <v>9700863안　승　준</v>
          </cell>
          <cell r="D1891" t="str">
            <v>CI20</v>
          </cell>
          <cell r="E1891" t="str">
            <v>기내식지원팀</v>
          </cell>
          <cell r="F1891" t="str">
            <v>2520</v>
          </cell>
          <cell r="G1891" t="e">
            <v>#N/A</v>
          </cell>
          <cell r="H1891" t="str">
            <v>19970421</v>
          </cell>
          <cell r="I1891">
            <v>2807877</v>
          </cell>
          <cell r="J1891" t="str">
            <v>11 월</v>
          </cell>
          <cell r="K1891">
            <v>4602288</v>
          </cell>
        </row>
        <row r="1892">
          <cell r="A1892" t="str">
            <v>9503436</v>
          </cell>
          <cell r="B1892" t="str">
            <v>안　용　선</v>
          </cell>
          <cell r="C1892" t="str">
            <v>9503436안　용　선</v>
          </cell>
          <cell r="D1892" t="str">
            <v>CI20</v>
          </cell>
          <cell r="E1892" t="str">
            <v>기내식지원팀</v>
          </cell>
          <cell r="F1892" t="str">
            <v>2520</v>
          </cell>
          <cell r="G1892" t="str">
            <v>2520</v>
          </cell>
          <cell r="H1892" t="str">
            <v>19951106</v>
          </cell>
          <cell r="I1892">
            <v>4495266</v>
          </cell>
        </row>
        <row r="1893">
          <cell r="A1893" t="str">
            <v>9100653</v>
          </cell>
          <cell r="B1893" t="str">
            <v>엄　갑　수</v>
          </cell>
          <cell r="C1893" t="str">
            <v>9100653엄　갑　수</v>
          </cell>
          <cell r="D1893" t="str">
            <v>CI20</v>
          </cell>
          <cell r="E1893" t="str">
            <v>기내식지원팀</v>
          </cell>
          <cell r="F1893" t="str">
            <v>2520</v>
          </cell>
          <cell r="G1893" t="str">
            <v>2520</v>
          </cell>
          <cell r="H1893" t="str">
            <v>19910211</v>
          </cell>
          <cell r="I1893">
            <v>11176974</v>
          </cell>
        </row>
        <row r="1894">
          <cell r="A1894" t="str">
            <v>9300960</v>
          </cell>
          <cell r="B1894" t="str">
            <v>연　홍　배</v>
          </cell>
          <cell r="C1894" t="str">
            <v>9300960연　홍　배</v>
          </cell>
          <cell r="D1894" t="str">
            <v>CI20</v>
          </cell>
          <cell r="E1894" t="str">
            <v>기내식지원팀</v>
          </cell>
          <cell r="F1894" t="str">
            <v>2520</v>
          </cell>
          <cell r="G1894" t="str">
            <v>2520</v>
          </cell>
          <cell r="H1894" t="str">
            <v>19930216</v>
          </cell>
          <cell r="I1894">
            <v>8380425</v>
          </cell>
        </row>
        <row r="1895">
          <cell r="A1895" t="str">
            <v>8000302</v>
          </cell>
          <cell r="B1895" t="str">
            <v>오　동　수</v>
          </cell>
          <cell r="C1895" t="str">
            <v>8000302오　동　수</v>
          </cell>
          <cell r="D1895" t="str">
            <v>CI20</v>
          </cell>
          <cell r="E1895" t="str">
            <v>기내식지원팀</v>
          </cell>
          <cell r="F1895" t="str">
            <v>2520</v>
          </cell>
          <cell r="G1895" t="str">
            <v>2520</v>
          </cell>
          <cell r="H1895" t="str">
            <v>19991001</v>
          </cell>
          <cell r="I1895">
            <v>408670</v>
          </cell>
        </row>
        <row r="1896">
          <cell r="A1896" t="str">
            <v>9402445</v>
          </cell>
          <cell r="B1896" t="str">
            <v>오　승　현</v>
          </cell>
          <cell r="C1896" t="str">
            <v>9402445오　승　현</v>
          </cell>
          <cell r="D1896" t="str">
            <v>CI20</v>
          </cell>
          <cell r="E1896" t="str">
            <v>기내식지원팀</v>
          </cell>
          <cell r="F1896" t="str">
            <v>2520</v>
          </cell>
          <cell r="G1896" t="str">
            <v>2520</v>
          </cell>
          <cell r="H1896" t="str">
            <v>19940418</v>
          </cell>
          <cell r="I1896">
            <v>6306459</v>
          </cell>
        </row>
        <row r="1897">
          <cell r="A1897" t="str">
            <v>8604720</v>
          </cell>
          <cell r="B1897" t="str">
            <v>오　종　수</v>
          </cell>
          <cell r="C1897" t="str">
            <v>8604720오　종　수</v>
          </cell>
          <cell r="D1897" t="str">
            <v>CI20</v>
          </cell>
          <cell r="E1897" t="str">
            <v>기내식지원팀</v>
          </cell>
          <cell r="F1897" t="str">
            <v>2520</v>
          </cell>
          <cell r="G1897" t="str">
            <v>2520</v>
          </cell>
          <cell r="H1897" t="str">
            <v>19861001</v>
          </cell>
          <cell r="I1897">
            <v>23168895</v>
          </cell>
        </row>
        <row r="1898">
          <cell r="A1898" t="str">
            <v>9300464</v>
          </cell>
          <cell r="B1898" t="str">
            <v>오　충　호</v>
          </cell>
          <cell r="C1898" t="str">
            <v>9300464오　충　호</v>
          </cell>
          <cell r="D1898" t="str">
            <v>CI20</v>
          </cell>
          <cell r="E1898" t="str">
            <v>기내식지원팀</v>
          </cell>
          <cell r="F1898" t="str">
            <v>2520</v>
          </cell>
          <cell r="G1898" t="str">
            <v>2520</v>
          </cell>
          <cell r="H1898" t="str">
            <v>19930116</v>
          </cell>
          <cell r="I1898">
            <v>7922213</v>
          </cell>
        </row>
        <row r="1899">
          <cell r="A1899" t="str">
            <v>9303660</v>
          </cell>
          <cell r="B1899" t="str">
            <v>오　하　영</v>
          </cell>
          <cell r="C1899" t="str">
            <v>9303660오　하　영</v>
          </cell>
          <cell r="D1899" t="str">
            <v>CI20</v>
          </cell>
          <cell r="E1899" t="str">
            <v>기내식지원팀</v>
          </cell>
          <cell r="F1899" t="str">
            <v>2520</v>
          </cell>
          <cell r="G1899" t="str">
            <v>2520</v>
          </cell>
          <cell r="H1899" t="str">
            <v>19930701</v>
          </cell>
          <cell r="I1899">
            <v>7299434</v>
          </cell>
        </row>
        <row r="1900">
          <cell r="A1900" t="str">
            <v>9302308</v>
          </cell>
          <cell r="B1900" t="str">
            <v>우　성　태</v>
          </cell>
          <cell r="C1900" t="str">
            <v>9302308우　성　태</v>
          </cell>
          <cell r="D1900" t="str">
            <v>CI20</v>
          </cell>
          <cell r="E1900" t="str">
            <v>기내식지원팀</v>
          </cell>
          <cell r="F1900" t="str">
            <v>2520</v>
          </cell>
          <cell r="G1900" t="str">
            <v>2520</v>
          </cell>
          <cell r="H1900" t="str">
            <v>19930501</v>
          </cell>
          <cell r="I1900">
            <v>7446727</v>
          </cell>
        </row>
        <row r="1901">
          <cell r="A1901" t="str">
            <v>8800953</v>
          </cell>
          <cell r="B1901" t="str">
            <v>우　익　선</v>
          </cell>
          <cell r="C1901" t="str">
            <v>8800953우　익　선</v>
          </cell>
          <cell r="D1901" t="str">
            <v>CI20</v>
          </cell>
          <cell r="E1901" t="str">
            <v>기내식지원팀</v>
          </cell>
          <cell r="F1901" t="str">
            <v>2520</v>
          </cell>
          <cell r="G1901" t="str">
            <v>2520</v>
          </cell>
          <cell r="H1901" t="str">
            <v>19880602</v>
          </cell>
          <cell r="I1901">
            <v>16365921</v>
          </cell>
        </row>
        <row r="1902">
          <cell r="A1902" t="str">
            <v>8603550</v>
          </cell>
          <cell r="B1902" t="str">
            <v>우　제　설</v>
          </cell>
          <cell r="C1902" t="str">
            <v>8603550우　제　설</v>
          </cell>
          <cell r="D1902" t="str">
            <v>CI20</v>
          </cell>
          <cell r="E1902" t="str">
            <v>기내식지원팀</v>
          </cell>
          <cell r="F1902" t="str">
            <v>2520</v>
          </cell>
          <cell r="G1902" t="e">
            <v>#N/A</v>
          </cell>
          <cell r="H1902" t="str">
            <v>19860901</v>
          </cell>
          <cell r="I1902">
            <v>25177023</v>
          </cell>
          <cell r="J1902" t="str">
            <v>3 월</v>
          </cell>
          <cell r="K1902">
            <v>33649414</v>
          </cell>
        </row>
        <row r="1903">
          <cell r="A1903" t="str">
            <v>9304255</v>
          </cell>
          <cell r="B1903" t="str">
            <v>유　동　환</v>
          </cell>
          <cell r="C1903" t="str">
            <v>9304255유　동　환</v>
          </cell>
          <cell r="D1903" t="str">
            <v>CI20</v>
          </cell>
          <cell r="E1903" t="str">
            <v>기내식지원팀</v>
          </cell>
          <cell r="F1903" t="str">
            <v>2520</v>
          </cell>
          <cell r="G1903" t="str">
            <v>2520</v>
          </cell>
          <cell r="H1903" t="str">
            <v>19930716</v>
          </cell>
          <cell r="I1903">
            <v>7305859</v>
          </cell>
        </row>
        <row r="1904">
          <cell r="A1904" t="str">
            <v>8400688</v>
          </cell>
          <cell r="B1904" t="str">
            <v>유　병　엽</v>
          </cell>
          <cell r="C1904" t="str">
            <v>8400688유　병　엽</v>
          </cell>
          <cell r="D1904" t="str">
            <v>CI20</v>
          </cell>
          <cell r="E1904" t="str">
            <v>기내식지원팀</v>
          </cell>
          <cell r="F1904" t="str">
            <v>2520</v>
          </cell>
          <cell r="G1904" t="str">
            <v>2520</v>
          </cell>
          <cell r="H1904" t="str">
            <v>19840813</v>
          </cell>
          <cell r="I1904">
            <v>25914268</v>
          </cell>
        </row>
        <row r="1905">
          <cell r="A1905" t="str">
            <v>8601974</v>
          </cell>
          <cell r="B1905" t="str">
            <v>유　성　룡</v>
          </cell>
          <cell r="C1905" t="str">
            <v>8601974유　성　룡</v>
          </cell>
          <cell r="D1905" t="str">
            <v>CI20</v>
          </cell>
          <cell r="E1905" t="str">
            <v>기내식지원팀</v>
          </cell>
          <cell r="F1905" t="str">
            <v>2520</v>
          </cell>
          <cell r="G1905" t="str">
            <v>2520</v>
          </cell>
          <cell r="H1905" t="str">
            <v>19860616</v>
          </cell>
          <cell r="I1905">
            <v>20612462</v>
          </cell>
        </row>
        <row r="1906">
          <cell r="A1906" t="str">
            <v>8900032</v>
          </cell>
          <cell r="B1906" t="str">
            <v>유　연　준</v>
          </cell>
          <cell r="C1906" t="str">
            <v>8900032유　연　준</v>
          </cell>
          <cell r="D1906" t="str">
            <v>CI20</v>
          </cell>
          <cell r="E1906" t="str">
            <v>기내식지원팀</v>
          </cell>
          <cell r="F1906" t="str">
            <v>2520</v>
          </cell>
          <cell r="G1906" t="str">
            <v>2520</v>
          </cell>
          <cell r="H1906" t="str">
            <v>19880719</v>
          </cell>
          <cell r="I1906">
            <v>15219607</v>
          </cell>
        </row>
        <row r="1907">
          <cell r="A1907" t="str">
            <v>7300326</v>
          </cell>
          <cell r="B1907" t="str">
            <v>유　재　선</v>
          </cell>
          <cell r="C1907" t="str">
            <v>7300326유　재　선</v>
          </cell>
          <cell r="D1907" t="str">
            <v>CI20</v>
          </cell>
          <cell r="E1907" t="str">
            <v>기내식지원팀</v>
          </cell>
          <cell r="F1907" t="str">
            <v>2520</v>
          </cell>
          <cell r="G1907" t="str">
            <v>2520</v>
          </cell>
          <cell r="H1907" t="str">
            <v>19731012</v>
          </cell>
          <cell r="I1907">
            <v>42825974</v>
          </cell>
        </row>
        <row r="1908">
          <cell r="A1908" t="str">
            <v>8300316</v>
          </cell>
          <cell r="B1908" t="str">
            <v>유　채　모</v>
          </cell>
          <cell r="C1908" t="str">
            <v>8300316유　채　모</v>
          </cell>
          <cell r="D1908" t="str">
            <v>CI20</v>
          </cell>
          <cell r="E1908" t="str">
            <v>기내식지원팀</v>
          </cell>
          <cell r="F1908" t="str">
            <v>2520</v>
          </cell>
          <cell r="G1908" t="str">
            <v>2520</v>
          </cell>
          <cell r="H1908" t="str">
            <v>19830601</v>
          </cell>
          <cell r="I1908">
            <v>27724780</v>
          </cell>
        </row>
        <row r="1909">
          <cell r="A1909" t="str">
            <v>8201024</v>
          </cell>
          <cell r="B1909" t="str">
            <v>윤　미　수</v>
          </cell>
          <cell r="C1909" t="str">
            <v>8201024윤　미　수</v>
          </cell>
          <cell r="D1909" t="str">
            <v>CI20</v>
          </cell>
          <cell r="E1909" t="str">
            <v>기내식지원팀</v>
          </cell>
          <cell r="F1909" t="str">
            <v>2520</v>
          </cell>
          <cell r="G1909" t="str">
            <v>2520</v>
          </cell>
          <cell r="H1909" t="str">
            <v>19821016</v>
          </cell>
          <cell r="I1909">
            <v>30027633</v>
          </cell>
        </row>
        <row r="1910">
          <cell r="A1910" t="str">
            <v>9450112</v>
          </cell>
          <cell r="B1910" t="str">
            <v>윤　백　남</v>
          </cell>
          <cell r="C1910" t="str">
            <v>9450112윤　백　남</v>
          </cell>
          <cell r="D1910" t="str">
            <v>CI20</v>
          </cell>
          <cell r="E1910" t="str">
            <v>기내식지원팀</v>
          </cell>
          <cell r="F1910" t="str">
            <v>2520</v>
          </cell>
          <cell r="G1910" t="str">
            <v>2420</v>
          </cell>
          <cell r="H1910" t="str">
            <v>19940105</v>
          </cell>
          <cell r="I1910">
            <v>5563415</v>
          </cell>
        </row>
        <row r="1911">
          <cell r="A1911" t="str">
            <v>8903215</v>
          </cell>
          <cell r="B1911" t="str">
            <v>윤　석　인</v>
          </cell>
          <cell r="C1911" t="str">
            <v>8903215윤　석　인</v>
          </cell>
          <cell r="D1911" t="str">
            <v>CI20</v>
          </cell>
          <cell r="E1911" t="str">
            <v>기내식지원팀</v>
          </cell>
          <cell r="F1911" t="str">
            <v>2520</v>
          </cell>
          <cell r="G1911" t="str">
            <v>2520</v>
          </cell>
          <cell r="H1911" t="str">
            <v>19890412</v>
          </cell>
          <cell r="I1911">
            <v>14224303</v>
          </cell>
        </row>
        <row r="1912">
          <cell r="A1912" t="str">
            <v>9500534</v>
          </cell>
          <cell r="B1912" t="str">
            <v>윤　석　주</v>
          </cell>
          <cell r="C1912" t="str">
            <v>9500534윤　석　주</v>
          </cell>
          <cell r="D1912" t="str">
            <v>CI20</v>
          </cell>
          <cell r="E1912" t="str">
            <v>기내식지원팀</v>
          </cell>
          <cell r="F1912" t="str">
            <v>2520</v>
          </cell>
          <cell r="G1912" t="str">
            <v>2520</v>
          </cell>
          <cell r="H1912" t="str">
            <v>19950105</v>
          </cell>
          <cell r="I1912">
            <v>5485994</v>
          </cell>
        </row>
        <row r="1913">
          <cell r="A1913" t="str">
            <v>9050275</v>
          </cell>
          <cell r="B1913" t="str">
            <v>윤　선　희</v>
          </cell>
          <cell r="C1913" t="str">
            <v>9050275윤　선　희</v>
          </cell>
          <cell r="D1913" t="str">
            <v>CI20</v>
          </cell>
          <cell r="E1913" t="str">
            <v>기내식지원팀</v>
          </cell>
          <cell r="F1913" t="str">
            <v>2520</v>
          </cell>
          <cell r="G1913" t="str">
            <v>2520</v>
          </cell>
          <cell r="H1913" t="str">
            <v>19900201</v>
          </cell>
          <cell r="I1913">
            <v>10722239</v>
          </cell>
        </row>
        <row r="1914">
          <cell r="A1914" t="str">
            <v>9401725</v>
          </cell>
          <cell r="B1914" t="str">
            <v>윤　재　원</v>
          </cell>
          <cell r="C1914" t="str">
            <v>9401725윤　재　원</v>
          </cell>
          <cell r="D1914" t="str">
            <v>CI20</v>
          </cell>
          <cell r="E1914" t="str">
            <v>기내식지원팀</v>
          </cell>
          <cell r="F1914" t="str">
            <v>2520</v>
          </cell>
          <cell r="G1914" t="str">
            <v>2520</v>
          </cell>
          <cell r="H1914" t="str">
            <v>19940314</v>
          </cell>
          <cell r="I1914">
            <v>6350585</v>
          </cell>
        </row>
        <row r="1915">
          <cell r="A1915" t="str">
            <v>9500455</v>
          </cell>
          <cell r="B1915" t="str">
            <v>윤　현　중</v>
          </cell>
          <cell r="C1915" t="str">
            <v>9500455윤　현　중</v>
          </cell>
          <cell r="D1915" t="str">
            <v>CI20</v>
          </cell>
          <cell r="E1915" t="str">
            <v>기내식지원팀</v>
          </cell>
          <cell r="F1915" t="str">
            <v>2520</v>
          </cell>
          <cell r="G1915" t="str">
            <v>2520</v>
          </cell>
          <cell r="H1915" t="str">
            <v>19950105</v>
          </cell>
          <cell r="I1915">
            <v>5508309</v>
          </cell>
        </row>
        <row r="1916">
          <cell r="A1916" t="str">
            <v>9308081</v>
          </cell>
          <cell r="B1916" t="str">
            <v>이　강　원</v>
          </cell>
          <cell r="C1916" t="str">
            <v>9308081이　강　원</v>
          </cell>
          <cell r="D1916" t="str">
            <v>CI20</v>
          </cell>
          <cell r="E1916" t="str">
            <v>기내식지원팀</v>
          </cell>
          <cell r="F1916" t="str">
            <v>2520</v>
          </cell>
          <cell r="G1916" t="str">
            <v>2520</v>
          </cell>
          <cell r="H1916" t="str">
            <v>19931216</v>
          </cell>
          <cell r="I1916">
            <v>6750700</v>
          </cell>
        </row>
        <row r="1917">
          <cell r="A1917" t="str">
            <v>9103083</v>
          </cell>
          <cell r="B1917" t="str">
            <v>이　규　흠</v>
          </cell>
          <cell r="C1917" t="str">
            <v>9103083이　규　흠</v>
          </cell>
          <cell r="D1917" t="str">
            <v>CI20</v>
          </cell>
          <cell r="E1917" t="str">
            <v>기내식지원팀</v>
          </cell>
          <cell r="F1917" t="str">
            <v>2520</v>
          </cell>
          <cell r="G1917" t="str">
            <v>2520</v>
          </cell>
          <cell r="H1917" t="str">
            <v>19910801</v>
          </cell>
          <cell r="I1917">
            <v>10714567</v>
          </cell>
        </row>
        <row r="1918">
          <cell r="A1918" t="str">
            <v>8201204</v>
          </cell>
          <cell r="B1918" t="str">
            <v>이　근　국</v>
          </cell>
          <cell r="C1918" t="str">
            <v>8201204이　근　국</v>
          </cell>
          <cell r="D1918" t="str">
            <v>CI20</v>
          </cell>
          <cell r="E1918" t="str">
            <v>기내식지원팀</v>
          </cell>
          <cell r="F1918" t="str">
            <v>2520</v>
          </cell>
          <cell r="G1918" t="str">
            <v>2520</v>
          </cell>
          <cell r="H1918" t="str">
            <v>19821016</v>
          </cell>
          <cell r="I1918">
            <v>29298975</v>
          </cell>
        </row>
        <row r="1919">
          <cell r="A1919" t="str">
            <v>8600624</v>
          </cell>
          <cell r="B1919" t="str">
            <v>이　근　호</v>
          </cell>
          <cell r="C1919" t="str">
            <v>8600624이　근　호</v>
          </cell>
          <cell r="D1919" t="str">
            <v>CI20</v>
          </cell>
          <cell r="E1919" t="str">
            <v>기내식지원팀</v>
          </cell>
          <cell r="F1919" t="str">
            <v>2520</v>
          </cell>
          <cell r="G1919" t="str">
            <v>2520</v>
          </cell>
          <cell r="H1919" t="str">
            <v>19860912</v>
          </cell>
          <cell r="I1919">
            <v>20047509</v>
          </cell>
        </row>
        <row r="1920">
          <cell r="A1920" t="str">
            <v>9402366</v>
          </cell>
          <cell r="B1920" t="str">
            <v>이　기　열</v>
          </cell>
          <cell r="C1920" t="str">
            <v>9402366이　기　열</v>
          </cell>
          <cell r="D1920" t="str">
            <v>CI20</v>
          </cell>
          <cell r="E1920" t="str">
            <v>기내식지원팀</v>
          </cell>
          <cell r="F1920" t="str">
            <v>2520</v>
          </cell>
          <cell r="G1920" t="str">
            <v>2520</v>
          </cell>
          <cell r="H1920" t="str">
            <v>19940418</v>
          </cell>
          <cell r="I1920">
            <v>6510014</v>
          </cell>
        </row>
        <row r="1921">
          <cell r="A1921" t="str">
            <v>9000595</v>
          </cell>
          <cell r="B1921" t="str">
            <v>이　길　상</v>
          </cell>
          <cell r="C1921" t="str">
            <v>9000595이　길　상</v>
          </cell>
          <cell r="D1921" t="str">
            <v>CI20</v>
          </cell>
          <cell r="E1921" t="str">
            <v>기내식지원팀</v>
          </cell>
          <cell r="F1921" t="str">
            <v>2520</v>
          </cell>
          <cell r="G1921" t="str">
            <v>2520</v>
          </cell>
          <cell r="H1921" t="str">
            <v>19890718</v>
          </cell>
          <cell r="I1921">
            <v>13163378</v>
          </cell>
        </row>
        <row r="1922">
          <cell r="A1922" t="str">
            <v>9404807</v>
          </cell>
          <cell r="B1922" t="str">
            <v>이　동　순</v>
          </cell>
          <cell r="C1922" t="str">
            <v>9404807이　동　순</v>
          </cell>
          <cell r="D1922" t="str">
            <v>CI20</v>
          </cell>
          <cell r="E1922" t="str">
            <v>기내식지원팀</v>
          </cell>
          <cell r="F1922" t="str">
            <v>2520</v>
          </cell>
          <cell r="G1922" t="str">
            <v>2520</v>
          </cell>
          <cell r="H1922" t="str">
            <v>19940718</v>
          </cell>
          <cell r="I1922">
            <v>6018350</v>
          </cell>
        </row>
        <row r="1923">
          <cell r="A1923" t="str">
            <v>9301454</v>
          </cell>
          <cell r="B1923" t="str">
            <v>이　동　우</v>
          </cell>
          <cell r="C1923" t="str">
            <v>9301454이　동　우</v>
          </cell>
          <cell r="D1923" t="str">
            <v>CI20</v>
          </cell>
          <cell r="E1923" t="str">
            <v>기내식지원팀</v>
          </cell>
          <cell r="F1923" t="str">
            <v>2520</v>
          </cell>
          <cell r="G1923" t="str">
            <v>2520</v>
          </cell>
          <cell r="H1923" t="str">
            <v>19930301</v>
          </cell>
          <cell r="I1923">
            <v>7914566</v>
          </cell>
        </row>
        <row r="1924">
          <cell r="A1924" t="str">
            <v>9404763</v>
          </cell>
          <cell r="B1924" t="str">
            <v>이　만　희</v>
          </cell>
          <cell r="C1924" t="str">
            <v>9404763이　만　희</v>
          </cell>
          <cell r="D1924" t="str">
            <v>CI20</v>
          </cell>
          <cell r="E1924" t="str">
            <v>기내식지원팀</v>
          </cell>
          <cell r="F1924" t="str">
            <v>2520</v>
          </cell>
          <cell r="G1924" t="str">
            <v>2520</v>
          </cell>
          <cell r="H1924" t="str">
            <v>19940718</v>
          </cell>
          <cell r="I1924">
            <v>6028158</v>
          </cell>
        </row>
        <row r="1925">
          <cell r="A1925" t="str">
            <v>9450145</v>
          </cell>
          <cell r="B1925" t="str">
            <v>이　명　심</v>
          </cell>
          <cell r="C1925" t="str">
            <v>9450145이　명　심</v>
          </cell>
          <cell r="D1925" t="str">
            <v>CI20</v>
          </cell>
          <cell r="E1925" t="str">
            <v>기내식지원팀</v>
          </cell>
          <cell r="F1925" t="str">
            <v>2520</v>
          </cell>
          <cell r="G1925" t="str">
            <v>2520</v>
          </cell>
          <cell r="H1925" t="str">
            <v>19940105</v>
          </cell>
          <cell r="I1925">
            <v>6097299</v>
          </cell>
        </row>
        <row r="1926">
          <cell r="A1926" t="str">
            <v>8902192</v>
          </cell>
          <cell r="B1926" t="str">
            <v>이　병　윤</v>
          </cell>
          <cell r="C1926" t="str">
            <v>8902192이　병　윤</v>
          </cell>
          <cell r="D1926" t="str">
            <v>CI20</v>
          </cell>
          <cell r="E1926" t="str">
            <v>기내식지원팀</v>
          </cell>
          <cell r="F1926" t="str">
            <v>2520</v>
          </cell>
          <cell r="G1926" t="str">
            <v>2520</v>
          </cell>
          <cell r="H1926" t="str">
            <v>19881128</v>
          </cell>
          <cell r="I1926">
            <v>14321436</v>
          </cell>
        </row>
        <row r="1927">
          <cell r="A1927" t="str">
            <v>9702494</v>
          </cell>
          <cell r="B1927" t="str">
            <v>이　상　국</v>
          </cell>
          <cell r="C1927" t="str">
            <v>9702494이　상　국</v>
          </cell>
          <cell r="D1927" t="str">
            <v>CI20</v>
          </cell>
          <cell r="E1927" t="str">
            <v>기내식지원팀</v>
          </cell>
          <cell r="F1927" t="str">
            <v>2520</v>
          </cell>
          <cell r="G1927" t="str">
            <v>2520</v>
          </cell>
          <cell r="H1927" t="str">
            <v>19970821</v>
          </cell>
          <cell r="I1927">
            <v>2491726</v>
          </cell>
        </row>
        <row r="1928">
          <cell r="A1928" t="str">
            <v>9400127</v>
          </cell>
          <cell r="B1928" t="str">
            <v>이　상　훈</v>
          </cell>
          <cell r="C1928" t="str">
            <v>9400127이　상　훈</v>
          </cell>
          <cell r="D1928" t="str">
            <v>CI20</v>
          </cell>
          <cell r="E1928" t="str">
            <v>기내식지원팀</v>
          </cell>
          <cell r="F1928" t="str">
            <v>2520</v>
          </cell>
          <cell r="G1928" t="e">
            <v>#N/A</v>
          </cell>
          <cell r="H1928" t="str">
            <v>19940105</v>
          </cell>
          <cell r="I1928">
            <v>7003392</v>
          </cell>
          <cell r="J1928" t="str">
            <v>7 월</v>
          </cell>
          <cell r="K1928">
            <v>8731543</v>
          </cell>
        </row>
        <row r="1929">
          <cell r="A1929" t="str">
            <v>8501027</v>
          </cell>
          <cell r="B1929" t="str">
            <v>이　성　현</v>
          </cell>
          <cell r="C1929" t="str">
            <v>8501027이　성　현</v>
          </cell>
          <cell r="D1929" t="str">
            <v>CI20</v>
          </cell>
          <cell r="E1929" t="str">
            <v>기내식지원팀</v>
          </cell>
          <cell r="F1929" t="str">
            <v>2520</v>
          </cell>
          <cell r="G1929" t="str">
            <v>2520</v>
          </cell>
          <cell r="H1929" t="str">
            <v>19850501</v>
          </cell>
          <cell r="I1929">
            <v>22153717</v>
          </cell>
        </row>
        <row r="1930">
          <cell r="A1930" t="str">
            <v>8250456</v>
          </cell>
          <cell r="B1930" t="str">
            <v>이　순　자</v>
          </cell>
          <cell r="C1930" t="str">
            <v>8250456이　순　자</v>
          </cell>
          <cell r="D1930" t="str">
            <v>CI20</v>
          </cell>
          <cell r="E1930" t="str">
            <v>기내식지원팀</v>
          </cell>
          <cell r="F1930" t="str">
            <v>2520</v>
          </cell>
          <cell r="G1930" t="str">
            <v>2520</v>
          </cell>
          <cell r="H1930" t="str">
            <v>19821216</v>
          </cell>
          <cell r="I1930">
            <v>23766812</v>
          </cell>
        </row>
        <row r="1931">
          <cell r="A1931" t="str">
            <v>8801054</v>
          </cell>
          <cell r="B1931" t="str">
            <v>이　승　근</v>
          </cell>
          <cell r="C1931" t="str">
            <v>8801054이　승　근</v>
          </cell>
          <cell r="D1931" t="str">
            <v>CI20</v>
          </cell>
          <cell r="E1931" t="str">
            <v>기내식지원팀</v>
          </cell>
          <cell r="F1931" t="str">
            <v>2520</v>
          </cell>
          <cell r="G1931" t="str">
            <v>2520</v>
          </cell>
          <cell r="H1931" t="str">
            <v>19880901</v>
          </cell>
          <cell r="I1931">
            <v>14984753</v>
          </cell>
        </row>
        <row r="1932">
          <cell r="A1932" t="str">
            <v>8604898</v>
          </cell>
          <cell r="B1932" t="str">
            <v>이　승　재</v>
          </cell>
          <cell r="C1932" t="str">
            <v>8604898이　승　재</v>
          </cell>
          <cell r="D1932" t="str">
            <v>CI20</v>
          </cell>
          <cell r="E1932" t="str">
            <v>기내식지원팀</v>
          </cell>
          <cell r="F1932" t="str">
            <v>2520</v>
          </cell>
          <cell r="G1932" t="str">
            <v>2520</v>
          </cell>
          <cell r="H1932" t="str">
            <v>19861201</v>
          </cell>
          <cell r="I1932">
            <v>23068848</v>
          </cell>
        </row>
        <row r="1933">
          <cell r="A1933" t="str">
            <v>9102655</v>
          </cell>
          <cell r="B1933" t="str">
            <v>이　양　무</v>
          </cell>
          <cell r="C1933" t="str">
            <v>9102655이　양　무</v>
          </cell>
          <cell r="D1933" t="str">
            <v>CI20</v>
          </cell>
          <cell r="E1933" t="str">
            <v>기내식지원팀</v>
          </cell>
          <cell r="F1933" t="str">
            <v>2520</v>
          </cell>
          <cell r="G1933" t="str">
            <v>2520</v>
          </cell>
          <cell r="H1933" t="str">
            <v>19910720</v>
          </cell>
          <cell r="I1933">
            <v>10698719</v>
          </cell>
        </row>
        <row r="1934">
          <cell r="A1934" t="str">
            <v>8501038</v>
          </cell>
          <cell r="B1934" t="str">
            <v>이　영　근</v>
          </cell>
          <cell r="C1934" t="str">
            <v>8501038이　영　근</v>
          </cell>
          <cell r="D1934" t="str">
            <v>CI20</v>
          </cell>
          <cell r="E1934" t="str">
            <v>기내식지원팀</v>
          </cell>
          <cell r="F1934" t="str">
            <v>2520</v>
          </cell>
          <cell r="G1934" t="str">
            <v>2520</v>
          </cell>
          <cell r="H1934" t="str">
            <v>19850501</v>
          </cell>
          <cell r="I1934">
            <v>22102412</v>
          </cell>
        </row>
        <row r="1935">
          <cell r="A1935" t="str">
            <v>9100991</v>
          </cell>
          <cell r="B1935" t="str">
            <v>이　영　길</v>
          </cell>
          <cell r="C1935" t="str">
            <v>9100991이　영　길</v>
          </cell>
          <cell r="D1935" t="str">
            <v>CI20</v>
          </cell>
          <cell r="E1935" t="str">
            <v>기내식지원팀</v>
          </cell>
          <cell r="F1935" t="str">
            <v>2520</v>
          </cell>
          <cell r="G1935" t="str">
            <v>2520</v>
          </cell>
          <cell r="H1935" t="str">
            <v>19910325</v>
          </cell>
          <cell r="I1935">
            <v>12715980</v>
          </cell>
        </row>
        <row r="1936">
          <cell r="A1936" t="str">
            <v>9250446</v>
          </cell>
          <cell r="B1936" t="str">
            <v>이　옥　규</v>
          </cell>
          <cell r="C1936" t="str">
            <v>9250446이　옥　규</v>
          </cell>
          <cell r="D1936" t="str">
            <v>CI20</v>
          </cell>
          <cell r="E1936" t="str">
            <v>기내식지원팀</v>
          </cell>
          <cell r="F1936" t="str">
            <v>2520</v>
          </cell>
          <cell r="G1936" t="str">
            <v>2420</v>
          </cell>
          <cell r="H1936" t="str">
            <v>19920316</v>
          </cell>
          <cell r="I1936">
            <v>7444376</v>
          </cell>
        </row>
        <row r="1937">
          <cell r="A1937" t="str">
            <v>8201046</v>
          </cell>
          <cell r="B1937" t="str">
            <v>이　용　강</v>
          </cell>
          <cell r="C1937" t="str">
            <v>8201046이　용　강</v>
          </cell>
          <cell r="D1937" t="str">
            <v>CI20</v>
          </cell>
          <cell r="E1937" t="str">
            <v>기내식지원팀</v>
          </cell>
          <cell r="F1937" t="str">
            <v>2520</v>
          </cell>
          <cell r="G1937" t="str">
            <v>2520</v>
          </cell>
          <cell r="H1937" t="str">
            <v>19821016</v>
          </cell>
          <cell r="I1937">
            <v>30243268</v>
          </cell>
        </row>
        <row r="1938">
          <cell r="A1938" t="str">
            <v>8200631</v>
          </cell>
          <cell r="B1938" t="str">
            <v>이　용　섭</v>
          </cell>
          <cell r="C1938" t="str">
            <v>8200631이　용　섭</v>
          </cell>
          <cell r="D1938" t="str">
            <v>CI20</v>
          </cell>
          <cell r="E1938" t="str">
            <v>기내식지원팀</v>
          </cell>
          <cell r="F1938" t="str">
            <v>2520</v>
          </cell>
          <cell r="G1938" t="str">
            <v>2520</v>
          </cell>
          <cell r="H1938" t="str">
            <v>19971001</v>
          </cell>
          <cell r="I1938">
            <v>5722478</v>
          </cell>
        </row>
        <row r="1939">
          <cell r="A1939" t="str">
            <v>9000347</v>
          </cell>
          <cell r="B1939" t="str">
            <v>이　용　수</v>
          </cell>
          <cell r="C1939" t="str">
            <v>9000347이　용　수</v>
          </cell>
          <cell r="D1939" t="str">
            <v>CI20</v>
          </cell>
          <cell r="E1939" t="str">
            <v>기내식지원팀</v>
          </cell>
          <cell r="F1939" t="str">
            <v>2520</v>
          </cell>
          <cell r="G1939" t="str">
            <v>2520</v>
          </cell>
          <cell r="H1939" t="str">
            <v>19890510</v>
          </cell>
          <cell r="I1939">
            <v>13569847</v>
          </cell>
        </row>
        <row r="1940">
          <cell r="A1940" t="str">
            <v>9405347</v>
          </cell>
          <cell r="B1940" t="str">
            <v>이　우　광</v>
          </cell>
          <cell r="C1940" t="str">
            <v>9405347이　우　광</v>
          </cell>
          <cell r="D1940" t="str">
            <v>CI20</v>
          </cell>
          <cell r="E1940" t="str">
            <v>기내식지원팀</v>
          </cell>
          <cell r="F1940" t="str">
            <v>2520</v>
          </cell>
          <cell r="G1940" t="str">
            <v>2520</v>
          </cell>
          <cell r="H1940" t="str">
            <v>19940816</v>
          </cell>
          <cell r="I1940">
            <v>5961055</v>
          </cell>
        </row>
        <row r="1941">
          <cell r="A1941" t="str">
            <v>9304751</v>
          </cell>
          <cell r="B1941" t="str">
            <v>이　우　탁</v>
          </cell>
          <cell r="C1941" t="str">
            <v>9304751이　우　탁</v>
          </cell>
          <cell r="D1941" t="str">
            <v>CI20</v>
          </cell>
          <cell r="E1941" t="str">
            <v>기내식지원팀</v>
          </cell>
          <cell r="F1941" t="str">
            <v>2520</v>
          </cell>
          <cell r="G1941" t="str">
            <v>2520</v>
          </cell>
          <cell r="H1941" t="str">
            <v>19930801</v>
          </cell>
          <cell r="I1941">
            <v>7539252</v>
          </cell>
        </row>
        <row r="1942">
          <cell r="A1942" t="str">
            <v>9305831</v>
          </cell>
          <cell r="B1942" t="str">
            <v>이　은　국</v>
          </cell>
          <cell r="C1942" t="str">
            <v>9305831이　은　국</v>
          </cell>
          <cell r="D1942" t="str">
            <v>CI20</v>
          </cell>
          <cell r="E1942" t="str">
            <v>기내식지원팀</v>
          </cell>
          <cell r="F1942" t="str">
            <v>2520</v>
          </cell>
          <cell r="G1942" t="str">
            <v>2520</v>
          </cell>
          <cell r="H1942" t="str">
            <v>19930902</v>
          </cell>
          <cell r="I1942">
            <v>8419001</v>
          </cell>
        </row>
        <row r="1943">
          <cell r="A1943" t="str">
            <v>9502380</v>
          </cell>
          <cell r="B1943" t="str">
            <v>이　인　용</v>
          </cell>
          <cell r="C1943" t="str">
            <v>9502380이　인　용</v>
          </cell>
          <cell r="D1943" t="str">
            <v>CI20</v>
          </cell>
          <cell r="E1943" t="str">
            <v>기내식지원팀</v>
          </cell>
          <cell r="F1943" t="str">
            <v>2520</v>
          </cell>
          <cell r="G1943" t="str">
            <v>2520</v>
          </cell>
          <cell r="H1943" t="str">
            <v>19950916</v>
          </cell>
          <cell r="I1943">
            <v>4643232</v>
          </cell>
        </row>
        <row r="1944">
          <cell r="A1944" t="str">
            <v>8501602</v>
          </cell>
          <cell r="B1944" t="str">
            <v>이　일　구</v>
          </cell>
          <cell r="C1944" t="str">
            <v>8501602이　일　구</v>
          </cell>
          <cell r="D1944" t="str">
            <v>CI20</v>
          </cell>
          <cell r="E1944" t="str">
            <v>기내식지원팀</v>
          </cell>
          <cell r="F1944" t="str">
            <v>2520</v>
          </cell>
          <cell r="G1944" t="str">
            <v>2520</v>
          </cell>
          <cell r="H1944" t="str">
            <v>19850701</v>
          </cell>
          <cell r="I1944">
            <v>23070569</v>
          </cell>
        </row>
        <row r="1945">
          <cell r="A1945" t="str">
            <v>9001596</v>
          </cell>
          <cell r="B1945" t="str">
            <v>이　재　균</v>
          </cell>
          <cell r="C1945" t="str">
            <v>9001596이　재　균</v>
          </cell>
          <cell r="D1945" t="str">
            <v>CI20</v>
          </cell>
          <cell r="E1945" t="str">
            <v>기내식지원팀</v>
          </cell>
          <cell r="F1945" t="str">
            <v>2520</v>
          </cell>
          <cell r="G1945" t="str">
            <v>2520</v>
          </cell>
          <cell r="H1945" t="str">
            <v>19891129</v>
          </cell>
          <cell r="I1945">
            <v>12059077</v>
          </cell>
        </row>
        <row r="1946">
          <cell r="A1946" t="str">
            <v>9202915</v>
          </cell>
          <cell r="B1946" t="str">
            <v>이　재　우</v>
          </cell>
          <cell r="C1946" t="str">
            <v>9202915이　재　우</v>
          </cell>
          <cell r="D1946" t="str">
            <v>CI20</v>
          </cell>
          <cell r="E1946" t="str">
            <v>기내식지원팀</v>
          </cell>
          <cell r="F1946" t="str">
            <v>2520</v>
          </cell>
          <cell r="G1946" t="str">
            <v>2520</v>
          </cell>
          <cell r="H1946" t="str">
            <v>19920516</v>
          </cell>
          <cell r="I1946">
            <v>9492553</v>
          </cell>
        </row>
        <row r="1947">
          <cell r="A1947" t="str">
            <v>9000336</v>
          </cell>
          <cell r="B1947" t="str">
            <v>이　재　혁</v>
          </cell>
          <cell r="C1947" t="str">
            <v>9000336이　재　혁</v>
          </cell>
          <cell r="D1947" t="str">
            <v>CI20</v>
          </cell>
          <cell r="E1947" t="str">
            <v>기내식지원팀</v>
          </cell>
          <cell r="F1947" t="str">
            <v>2520</v>
          </cell>
          <cell r="G1947" t="str">
            <v>2520</v>
          </cell>
          <cell r="H1947" t="str">
            <v>19890510</v>
          </cell>
          <cell r="I1947">
            <v>13859454</v>
          </cell>
        </row>
        <row r="1948">
          <cell r="A1948" t="str">
            <v>9303478</v>
          </cell>
          <cell r="B1948" t="str">
            <v>이　정　우</v>
          </cell>
          <cell r="C1948" t="str">
            <v>9303478이　정　우</v>
          </cell>
          <cell r="D1948" t="str">
            <v>CI20</v>
          </cell>
          <cell r="E1948" t="str">
            <v>기내식지원팀</v>
          </cell>
          <cell r="F1948" t="str">
            <v>2520</v>
          </cell>
          <cell r="G1948" t="str">
            <v>2520</v>
          </cell>
          <cell r="H1948" t="str">
            <v>19930616</v>
          </cell>
          <cell r="I1948">
            <v>7395342</v>
          </cell>
        </row>
        <row r="1949">
          <cell r="A1949" t="str">
            <v>9302005</v>
          </cell>
          <cell r="B1949" t="str">
            <v>이　종　민</v>
          </cell>
          <cell r="C1949" t="str">
            <v>9302005이　종　민</v>
          </cell>
          <cell r="D1949" t="str">
            <v>CI20</v>
          </cell>
          <cell r="E1949" t="str">
            <v>기내식지원팀</v>
          </cell>
          <cell r="F1949" t="str">
            <v>2520</v>
          </cell>
          <cell r="G1949" t="str">
            <v>2520</v>
          </cell>
          <cell r="H1949" t="str">
            <v>19930401</v>
          </cell>
          <cell r="I1949">
            <v>8835669</v>
          </cell>
        </row>
        <row r="1950">
          <cell r="A1950" t="str">
            <v>8900493</v>
          </cell>
          <cell r="B1950" t="str">
            <v>이　종　화</v>
          </cell>
          <cell r="C1950" t="str">
            <v>8900493이　종　화</v>
          </cell>
          <cell r="D1950" t="str">
            <v>CI20</v>
          </cell>
          <cell r="E1950" t="str">
            <v>기내식지원팀</v>
          </cell>
          <cell r="F1950" t="str">
            <v>2520</v>
          </cell>
          <cell r="G1950" t="str">
            <v>2520</v>
          </cell>
          <cell r="H1950" t="str">
            <v>19880824</v>
          </cell>
          <cell r="I1950">
            <v>16816987</v>
          </cell>
        </row>
        <row r="1951">
          <cell r="A1951" t="str">
            <v>9404741</v>
          </cell>
          <cell r="B1951" t="str">
            <v>이　지　태</v>
          </cell>
          <cell r="C1951" t="str">
            <v>9404741이　지　태</v>
          </cell>
          <cell r="D1951" t="str">
            <v>CI20</v>
          </cell>
          <cell r="E1951" t="str">
            <v>기내식지원팀</v>
          </cell>
          <cell r="F1951" t="str">
            <v>2520</v>
          </cell>
          <cell r="G1951" t="str">
            <v>2520</v>
          </cell>
          <cell r="H1951" t="str">
            <v>19940718</v>
          </cell>
          <cell r="I1951">
            <v>6026760</v>
          </cell>
        </row>
        <row r="1952">
          <cell r="A1952" t="str">
            <v>9301566</v>
          </cell>
          <cell r="B1952" t="str">
            <v>이　창　구</v>
          </cell>
          <cell r="C1952" t="str">
            <v>9301566이　창　구</v>
          </cell>
          <cell r="D1952" t="str">
            <v>CI20</v>
          </cell>
          <cell r="E1952" t="str">
            <v>기내식지원팀</v>
          </cell>
          <cell r="F1952" t="str">
            <v>2520</v>
          </cell>
          <cell r="G1952" t="str">
            <v>2520</v>
          </cell>
          <cell r="H1952" t="str">
            <v>19930316</v>
          </cell>
          <cell r="I1952">
            <v>7587374</v>
          </cell>
        </row>
        <row r="1953">
          <cell r="A1953" t="str">
            <v>9405966</v>
          </cell>
          <cell r="B1953" t="str">
            <v>이　창　근</v>
          </cell>
          <cell r="C1953" t="str">
            <v>9405966이　창　근</v>
          </cell>
          <cell r="D1953" t="str">
            <v>CI20</v>
          </cell>
          <cell r="E1953" t="str">
            <v>기내식지원팀</v>
          </cell>
          <cell r="F1953" t="str">
            <v>2520</v>
          </cell>
          <cell r="G1953" t="str">
            <v>2520</v>
          </cell>
          <cell r="H1953" t="str">
            <v>19940901</v>
          </cell>
          <cell r="I1953">
            <v>5912507</v>
          </cell>
        </row>
        <row r="1954">
          <cell r="A1954" t="str">
            <v>9701752</v>
          </cell>
          <cell r="B1954" t="str">
            <v>이　창　종</v>
          </cell>
          <cell r="C1954" t="str">
            <v>9701752이　창　종</v>
          </cell>
          <cell r="D1954" t="str">
            <v>CI20</v>
          </cell>
          <cell r="E1954" t="str">
            <v>기내식지원팀</v>
          </cell>
          <cell r="F1954" t="str">
            <v>2520</v>
          </cell>
          <cell r="G1954" t="str">
            <v>2520</v>
          </cell>
          <cell r="H1954" t="str">
            <v>19970601</v>
          </cell>
          <cell r="I1954">
            <v>3187958</v>
          </cell>
        </row>
        <row r="1955">
          <cell r="A1955" t="str">
            <v>8300878</v>
          </cell>
          <cell r="B1955" t="str">
            <v>이　춘　화</v>
          </cell>
          <cell r="C1955" t="str">
            <v>8300878이　춘　화</v>
          </cell>
          <cell r="D1955" t="str">
            <v>CI20</v>
          </cell>
          <cell r="E1955" t="str">
            <v>기내식지원팀</v>
          </cell>
          <cell r="F1955" t="str">
            <v>2520</v>
          </cell>
          <cell r="G1955" t="str">
            <v>2520</v>
          </cell>
          <cell r="H1955" t="str">
            <v>19831115</v>
          </cell>
          <cell r="I1955">
            <v>26559356</v>
          </cell>
        </row>
        <row r="1956">
          <cell r="A1956" t="str">
            <v>8604641</v>
          </cell>
          <cell r="B1956" t="str">
            <v>이　태　섭</v>
          </cell>
          <cell r="C1956" t="str">
            <v>8604641이　태　섭</v>
          </cell>
          <cell r="D1956" t="str">
            <v>CI20</v>
          </cell>
          <cell r="E1956" t="str">
            <v>기내식지원팀</v>
          </cell>
          <cell r="F1956" t="str">
            <v>2520</v>
          </cell>
          <cell r="G1956" t="str">
            <v>2520</v>
          </cell>
          <cell r="H1956" t="str">
            <v>19861001</v>
          </cell>
          <cell r="I1956">
            <v>24733890</v>
          </cell>
        </row>
        <row r="1957">
          <cell r="A1957" t="str">
            <v>9501570</v>
          </cell>
          <cell r="B1957" t="str">
            <v>이　학　선</v>
          </cell>
          <cell r="C1957" t="str">
            <v>9501570이　학　선</v>
          </cell>
          <cell r="D1957" t="str">
            <v>CI20</v>
          </cell>
          <cell r="E1957" t="str">
            <v>기내식지원팀</v>
          </cell>
          <cell r="F1957" t="str">
            <v>2520</v>
          </cell>
          <cell r="G1957" t="str">
            <v>2520</v>
          </cell>
          <cell r="H1957" t="str">
            <v>19950710</v>
          </cell>
          <cell r="I1957">
            <v>4864973</v>
          </cell>
        </row>
        <row r="1958">
          <cell r="A1958" t="str">
            <v>9105761</v>
          </cell>
          <cell r="B1958" t="str">
            <v>이　한　길</v>
          </cell>
          <cell r="C1958" t="str">
            <v>9105761이　한　길</v>
          </cell>
          <cell r="D1958" t="str">
            <v>CI20</v>
          </cell>
          <cell r="E1958" t="str">
            <v>기내식지원팀</v>
          </cell>
          <cell r="F1958" t="str">
            <v>2520</v>
          </cell>
          <cell r="G1958" t="e">
            <v>#N/A</v>
          </cell>
          <cell r="H1958" t="str">
            <v>19911201</v>
          </cell>
          <cell r="I1958">
            <v>10048851</v>
          </cell>
          <cell r="J1958" t="str">
            <v>5 월</v>
          </cell>
          <cell r="K1958">
            <v>10523550</v>
          </cell>
        </row>
        <row r="1959">
          <cell r="A1959" t="str">
            <v>9402390</v>
          </cell>
          <cell r="B1959" t="str">
            <v>이　한　웅</v>
          </cell>
          <cell r="C1959" t="str">
            <v>9402390이　한　웅</v>
          </cell>
          <cell r="D1959" t="str">
            <v>CI20</v>
          </cell>
          <cell r="E1959" t="str">
            <v>기내식지원팀</v>
          </cell>
          <cell r="F1959" t="str">
            <v>2520</v>
          </cell>
          <cell r="G1959" t="str">
            <v>2520</v>
          </cell>
          <cell r="H1959" t="str">
            <v>19940418</v>
          </cell>
          <cell r="I1959">
            <v>6358362</v>
          </cell>
        </row>
        <row r="1960">
          <cell r="A1960" t="str">
            <v>8603482</v>
          </cell>
          <cell r="B1960" t="str">
            <v>이　홍　복</v>
          </cell>
          <cell r="C1960" t="str">
            <v>8603482이　홍　복</v>
          </cell>
          <cell r="D1960" t="str">
            <v>CI20</v>
          </cell>
          <cell r="E1960" t="str">
            <v>기내식지원팀</v>
          </cell>
          <cell r="F1960" t="str">
            <v>2520</v>
          </cell>
          <cell r="G1960" t="str">
            <v>2520</v>
          </cell>
          <cell r="H1960" t="str">
            <v>19860901</v>
          </cell>
          <cell r="I1960">
            <v>26786887</v>
          </cell>
        </row>
        <row r="1961">
          <cell r="A1961" t="str">
            <v>9202511</v>
          </cell>
          <cell r="B1961" t="str">
            <v>이　희　중</v>
          </cell>
          <cell r="C1961" t="str">
            <v>9202511이　희　중</v>
          </cell>
          <cell r="D1961" t="str">
            <v>CI20</v>
          </cell>
          <cell r="E1961" t="str">
            <v>기내식지원팀</v>
          </cell>
          <cell r="F1961" t="str">
            <v>2520</v>
          </cell>
          <cell r="G1961" t="str">
            <v>2520</v>
          </cell>
          <cell r="H1961" t="str">
            <v>19920501</v>
          </cell>
          <cell r="I1961">
            <v>10940795</v>
          </cell>
        </row>
        <row r="1962">
          <cell r="A1962" t="str">
            <v>9303928</v>
          </cell>
          <cell r="B1962" t="str">
            <v>인　재　범</v>
          </cell>
          <cell r="C1962" t="str">
            <v>9303928인　재　범</v>
          </cell>
          <cell r="D1962" t="str">
            <v>CI20</v>
          </cell>
          <cell r="E1962" t="str">
            <v>기내식지원팀</v>
          </cell>
          <cell r="F1962" t="str">
            <v>2520</v>
          </cell>
          <cell r="G1962" t="str">
            <v>2520</v>
          </cell>
          <cell r="H1962" t="str">
            <v>19930701</v>
          </cell>
          <cell r="I1962">
            <v>7576574</v>
          </cell>
        </row>
        <row r="1963">
          <cell r="A1963" t="str">
            <v>9103814</v>
          </cell>
          <cell r="B1963" t="str">
            <v>임　　　철</v>
          </cell>
          <cell r="C1963" t="str">
            <v>9103814임　　　철</v>
          </cell>
          <cell r="D1963" t="str">
            <v>CI20</v>
          </cell>
          <cell r="E1963" t="str">
            <v>기내식지원팀</v>
          </cell>
          <cell r="F1963" t="str">
            <v>2520</v>
          </cell>
          <cell r="G1963" t="str">
            <v>2520</v>
          </cell>
          <cell r="H1963" t="str">
            <v>19910910</v>
          </cell>
          <cell r="I1963">
            <v>11983221</v>
          </cell>
        </row>
        <row r="1964">
          <cell r="A1964" t="str">
            <v>9500995</v>
          </cell>
          <cell r="B1964" t="str">
            <v>임　성　호</v>
          </cell>
          <cell r="C1964" t="str">
            <v>9500995임　성　호</v>
          </cell>
          <cell r="D1964" t="str">
            <v>CI20</v>
          </cell>
          <cell r="E1964" t="str">
            <v>기내식지원팀</v>
          </cell>
          <cell r="F1964" t="str">
            <v>2520</v>
          </cell>
          <cell r="G1964" t="str">
            <v>2520</v>
          </cell>
          <cell r="H1964" t="str">
            <v>19950417</v>
          </cell>
          <cell r="I1964">
            <v>5070558</v>
          </cell>
        </row>
        <row r="1965">
          <cell r="A1965" t="str">
            <v>7300236</v>
          </cell>
          <cell r="B1965" t="str">
            <v>임　왕　순</v>
          </cell>
          <cell r="C1965" t="str">
            <v>7300236임　왕　순</v>
          </cell>
          <cell r="D1965" t="str">
            <v>CI20</v>
          </cell>
          <cell r="E1965" t="str">
            <v>기내식지원팀</v>
          </cell>
          <cell r="F1965" t="str">
            <v>2520</v>
          </cell>
          <cell r="G1965" t="e">
            <v>#N/A</v>
          </cell>
          <cell r="H1965" t="str">
            <v>19731012</v>
          </cell>
          <cell r="I1965">
            <v>43695833</v>
          </cell>
          <cell r="J1965" t="str">
            <v>8 월</v>
          </cell>
          <cell r="K1965">
            <v>49639826</v>
          </cell>
        </row>
        <row r="1966">
          <cell r="A1966" t="str">
            <v>9701875</v>
          </cell>
          <cell r="B1966" t="str">
            <v>임　일　섭</v>
          </cell>
          <cell r="C1966" t="str">
            <v>9701875임　일　섭</v>
          </cell>
          <cell r="D1966" t="str">
            <v>CI20</v>
          </cell>
          <cell r="E1966" t="str">
            <v>기내식지원팀</v>
          </cell>
          <cell r="F1966" t="str">
            <v>2520</v>
          </cell>
          <cell r="G1966" t="str">
            <v>2520</v>
          </cell>
          <cell r="H1966" t="str">
            <v>19970601</v>
          </cell>
          <cell r="I1966">
            <v>2682207</v>
          </cell>
        </row>
        <row r="1967">
          <cell r="A1967" t="str">
            <v>9205683</v>
          </cell>
          <cell r="B1967" t="str">
            <v>장　건　상</v>
          </cell>
          <cell r="C1967" t="str">
            <v>9205683장　건　상</v>
          </cell>
          <cell r="D1967" t="str">
            <v>CI20</v>
          </cell>
          <cell r="E1967" t="str">
            <v>기내식지원팀</v>
          </cell>
          <cell r="F1967" t="str">
            <v>2520</v>
          </cell>
          <cell r="G1967" t="str">
            <v>2520</v>
          </cell>
          <cell r="H1967" t="str">
            <v>19921005</v>
          </cell>
          <cell r="I1967">
            <v>9843849</v>
          </cell>
        </row>
        <row r="1968">
          <cell r="A1968" t="str">
            <v>9404820</v>
          </cell>
          <cell r="B1968" t="str">
            <v>장　경　훈</v>
          </cell>
          <cell r="C1968" t="str">
            <v>9404820장　경　훈</v>
          </cell>
          <cell r="D1968" t="str">
            <v>CI20</v>
          </cell>
          <cell r="E1968" t="str">
            <v>기내식지원팀</v>
          </cell>
          <cell r="F1968" t="str">
            <v>2520</v>
          </cell>
          <cell r="G1968" t="str">
            <v>2520</v>
          </cell>
          <cell r="H1968" t="str">
            <v>19940718</v>
          </cell>
          <cell r="I1968">
            <v>6285430</v>
          </cell>
        </row>
        <row r="1969">
          <cell r="A1969" t="str">
            <v>9204333</v>
          </cell>
          <cell r="B1969" t="str">
            <v>장　상　호</v>
          </cell>
          <cell r="C1969" t="str">
            <v>9204333장　상　호</v>
          </cell>
          <cell r="D1969" t="str">
            <v>CI20</v>
          </cell>
          <cell r="E1969" t="str">
            <v>기내식지원팀</v>
          </cell>
          <cell r="F1969" t="str">
            <v>2520</v>
          </cell>
          <cell r="G1969" t="str">
            <v>2520</v>
          </cell>
          <cell r="H1969" t="str">
            <v>19920722</v>
          </cell>
          <cell r="I1969">
            <v>9745189</v>
          </cell>
        </row>
        <row r="1970">
          <cell r="A1970" t="str">
            <v>9404583</v>
          </cell>
          <cell r="B1970" t="str">
            <v>장　성　은</v>
          </cell>
          <cell r="C1970" t="str">
            <v>9404583장　성　은</v>
          </cell>
          <cell r="D1970" t="str">
            <v>CI20</v>
          </cell>
          <cell r="E1970" t="str">
            <v>기내식지원팀</v>
          </cell>
          <cell r="F1970" t="str">
            <v>2520</v>
          </cell>
          <cell r="G1970" t="str">
            <v>2520</v>
          </cell>
          <cell r="H1970" t="str">
            <v>19940711</v>
          </cell>
          <cell r="I1970">
            <v>6001570</v>
          </cell>
        </row>
        <row r="1971">
          <cell r="A1971" t="str">
            <v>8502513</v>
          </cell>
          <cell r="B1971" t="str">
            <v>장　순　호</v>
          </cell>
          <cell r="C1971" t="str">
            <v>8502513장　순　호</v>
          </cell>
          <cell r="D1971" t="str">
            <v>CI20</v>
          </cell>
          <cell r="E1971" t="str">
            <v>기내식지원팀</v>
          </cell>
          <cell r="F1971" t="str">
            <v>2520</v>
          </cell>
          <cell r="G1971" t="str">
            <v>2520</v>
          </cell>
          <cell r="H1971" t="str">
            <v>19851210</v>
          </cell>
          <cell r="I1971">
            <v>22175353</v>
          </cell>
        </row>
        <row r="1972">
          <cell r="A1972" t="str">
            <v>9206897</v>
          </cell>
          <cell r="B1972" t="str">
            <v>장　흥　준</v>
          </cell>
          <cell r="C1972" t="str">
            <v>9206897장　흥　준</v>
          </cell>
          <cell r="D1972" t="str">
            <v>CI20</v>
          </cell>
          <cell r="E1972" t="str">
            <v>기내식지원팀</v>
          </cell>
          <cell r="F1972" t="str">
            <v>2520</v>
          </cell>
          <cell r="G1972" t="str">
            <v>2520</v>
          </cell>
          <cell r="H1972" t="str">
            <v>19921101</v>
          </cell>
          <cell r="I1972">
            <v>8418583</v>
          </cell>
        </row>
        <row r="1973">
          <cell r="A1973" t="str">
            <v>9451427</v>
          </cell>
          <cell r="B1973" t="str">
            <v>전　옥　순</v>
          </cell>
          <cell r="C1973" t="str">
            <v>9451427전　옥　순</v>
          </cell>
          <cell r="D1973" t="str">
            <v>CI20</v>
          </cell>
          <cell r="E1973" t="str">
            <v>기내식지원팀</v>
          </cell>
          <cell r="F1973" t="str">
            <v>2520</v>
          </cell>
          <cell r="G1973" t="str">
            <v>2420</v>
          </cell>
          <cell r="H1973" t="str">
            <v>19940701</v>
          </cell>
          <cell r="I1973">
            <v>5058466</v>
          </cell>
        </row>
        <row r="1974">
          <cell r="A1974" t="str">
            <v>9500973</v>
          </cell>
          <cell r="B1974" t="str">
            <v>전　윤　환</v>
          </cell>
          <cell r="C1974" t="str">
            <v>9500973전　윤　환</v>
          </cell>
          <cell r="D1974" t="str">
            <v>CI20</v>
          </cell>
          <cell r="E1974" t="str">
            <v>기내식지원팀</v>
          </cell>
          <cell r="F1974" t="str">
            <v>2520</v>
          </cell>
          <cell r="G1974" t="str">
            <v>2520</v>
          </cell>
          <cell r="H1974" t="str">
            <v>19950417</v>
          </cell>
          <cell r="I1974">
            <v>5142039</v>
          </cell>
        </row>
        <row r="1975">
          <cell r="A1975" t="str">
            <v>8601873</v>
          </cell>
          <cell r="B1975" t="str">
            <v>전　종　만</v>
          </cell>
          <cell r="C1975" t="str">
            <v>8601873전　종　만</v>
          </cell>
          <cell r="D1975" t="str">
            <v>CI20</v>
          </cell>
          <cell r="E1975" t="str">
            <v>기내식지원팀</v>
          </cell>
          <cell r="F1975" t="str">
            <v>2520</v>
          </cell>
          <cell r="G1975" t="str">
            <v>2520</v>
          </cell>
          <cell r="H1975" t="str">
            <v>19860616</v>
          </cell>
          <cell r="I1975">
            <v>19831093</v>
          </cell>
        </row>
        <row r="1976">
          <cell r="A1976" t="str">
            <v>8201070</v>
          </cell>
          <cell r="B1976" t="str">
            <v>정　규　진</v>
          </cell>
          <cell r="C1976" t="str">
            <v>8201070정　규　진</v>
          </cell>
          <cell r="D1976" t="str">
            <v>CI20</v>
          </cell>
          <cell r="E1976" t="str">
            <v>기내식지원팀</v>
          </cell>
          <cell r="F1976" t="str">
            <v>2520</v>
          </cell>
          <cell r="G1976" t="str">
            <v>2520</v>
          </cell>
          <cell r="H1976" t="str">
            <v>19821016</v>
          </cell>
          <cell r="I1976">
            <v>29073598</v>
          </cell>
        </row>
        <row r="1977">
          <cell r="A1977" t="str">
            <v>9001923</v>
          </cell>
          <cell r="B1977" t="str">
            <v>정　만　진</v>
          </cell>
          <cell r="C1977" t="str">
            <v>9001923정　만　진</v>
          </cell>
          <cell r="D1977" t="str">
            <v>CI20</v>
          </cell>
          <cell r="E1977" t="str">
            <v>기내식지원팀</v>
          </cell>
          <cell r="F1977" t="str">
            <v>2520</v>
          </cell>
          <cell r="G1977" t="str">
            <v>2520</v>
          </cell>
          <cell r="H1977" t="str">
            <v>19891220</v>
          </cell>
          <cell r="I1977">
            <v>14722802</v>
          </cell>
        </row>
        <row r="1978">
          <cell r="A1978" t="str">
            <v>9502986</v>
          </cell>
          <cell r="B1978" t="str">
            <v>정　병　균</v>
          </cell>
          <cell r="C1978" t="str">
            <v>9502986정　병　균</v>
          </cell>
          <cell r="D1978" t="str">
            <v>CI20</v>
          </cell>
          <cell r="E1978" t="str">
            <v>기내식지원팀</v>
          </cell>
          <cell r="F1978" t="str">
            <v>2520</v>
          </cell>
          <cell r="G1978" t="str">
            <v>2520</v>
          </cell>
          <cell r="H1978" t="str">
            <v>19951023</v>
          </cell>
          <cell r="I1978">
            <v>4487675</v>
          </cell>
        </row>
        <row r="1979">
          <cell r="A1979" t="str">
            <v>9304288</v>
          </cell>
          <cell r="B1979" t="str">
            <v>정　병　수</v>
          </cell>
          <cell r="C1979" t="str">
            <v>9304288정　병　수</v>
          </cell>
          <cell r="D1979" t="str">
            <v>CI20</v>
          </cell>
          <cell r="E1979" t="str">
            <v>기내식지원팀</v>
          </cell>
          <cell r="F1979" t="str">
            <v>2520</v>
          </cell>
          <cell r="G1979" t="str">
            <v>2520</v>
          </cell>
          <cell r="H1979" t="str">
            <v>19930716</v>
          </cell>
          <cell r="I1979">
            <v>7222796</v>
          </cell>
        </row>
        <row r="1980">
          <cell r="A1980" t="str">
            <v>9103397</v>
          </cell>
          <cell r="B1980" t="str">
            <v>정　성　우</v>
          </cell>
          <cell r="C1980" t="str">
            <v>9103397정　성　우</v>
          </cell>
          <cell r="D1980" t="str">
            <v>CI20</v>
          </cell>
          <cell r="E1980" t="str">
            <v>기내식지원팀</v>
          </cell>
          <cell r="F1980" t="str">
            <v>2520</v>
          </cell>
          <cell r="G1980" t="e">
            <v>#N/A</v>
          </cell>
          <cell r="H1980" t="str">
            <v>19910807</v>
          </cell>
          <cell r="I1980">
            <v>9728091</v>
          </cell>
          <cell r="J1980" t="str">
            <v>3 월</v>
          </cell>
          <cell r="K1980">
            <v>9906252</v>
          </cell>
        </row>
        <row r="1981">
          <cell r="A1981" t="str">
            <v>8501782</v>
          </cell>
          <cell r="B1981" t="str">
            <v>정　영　헌</v>
          </cell>
          <cell r="C1981" t="str">
            <v>8501782정　영　헌</v>
          </cell>
          <cell r="D1981" t="str">
            <v>CI20</v>
          </cell>
          <cell r="E1981" t="str">
            <v>기내식지원팀</v>
          </cell>
          <cell r="F1981" t="str">
            <v>2520</v>
          </cell>
          <cell r="G1981" t="str">
            <v>2520</v>
          </cell>
          <cell r="H1981" t="str">
            <v>19850710</v>
          </cell>
          <cell r="I1981">
            <v>21687361</v>
          </cell>
        </row>
        <row r="1982">
          <cell r="A1982" t="str">
            <v>9001012</v>
          </cell>
          <cell r="B1982" t="str">
            <v>정　영　호</v>
          </cell>
          <cell r="C1982" t="str">
            <v>9001012정　영　호</v>
          </cell>
          <cell r="D1982" t="str">
            <v>CI20</v>
          </cell>
          <cell r="E1982" t="str">
            <v>기내식지원팀</v>
          </cell>
          <cell r="F1982" t="str">
            <v>2520</v>
          </cell>
          <cell r="G1982" t="str">
            <v>2520</v>
          </cell>
          <cell r="H1982" t="str">
            <v>19890816</v>
          </cell>
          <cell r="I1982">
            <v>13252488</v>
          </cell>
        </row>
        <row r="1983">
          <cell r="A1983" t="str">
            <v>9206965</v>
          </cell>
          <cell r="B1983" t="str">
            <v>정　우　진</v>
          </cell>
          <cell r="C1983" t="str">
            <v>9206965정　우　진</v>
          </cell>
          <cell r="D1983" t="str">
            <v>CI20</v>
          </cell>
          <cell r="E1983" t="str">
            <v>기내식지원팀</v>
          </cell>
          <cell r="F1983" t="str">
            <v>2520</v>
          </cell>
          <cell r="G1983" t="str">
            <v>2520</v>
          </cell>
          <cell r="H1983" t="str">
            <v>19921101</v>
          </cell>
          <cell r="I1983">
            <v>8815289</v>
          </cell>
        </row>
        <row r="1984">
          <cell r="A1984" t="str">
            <v>7900323</v>
          </cell>
          <cell r="B1984" t="str">
            <v>정　이　진</v>
          </cell>
          <cell r="C1984" t="str">
            <v>7900323정　이　진</v>
          </cell>
          <cell r="D1984" t="str">
            <v>CI20</v>
          </cell>
          <cell r="E1984" t="str">
            <v>기내식지원팀</v>
          </cell>
          <cell r="F1984" t="str">
            <v>2520</v>
          </cell>
          <cell r="G1984" t="str">
            <v>2520</v>
          </cell>
          <cell r="H1984" t="str">
            <v>19790510</v>
          </cell>
          <cell r="I1984">
            <v>34352988</v>
          </cell>
        </row>
        <row r="1985">
          <cell r="A1985" t="str">
            <v>9206875</v>
          </cell>
          <cell r="B1985" t="str">
            <v>정　일　성</v>
          </cell>
          <cell r="C1985" t="str">
            <v>9206875정　일　성</v>
          </cell>
          <cell r="D1985" t="str">
            <v>CI20</v>
          </cell>
          <cell r="E1985" t="str">
            <v>기내식지원팀</v>
          </cell>
          <cell r="F1985" t="str">
            <v>2520</v>
          </cell>
          <cell r="G1985" t="str">
            <v>2520</v>
          </cell>
          <cell r="H1985" t="str">
            <v>19921101</v>
          </cell>
          <cell r="I1985">
            <v>8752254</v>
          </cell>
        </row>
        <row r="1986">
          <cell r="A1986" t="str">
            <v>9750306</v>
          </cell>
          <cell r="B1986" t="str">
            <v>정　종　숙</v>
          </cell>
          <cell r="C1986" t="str">
            <v>9750306정　종　숙</v>
          </cell>
          <cell r="D1986" t="str">
            <v>CI20</v>
          </cell>
          <cell r="E1986" t="str">
            <v>기내식지원팀</v>
          </cell>
          <cell r="F1986" t="str">
            <v>2520</v>
          </cell>
          <cell r="G1986" t="str">
            <v>2520</v>
          </cell>
          <cell r="H1986" t="str">
            <v>19970601</v>
          </cell>
          <cell r="I1986">
            <v>2223571</v>
          </cell>
        </row>
        <row r="1987">
          <cell r="A1987" t="str">
            <v>9003058</v>
          </cell>
          <cell r="B1987" t="str">
            <v>정　주　채</v>
          </cell>
          <cell r="C1987" t="str">
            <v>9003058정　주　채</v>
          </cell>
          <cell r="D1987" t="str">
            <v>CI20</v>
          </cell>
          <cell r="E1987" t="str">
            <v>기내식지원팀</v>
          </cell>
          <cell r="F1987" t="str">
            <v>2520</v>
          </cell>
          <cell r="G1987" t="str">
            <v>2520</v>
          </cell>
          <cell r="H1987" t="str">
            <v>19900317</v>
          </cell>
          <cell r="I1987">
            <v>11787347</v>
          </cell>
        </row>
        <row r="1988">
          <cell r="A1988" t="str">
            <v>9000865</v>
          </cell>
          <cell r="B1988" t="str">
            <v>정　지　호</v>
          </cell>
          <cell r="C1988" t="str">
            <v>9000865정　지　호</v>
          </cell>
          <cell r="D1988" t="str">
            <v>CI20</v>
          </cell>
          <cell r="E1988" t="str">
            <v>기내식지원팀</v>
          </cell>
          <cell r="F1988" t="str">
            <v>2520</v>
          </cell>
          <cell r="G1988" t="str">
            <v>2520</v>
          </cell>
          <cell r="H1988" t="str">
            <v>19890826</v>
          </cell>
          <cell r="I1988">
            <v>13220593</v>
          </cell>
        </row>
        <row r="1989">
          <cell r="A1989" t="str">
            <v>7800636</v>
          </cell>
          <cell r="B1989" t="str">
            <v>정　천　성</v>
          </cell>
          <cell r="C1989" t="str">
            <v>7800636정　천　성</v>
          </cell>
          <cell r="D1989" t="str">
            <v>CI20</v>
          </cell>
          <cell r="E1989" t="str">
            <v>기내식지원팀</v>
          </cell>
          <cell r="F1989" t="str">
            <v>2520</v>
          </cell>
          <cell r="G1989" t="str">
            <v>2520</v>
          </cell>
          <cell r="H1989" t="str">
            <v>19780802</v>
          </cell>
          <cell r="I1989">
            <v>39237757</v>
          </cell>
        </row>
        <row r="1990">
          <cell r="A1990" t="str">
            <v>8200642</v>
          </cell>
          <cell r="B1990" t="str">
            <v>정　필　한</v>
          </cell>
          <cell r="C1990" t="str">
            <v>8200642정　필　한</v>
          </cell>
          <cell r="D1990" t="str">
            <v>CI20</v>
          </cell>
          <cell r="E1990" t="str">
            <v>기내식지원팀</v>
          </cell>
          <cell r="F1990" t="str">
            <v>2520</v>
          </cell>
          <cell r="G1990" t="str">
            <v>2520</v>
          </cell>
          <cell r="H1990" t="str">
            <v>19820901</v>
          </cell>
          <cell r="I1990">
            <v>29291608</v>
          </cell>
        </row>
        <row r="1991">
          <cell r="A1991" t="str">
            <v>8501760</v>
          </cell>
          <cell r="B1991" t="str">
            <v>조　　　용</v>
          </cell>
          <cell r="C1991" t="str">
            <v>8501760조　　　용</v>
          </cell>
          <cell r="D1991" t="str">
            <v>CI20</v>
          </cell>
          <cell r="E1991" t="str">
            <v>기내식지원팀</v>
          </cell>
          <cell r="F1991" t="str">
            <v>2520</v>
          </cell>
          <cell r="G1991" t="str">
            <v>2520</v>
          </cell>
          <cell r="H1991" t="str">
            <v>19850710</v>
          </cell>
          <cell r="I1991">
            <v>22701787</v>
          </cell>
        </row>
        <row r="1992">
          <cell r="A1992" t="str">
            <v>7800390</v>
          </cell>
          <cell r="B1992" t="str">
            <v>조　남　상</v>
          </cell>
          <cell r="C1992" t="str">
            <v>7800390조　남　상</v>
          </cell>
          <cell r="D1992" t="str">
            <v>CI20</v>
          </cell>
          <cell r="E1992" t="str">
            <v>기내식지원팀</v>
          </cell>
          <cell r="F1992" t="str">
            <v>2520</v>
          </cell>
          <cell r="G1992" t="str">
            <v>2520</v>
          </cell>
          <cell r="H1992" t="str">
            <v>19780601</v>
          </cell>
          <cell r="I1992">
            <v>36995205</v>
          </cell>
        </row>
        <row r="1993">
          <cell r="A1993" t="str">
            <v>8150220</v>
          </cell>
          <cell r="B1993" t="str">
            <v>조　선　희</v>
          </cell>
          <cell r="C1993" t="str">
            <v>8150220조　선　희</v>
          </cell>
          <cell r="D1993" t="str">
            <v>CI20</v>
          </cell>
          <cell r="E1993" t="str">
            <v>기내식지원팀</v>
          </cell>
          <cell r="F1993" t="str">
            <v>2520</v>
          </cell>
          <cell r="G1993" t="str">
            <v>2520</v>
          </cell>
          <cell r="H1993" t="str">
            <v>19811101</v>
          </cell>
          <cell r="I1993">
            <v>35043245</v>
          </cell>
        </row>
        <row r="1994">
          <cell r="A1994" t="str">
            <v>9307822</v>
          </cell>
          <cell r="B1994" t="str">
            <v>조　성　규</v>
          </cell>
          <cell r="C1994" t="str">
            <v>9307822조　성　규</v>
          </cell>
          <cell r="D1994" t="str">
            <v>CI20</v>
          </cell>
          <cell r="E1994" t="str">
            <v>기내식지원팀</v>
          </cell>
          <cell r="F1994" t="str">
            <v>2520</v>
          </cell>
          <cell r="G1994" t="str">
            <v>2520</v>
          </cell>
          <cell r="H1994" t="str">
            <v>19931201</v>
          </cell>
          <cell r="I1994">
            <v>6832831</v>
          </cell>
        </row>
        <row r="1995">
          <cell r="A1995" t="str">
            <v>9650261</v>
          </cell>
          <cell r="B1995" t="str">
            <v>조　순　희</v>
          </cell>
          <cell r="C1995" t="str">
            <v>9650261조　순　희</v>
          </cell>
          <cell r="D1995" t="str">
            <v>CI20</v>
          </cell>
          <cell r="E1995" t="str">
            <v>기내식지원팀</v>
          </cell>
          <cell r="F1995" t="str">
            <v>2520</v>
          </cell>
          <cell r="G1995" t="str">
            <v>2520</v>
          </cell>
          <cell r="H1995" t="str">
            <v>19961016</v>
          </cell>
          <cell r="I1995">
            <v>3655378</v>
          </cell>
        </row>
        <row r="1996">
          <cell r="A1996" t="str">
            <v>9102431</v>
          </cell>
          <cell r="B1996" t="str">
            <v>조　용　호</v>
          </cell>
          <cell r="C1996" t="str">
            <v>9102431조　용　호</v>
          </cell>
          <cell r="D1996" t="str">
            <v>CI20</v>
          </cell>
          <cell r="E1996" t="str">
            <v>기내식지원팀</v>
          </cell>
          <cell r="F1996" t="str">
            <v>2520</v>
          </cell>
          <cell r="G1996" t="str">
            <v>2520</v>
          </cell>
          <cell r="H1996" t="str">
            <v>19910701</v>
          </cell>
          <cell r="I1996">
            <v>10657202</v>
          </cell>
        </row>
        <row r="1997">
          <cell r="A1997" t="str">
            <v>8902203</v>
          </cell>
          <cell r="B1997" t="str">
            <v>조　창　용</v>
          </cell>
          <cell r="C1997" t="str">
            <v>8902203조　창　용</v>
          </cell>
          <cell r="D1997" t="str">
            <v>CI20</v>
          </cell>
          <cell r="E1997" t="str">
            <v>기내식지원팀</v>
          </cell>
          <cell r="F1997" t="str">
            <v>2520</v>
          </cell>
          <cell r="G1997" t="str">
            <v>2520</v>
          </cell>
          <cell r="H1997" t="str">
            <v>19881202</v>
          </cell>
          <cell r="I1997">
            <v>14413157</v>
          </cell>
        </row>
        <row r="1998">
          <cell r="A1998" t="str">
            <v>9051614</v>
          </cell>
          <cell r="B1998" t="str">
            <v>조　춘　자</v>
          </cell>
          <cell r="C1998" t="str">
            <v>9051614조　춘　자</v>
          </cell>
          <cell r="D1998" t="str">
            <v>CI20</v>
          </cell>
          <cell r="E1998" t="str">
            <v>기내식지원팀</v>
          </cell>
          <cell r="F1998" t="str">
            <v>2520</v>
          </cell>
          <cell r="G1998" t="str">
            <v>2520</v>
          </cell>
          <cell r="H1998" t="str">
            <v>19901005</v>
          </cell>
          <cell r="I1998">
            <v>9860932</v>
          </cell>
        </row>
        <row r="1999">
          <cell r="A1999" t="str">
            <v>8900875</v>
          </cell>
          <cell r="B1999" t="str">
            <v>지　광　재</v>
          </cell>
          <cell r="C1999" t="str">
            <v>8900875지　광　재</v>
          </cell>
          <cell r="D1999" t="str">
            <v>CI20</v>
          </cell>
          <cell r="E1999" t="str">
            <v>기내식지원팀</v>
          </cell>
          <cell r="F1999" t="str">
            <v>2520</v>
          </cell>
          <cell r="G1999" t="str">
            <v>2520</v>
          </cell>
          <cell r="H1999" t="str">
            <v>19880824</v>
          </cell>
          <cell r="I1999">
            <v>17077598</v>
          </cell>
        </row>
        <row r="2000">
          <cell r="A2000" t="str">
            <v>9005253</v>
          </cell>
          <cell r="B2000" t="str">
            <v>지　상　진</v>
          </cell>
          <cell r="C2000" t="str">
            <v>9005253지　상　진</v>
          </cell>
          <cell r="D2000" t="str">
            <v>CI20</v>
          </cell>
          <cell r="E2000" t="str">
            <v>기내식지원팀</v>
          </cell>
          <cell r="F2000" t="str">
            <v>2520</v>
          </cell>
          <cell r="G2000" t="str">
            <v>2520</v>
          </cell>
          <cell r="H2000" t="str">
            <v>19901206</v>
          </cell>
          <cell r="I2000">
            <v>11362548</v>
          </cell>
        </row>
        <row r="2001">
          <cell r="A2001" t="str">
            <v>9000617</v>
          </cell>
          <cell r="B2001" t="str">
            <v>차　준　규</v>
          </cell>
          <cell r="C2001" t="str">
            <v>9000617차　준　규</v>
          </cell>
          <cell r="D2001" t="str">
            <v>CI20</v>
          </cell>
          <cell r="E2001" t="str">
            <v>기내식지원팀</v>
          </cell>
          <cell r="F2001" t="str">
            <v>2520</v>
          </cell>
          <cell r="G2001" t="e">
            <v>#N/A</v>
          </cell>
          <cell r="H2001" t="str">
            <v>19890718</v>
          </cell>
          <cell r="I2001">
            <v>13344606</v>
          </cell>
          <cell r="J2001" t="str">
            <v>6 월</v>
          </cell>
          <cell r="K2001">
            <v>14095596</v>
          </cell>
        </row>
        <row r="2002">
          <cell r="A2002" t="str">
            <v>9001001</v>
          </cell>
          <cell r="B2002" t="str">
            <v>채　수　민</v>
          </cell>
          <cell r="C2002" t="str">
            <v>9001001채　수　민</v>
          </cell>
          <cell r="D2002" t="str">
            <v>CI20</v>
          </cell>
          <cell r="E2002" t="str">
            <v>기내식지원팀</v>
          </cell>
          <cell r="F2002" t="str">
            <v>2520</v>
          </cell>
          <cell r="G2002" t="str">
            <v>2520</v>
          </cell>
          <cell r="H2002" t="str">
            <v>19991201</v>
          </cell>
          <cell r="I2002">
            <v>114567</v>
          </cell>
        </row>
        <row r="2003">
          <cell r="A2003" t="str">
            <v>8150308</v>
          </cell>
          <cell r="B2003" t="str">
            <v>채　옥　자</v>
          </cell>
          <cell r="C2003" t="str">
            <v>8150308채　옥　자</v>
          </cell>
          <cell r="D2003" t="str">
            <v>CI20</v>
          </cell>
          <cell r="E2003" t="str">
            <v>기내식지원팀</v>
          </cell>
          <cell r="F2003" t="str">
            <v>2520</v>
          </cell>
          <cell r="G2003" t="str">
            <v>2520</v>
          </cell>
          <cell r="H2003" t="str">
            <v>19811101</v>
          </cell>
          <cell r="I2003">
            <v>32852057</v>
          </cell>
        </row>
        <row r="2004">
          <cell r="A2004" t="str">
            <v>9502975</v>
          </cell>
          <cell r="B2004" t="str">
            <v>채　희　성</v>
          </cell>
          <cell r="C2004" t="str">
            <v>9502975채　희　성</v>
          </cell>
          <cell r="D2004" t="str">
            <v>CI20</v>
          </cell>
          <cell r="E2004" t="str">
            <v>기내식지원팀</v>
          </cell>
          <cell r="F2004" t="str">
            <v>2520</v>
          </cell>
          <cell r="G2004" t="str">
            <v>2520</v>
          </cell>
          <cell r="H2004" t="str">
            <v>19951023</v>
          </cell>
          <cell r="I2004">
            <v>4534614</v>
          </cell>
        </row>
        <row r="2005">
          <cell r="A2005" t="str">
            <v>9503368</v>
          </cell>
          <cell r="B2005" t="str">
            <v>천　삼　용</v>
          </cell>
          <cell r="C2005" t="str">
            <v>9503368천　삼　용</v>
          </cell>
          <cell r="D2005" t="str">
            <v>CI20</v>
          </cell>
          <cell r="E2005" t="str">
            <v>기내식지원팀</v>
          </cell>
          <cell r="F2005" t="str">
            <v>2520</v>
          </cell>
          <cell r="G2005" t="str">
            <v>2520</v>
          </cell>
          <cell r="H2005" t="str">
            <v>19951106</v>
          </cell>
          <cell r="I2005">
            <v>4489007</v>
          </cell>
        </row>
        <row r="2006">
          <cell r="A2006" t="str">
            <v>9301860</v>
          </cell>
          <cell r="B2006" t="str">
            <v>최　관　수</v>
          </cell>
          <cell r="C2006" t="str">
            <v>9301860최　관　수</v>
          </cell>
          <cell r="D2006" t="str">
            <v>CI20</v>
          </cell>
          <cell r="E2006" t="str">
            <v>기내식지원팀</v>
          </cell>
          <cell r="F2006" t="str">
            <v>2520</v>
          </cell>
          <cell r="G2006" t="str">
            <v>2520</v>
          </cell>
          <cell r="H2006" t="str">
            <v>19930401</v>
          </cell>
          <cell r="I2006">
            <v>8287684</v>
          </cell>
        </row>
        <row r="2007">
          <cell r="A2007" t="str">
            <v>8201035</v>
          </cell>
          <cell r="B2007" t="str">
            <v>최　관　우</v>
          </cell>
          <cell r="C2007" t="str">
            <v>8201035최　관　우</v>
          </cell>
          <cell r="D2007" t="str">
            <v>CI20</v>
          </cell>
          <cell r="E2007" t="str">
            <v>기내식지원팀</v>
          </cell>
          <cell r="F2007" t="str">
            <v>2520</v>
          </cell>
          <cell r="G2007" t="str">
            <v>2520</v>
          </cell>
          <cell r="H2007" t="str">
            <v>19821016</v>
          </cell>
          <cell r="I2007">
            <v>30459695</v>
          </cell>
        </row>
        <row r="2008">
          <cell r="A2008" t="str">
            <v>9405178</v>
          </cell>
          <cell r="B2008" t="str">
            <v>최　광　진</v>
          </cell>
          <cell r="C2008" t="str">
            <v>9405178최　광　진</v>
          </cell>
          <cell r="D2008" t="str">
            <v>CI20</v>
          </cell>
          <cell r="E2008" t="str">
            <v>기내식지원팀</v>
          </cell>
          <cell r="F2008" t="str">
            <v>2520</v>
          </cell>
          <cell r="G2008" t="e">
            <v>#N/A</v>
          </cell>
          <cell r="H2008" t="str">
            <v>19940805</v>
          </cell>
          <cell r="I2008">
            <v>5972313</v>
          </cell>
          <cell r="J2008" t="str">
            <v>3 월</v>
          </cell>
          <cell r="K2008">
            <v>6146722</v>
          </cell>
        </row>
        <row r="2009">
          <cell r="A2009" t="str">
            <v>9102442</v>
          </cell>
          <cell r="B2009" t="str">
            <v>최　동　섭</v>
          </cell>
          <cell r="C2009" t="str">
            <v>9102442최　동　섭</v>
          </cell>
          <cell r="D2009" t="str">
            <v>CI20</v>
          </cell>
          <cell r="E2009" t="str">
            <v>기내식지원팀</v>
          </cell>
          <cell r="F2009" t="str">
            <v>2520</v>
          </cell>
          <cell r="G2009" t="str">
            <v>2520</v>
          </cell>
          <cell r="H2009" t="str">
            <v>19910701</v>
          </cell>
          <cell r="I2009">
            <v>9866269</v>
          </cell>
        </row>
        <row r="2010">
          <cell r="A2010" t="str">
            <v>9000101</v>
          </cell>
          <cell r="B2010" t="str">
            <v>최　두　영</v>
          </cell>
          <cell r="C2010" t="str">
            <v>9000101최　두　영</v>
          </cell>
          <cell r="D2010" t="str">
            <v>CI20</v>
          </cell>
          <cell r="E2010" t="str">
            <v>기내식지원팀</v>
          </cell>
          <cell r="F2010" t="str">
            <v>2520</v>
          </cell>
          <cell r="G2010" t="str">
            <v>2520</v>
          </cell>
          <cell r="H2010" t="str">
            <v>19890503</v>
          </cell>
          <cell r="I2010">
            <v>15773514</v>
          </cell>
        </row>
        <row r="2011">
          <cell r="A2011" t="str">
            <v>8400982</v>
          </cell>
          <cell r="B2011" t="str">
            <v>최　만　호</v>
          </cell>
          <cell r="C2011" t="str">
            <v>8400982최　만　호</v>
          </cell>
          <cell r="D2011" t="str">
            <v>CI20</v>
          </cell>
          <cell r="E2011" t="str">
            <v>기내식지원팀</v>
          </cell>
          <cell r="F2011" t="str">
            <v>2520</v>
          </cell>
          <cell r="G2011" t="str">
            <v>2520</v>
          </cell>
          <cell r="H2011" t="str">
            <v>19840901</v>
          </cell>
          <cell r="I2011">
            <v>22935684</v>
          </cell>
        </row>
        <row r="2012">
          <cell r="A2012" t="str">
            <v>9305368</v>
          </cell>
          <cell r="B2012" t="str">
            <v>최　성　호</v>
          </cell>
          <cell r="C2012" t="str">
            <v>9305368최　성　호</v>
          </cell>
          <cell r="D2012" t="str">
            <v>CI20</v>
          </cell>
          <cell r="E2012" t="str">
            <v>기내식지원팀</v>
          </cell>
          <cell r="F2012" t="str">
            <v>2520</v>
          </cell>
          <cell r="G2012" t="str">
            <v>2520</v>
          </cell>
          <cell r="H2012" t="str">
            <v>19930816</v>
          </cell>
          <cell r="I2012">
            <v>7205143</v>
          </cell>
        </row>
        <row r="2013">
          <cell r="A2013" t="str">
            <v>8800356</v>
          </cell>
          <cell r="B2013" t="str">
            <v>최　이　열</v>
          </cell>
          <cell r="C2013" t="str">
            <v>8800356최　이　열</v>
          </cell>
          <cell r="D2013" t="str">
            <v>CI20</v>
          </cell>
          <cell r="E2013" t="str">
            <v>기내식지원팀</v>
          </cell>
          <cell r="F2013" t="str">
            <v>2520</v>
          </cell>
          <cell r="G2013" t="str">
            <v>2520</v>
          </cell>
          <cell r="H2013" t="str">
            <v>19880406</v>
          </cell>
          <cell r="I2013">
            <v>15601086</v>
          </cell>
        </row>
        <row r="2014">
          <cell r="A2014" t="str">
            <v>8450515</v>
          </cell>
          <cell r="B2014" t="str">
            <v>최　춘　자</v>
          </cell>
          <cell r="C2014" t="str">
            <v>8450515최　춘　자</v>
          </cell>
          <cell r="D2014" t="str">
            <v>CI20</v>
          </cell>
          <cell r="E2014" t="str">
            <v>기내식지원팀</v>
          </cell>
          <cell r="F2014" t="str">
            <v>2520</v>
          </cell>
          <cell r="G2014" t="str">
            <v>2520</v>
          </cell>
          <cell r="H2014" t="str">
            <v>19840510</v>
          </cell>
          <cell r="I2014">
            <v>20017083</v>
          </cell>
        </row>
        <row r="2015">
          <cell r="A2015" t="str">
            <v>9501568</v>
          </cell>
          <cell r="B2015" t="str">
            <v>최　한　수</v>
          </cell>
          <cell r="C2015" t="str">
            <v>9501568최　한　수</v>
          </cell>
          <cell r="D2015" t="str">
            <v>CI20</v>
          </cell>
          <cell r="E2015" t="str">
            <v>기내식지원팀</v>
          </cell>
          <cell r="F2015" t="str">
            <v>2520</v>
          </cell>
          <cell r="G2015" t="str">
            <v>2520</v>
          </cell>
          <cell r="H2015" t="str">
            <v>19950710</v>
          </cell>
          <cell r="I2015">
            <v>4886277</v>
          </cell>
        </row>
        <row r="2016">
          <cell r="A2016" t="str">
            <v>9308215</v>
          </cell>
          <cell r="B2016" t="str">
            <v>최　화　순</v>
          </cell>
          <cell r="C2016" t="str">
            <v>9308215최　화　순</v>
          </cell>
          <cell r="D2016" t="str">
            <v>CI20</v>
          </cell>
          <cell r="E2016" t="str">
            <v>기내식지원팀</v>
          </cell>
          <cell r="F2016" t="str">
            <v>2520</v>
          </cell>
          <cell r="G2016" t="str">
            <v>2520</v>
          </cell>
          <cell r="H2016" t="str">
            <v>19931216</v>
          </cell>
          <cell r="I2016">
            <v>6774090</v>
          </cell>
        </row>
        <row r="2017">
          <cell r="A2017" t="str">
            <v>7700848</v>
          </cell>
          <cell r="B2017" t="str">
            <v>표　영　수</v>
          </cell>
          <cell r="C2017" t="str">
            <v>7700848표　영　수</v>
          </cell>
          <cell r="D2017" t="str">
            <v>CI20</v>
          </cell>
          <cell r="E2017" t="str">
            <v>기내식지원팀</v>
          </cell>
          <cell r="F2017" t="str">
            <v>2520</v>
          </cell>
          <cell r="G2017" t="str">
            <v>2520</v>
          </cell>
          <cell r="H2017" t="str">
            <v>19771228</v>
          </cell>
          <cell r="I2017">
            <v>36941619</v>
          </cell>
        </row>
        <row r="2018">
          <cell r="A2018" t="str">
            <v>9100642</v>
          </cell>
          <cell r="B2018" t="str">
            <v>피　영　섭</v>
          </cell>
          <cell r="C2018" t="str">
            <v>9100642피　영　섭</v>
          </cell>
          <cell r="D2018" t="str">
            <v>CI20</v>
          </cell>
          <cell r="E2018" t="str">
            <v>기내식지원팀</v>
          </cell>
          <cell r="F2018" t="str">
            <v>2520</v>
          </cell>
          <cell r="G2018" t="str">
            <v>2520</v>
          </cell>
          <cell r="H2018" t="str">
            <v>19910211</v>
          </cell>
          <cell r="I2018">
            <v>12926294</v>
          </cell>
        </row>
        <row r="2019">
          <cell r="A2019" t="str">
            <v>8600185</v>
          </cell>
          <cell r="B2019" t="str">
            <v>하　광　수</v>
          </cell>
          <cell r="C2019" t="str">
            <v>8600185하　광　수</v>
          </cell>
          <cell r="D2019" t="str">
            <v>CI20</v>
          </cell>
          <cell r="E2019" t="str">
            <v>기내식지원팀</v>
          </cell>
          <cell r="F2019" t="str">
            <v>2520</v>
          </cell>
          <cell r="G2019" t="str">
            <v>2520</v>
          </cell>
          <cell r="H2019" t="str">
            <v>19870907</v>
          </cell>
          <cell r="I2019">
            <v>20514901</v>
          </cell>
          <cell r="J2019" t="str">
            <v>2 월</v>
          </cell>
          <cell r="K2019">
            <v>21268566</v>
          </cell>
        </row>
        <row r="2020">
          <cell r="A2020" t="str">
            <v>8902596</v>
          </cell>
          <cell r="B2020" t="str">
            <v>하　문　수</v>
          </cell>
          <cell r="C2020" t="str">
            <v>8902596하　문　수</v>
          </cell>
          <cell r="D2020" t="str">
            <v>CI20</v>
          </cell>
          <cell r="E2020" t="str">
            <v>기내식지원팀</v>
          </cell>
          <cell r="F2020" t="str">
            <v>2520</v>
          </cell>
          <cell r="G2020" t="str">
            <v>2520</v>
          </cell>
          <cell r="H2020" t="str">
            <v>19890922</v>
          </cell>
          <cell r="I2020">
            <v>13460195</v>
          </cell>
        </row>
        <row r="2021">
          <cell r="A2021" t="str">
            <v>9403615</v>
          </cell>
          <cell r="B2021" t="str">
            <v>한　상　덕</v>
          </cell>
          <cell r="C2021" t="str">
            <v>9403615한　상　덕</v>
          </cell>
          <cell r="D2021" t="str">
            <v>CI20</v>
          </cell>
          <cell r="E2021" t="str">
            <v>기내식지원팀</v>
          </cell>
          <cell r="F2021" t="str">
            <v>2520</v>
          </cell>
          <cell r="G2021" t="str">
            <v>2520</v>
          </cell>
          <cell r="H2021" t="str">
            <v>19940601</v>
          </cell>
          <cell r="I2021">
            <v>6212010</v>
          </cell>
        </row>
        <row r="2022">
          <cell r="A2022" t="str">
            <v>9208023</v>
          </cell>
          <cell r="B2022" t="str">
            <v>한　승　수</v>
          </cell>
          <cell r="C2022" t="str">
            <v>9208023한　승　수</v>
          </cell>
          <cell r="D2022" t="str">
            <v>CI20</v>
          </cell>
          <cell r="E2022" t="str">
            <v>기내식지원팀</v>
          </cell>
          <cell r="F2022" t="str">
            <v>2520</v>
          </cell>
          <cell r="G2022" t="str">
            <v>2520</v>
          </cell>
          <cell r="H2022" t="str">
            <v>19921216</v>
          </cell>
          <cell r="I2022">
            <v>8157326</v>
          </cell>
        </row>
        <row r="2023">
          <cell r="A2023" t="str">
            <v>8800301</v>
          </cell>
          <cell r="B2023" t="str">
            <v>한　원　균</v>
          </cell>
          <cell r="C2023" t="str">
            <v>8800301한　원　균</v>
          </cell>
          <cell r="D2023" t="str">
            <v>CI20</v>
          </cell>
          <cell r="E2023" t="str">
            <v>기내식지원팀</v>
          </cell>
          <cell r="F2023" t="str">
            <v>2520</v>
          </cell>
          <cell r="G2023" t="str">
            <v>2520</v>
          </cell>
          <cell r="H2023" t="str">
            <v>19880422</v>
          </cell>
          <cell r="I2023">
            <v>17599570</v>
          </cell>
        </row>
        <row r="2024">
          <cell r="A2024" t="str">
            <v>8201294</v>
          </cell>
          <cell r="B2024" t="str">
            <v>한　창　기</v>
          </cell>
          <cell r="C2024" t="str">
            <v>8201294한　창　기</v>
          </cell>
          <cell r="D2024" t="str">
            <v>CI20</v>
          </cell>
          <cell r="E2024" t="str">
            <v>기내식지원팀</v>
          </cell>
          <cell r="F2024" t="str">
            <v>2520</v>
          </cell>
          <cell r="G2024" t="str">
            <v>2520</v>
          </cell>
          <cell r="H2024" t="str">
            <v>19981211</v>
          </cell>
          <cell r="I2024">
            <v>1777229</v>
          </cell>
        </row>
        <row r="2025">
          <cell r="A2025" t="str">
            <v>9700896</v>
          </cell>
          <cell r="B2025" t="str">
            <v>한　충　식</v>
          </cell>
          <cell r="C2025" t="str">
            <v>9700896한　충　식</v>
          </cell>
          <cell r="D2025" t="str">
            <v>CI20</v>
          </cell>
          <cell r="E2025" t="str">
            <v>기내식지원팀</v>
          </cell>
          <cell r="F2025" t="str">
            <v>2520</v>
          </cell>
          <cell r="G2025" t="str">
            <v>2520</v>
          </cell>
          <cell r="H2025" t="str">
            <v>19970421</v>
          </cell>
          <cell r="I2025">
            <v>2798672</v>
          </cell>
        </row>
        <row r="2026">
          <cell r="A2026" t="str">
            <v>8700131</v>
          </cell>
          <cell r="B2026" t="str">
            <v>허　길　회</v>
          </cell>
          <cell r="C2026" t="str">
            <v>8700131허　길　회</v>
          </cell>
          <cell r="D2026" t="str">
            <v>CI20</v>
          </cell>
          <cell r="E2026" t="str">
            <v>기내식지원팀</v>
          </cell>
          <cell r="F2026" t="str">
            <v>2520</v>
          </cell>
          <cell r="G2026" t="str">
            <v>2520</v>
          </cell>
          <cell r="H2026" t="str">
            <v>19870205</v>
          </cell>
          <cell r="I2026">
            <v>20635939</v>
          </cell>
        </row>
        <row r="2027">
          <cell r="A2027" t="str">
            <v>9701842</v>
          </cell>
          <cell r="B2027" t="str">
            <v>허　인　범</v>
          </cell>
          <cell r="C2027" t="str">
            <v>9701842허　인　범</v>
          </cell>
          <cell r="D2027" t="str">
            <v>CI20</v>
          </cell>
          <cell r="E2027" t="str">
            <v>기내식지원팀</v>
          </cell>
          <cell r="F2027" t="str">
            <v>2520</v>
          </cell>
          <cell r="G2027" t="str">
            <v>2520</v>
          </cell>
          <cell r="H2027" t="str">
            <v>19970601</v>
          </cell>
          <cell r="I2027">
            <v>2715607</v>
          </cell>
        </row>
        <row r="2028">
          <cell r="A2028" t="str">
            <v>9500466</v>
          </cell>
          <cell r="B2028" t="str">
            <v>허　인　회</v>
          </cell>
          <cell r="C2028" t="str">
            <v>9500466허　인　회</v>
          </cell>
          <cell r="D2028" t="str">
            <v>CI20</v>
          </cell>
          <cell r="E2028" t="str">
            <v>기내식지원팀</v>
          </cell>
          <cell r="F2028" t="str">
            <v>2520</v>
          </cell>
          <cell r="G2028" t="str">
            <v>2520</v>
          </cell>
          <cell r="H2028" t="str">
            <v>19950105</v>
          </cell>
          <cell r="I2028">
            <v>5492350</v>
          </cell>
        </row>
        <row r="2029">
          <cell r="A2029" t="str">
            <v>9305730</v>
          </cell>
          <cell r="B2029" t="str">
            <v>홍　병　기</v>
          </cell>
          <cell r="C2029" t="str">
            <v>9305730홍　병　기</v>
          </cell>
          <cell r="D2029" t="str">
            <v>CI20</v>
          </cell>
          <cell r="E2029" t="str">
            <v>기내식지원팀</v>
          </cell>
          <cell r="F2029" t="str">
            <v>2520</v>
          </cell>
          <cell r="G2029" t="str">
            <v>2520</v>
          </cell>
          <cell r="H2029" t="str">
            <v>19930901</v>
          </cell>
          <cell r="I2029">
            <v>7156936</v>
          </cell>
        </row>
        <row r="2030">
          <cell r="A2030" t="str">
            <v>9702033</v>
          </cell>
          <cell r="B2030" t="str">
            <v>홍　정　희</v>
          </cell>
          <cell r="C2030" t="str">
            <v>9702033홍　정　희</v>
          </cell>
          <cell r="D2030" t="str">
            <v>CI20</v>
          </cell>
          <cell r="E2030" t="str">
            <v>기내식지원팀</v>
          </cell>
          <cell r="F2030" t="str">
            <v>2520</v>
          </cell>
          <cell r="G2030" t="str">
            <v>2520</v>
          </cell>
          <cell r="H2030" t="str">
            <v>19970725</v>
          </cell>
          <cell r="I2030">
            <v>2556764</v>
          </cell>
        </row>
        <row r="2031">
          <cell r="A2031" t="str">
            <v>8300158</v>
          </cell>
          <cell r="B2031" t="str">
            <v>홍　환　의</v>
          </cell>
          <cell r="C2031" t="str">
            <v>8300158홍　환　의</v>
          </cell>
          <cell r="D2031" t="str">
            <v>CI20</v>
          </cell>
          <cell r="E2031" t="str">
            <v>기내식지원팀</v>
          </cell>
          <cell r="F2031" t="str">
            <v>2520</v>
          </cell>
          <cell r="G2031" t="str">
            <v>2520</v>
          </cell>
          <cell r="H2031" t="str">
            <v>19981001</v>
          </cell>
          <cell r="I2031">
            <v>2167265</v>
          </cell>
        </row>
        <row r="2032">
          <cell r="A2032" t="str">
            <v>7100177</v>
          </cell>
          <cell r="B2032" t="str">
            <v>황　두　호</v>
          </cell>
          <cell r="C2032" t="str">
            <v>7100177황　두　호</v>
          </cell>
          <cell r="D2032" t="str">
            <v>CI20</v>
          </cell>
          <cell r="E2032" t="str">
            <v>기내식지원팀</v>
          </cell>
          <cell r="F2032" t="str">
            <v>2520</v>
          </cell>
          <cell r="G2032" t="e">
            <v>#N/A</v>
          </cell>
          <cell r="H2032" t="str">
            <v>19710401</v>
          </cell>
          <cell r="I2032">
            <v>56887825</v>
          </cell>
          <cell r="J2032" t="str">
            <v>3 월</v>
          </cell>
          <cell r="K2032">
            <v>56935701</v>
          </cell>
        </row>
        <row r="2033">
          <cell r="A2033" t="str">
            <v>9503370</v>
          </cell>
          <cell r="B2033" t="str">
            <v>황　선　만</v>
          </cell>
          <cell r="C2033" t="str">
            <v>9503370황　선　만</v>
          </cell>
          <cell r="D2033" t="str">
            <v>CI20</v>
          </cell>
          <cell r="E2033" t="str">
            <v>기내식지원팀</v>
          </cell>
          <cell r="F2033" t="str">
            <v>2520</v>
          </cell>
          <cell r="G2033" t="str">
            <v>2520</v>
          </cell>
          <cell r="H2033" t="str">
            <v>19951106</v>
          </cell>
          <cell r="I2033">
            <v>4528871</v>
          </cell>
        </row>
        <row r="2034">
          <cell r="A2034" t="str">
            <v>9005286</v>
          </cell>
          <cell r="B2034" t="str">
            <v>황　의　백</v>
          </cell>
          <cell r="C2034" t="str">
            <v>9005286황　의　백</v>
          </cell>
          <cell r="D2034" t="str">
            <v>CI20</v>
          </cell>
          <cell r="E2034" t="str">
            <v>기내식지원팀</v>
          </cell>
          <cell r="F2034" t="str">
            <v>2520</v>
          </cell>
          <cell r="G2034" t="str">
            <v>2520</v>
          </cell>
          <cell r="H2034" t="str">
            <v>19901206</v>
          </cell>
          <cell r="I2034">
            <v>10572011</v>
          </cell>
        </row>
        <row r="2035">
          <cell r="A2035" t="str">
            <v>9151650</v>
          </cell>
          <cell r="B2035" t="str">
            <v>황　의　선</v>
          </cell>
          <cell r="C2035" t="str">
            <v>9151650황　의　선</v>
          </cell>
          <cell r="D2035" t="str">
            <v>CI20</v>
          </cell>
          <cell r="E2035" t="str">
            <v>기내식지원팀</v>
          </cell>
          <cell r="F2035" t="str">
            <v>2520</v>
          </cell>
          <cell r="G2035" t="str">
            <v>2520</v>
          </cell>
          <cell r="H2035" t="str">
            <v>19910807</v>
          </cell>
          <cell r="I2035">
            <v>8953774</v>
          </cell>
        </row>
        <row r="2036">
          <cell r="A2036" t="str">
            <v>8100876</v>
          </cell>
          <cell r="B2036" t="str">
            <v>황　천　수</v>
          </cell>
          <cell r="C2036" t="str">
            <v>8100876황　천　수</v>
          </cell>
          <cell r="D2036" t="str">
            <v>CI20</v>
          </cell>
          <cell r="E2036" t="str">
            <v>기내식지원팀</v>
          </cell>
          <cell r="F2036" t="str">
            <v>2520</v>
          </cell>
          <cell r="G2036" t="str">
            <v>2520</v>
          </cell>
          <cell r="H2036" t="str">
            <v>19811201</v>
          </cell>
          <cell r="I2036">
            <v>31245118</v>
          </cell>
        </row>
        <row r="2037">
          <cell r="A2037" t="str">
            <v>9502176</v>
          </cell>
          <cell r="B2037" t="str">
            <v>황　현　석</v>
          </cell>
          <cell r="C2037" t="str">
            <v>9502176황　현　석</v>
          </cell>
          <cell r="D2037" t="str">
            <v>CI20</v>
          </cell>
          <cell r="E2037" t="str">
            <v>기내식지원팀</v>
          </cell>
          <cell r="F2037" t="str">
            <v>2520</v>
          </cell>
          <cell r="G2037" t="str">
            <v>2520</v>
          </cell>
          <cell r="H2037" t="str">
            <v>19950816</v>
          </cell>
          <cell r="I2037">
            <v>4762375</v>
          </cell>
        </row>
        <row r="2038">
          <cell r="A2038" t="str">
            <v>9612573</v>
          </cell>
          <cell r="B2038" t="str">
            <v>이　진　해</v>
          </cell>
          <cell r="C2038" t="str">
            <v>9612573이　진　해</v>
          </cell>
          <cell r="D2038" t="str">
            <v>CJ20</v>
          </cell>
          <cell r="E2038" t="str">
            <v>기내식지원팀</v>
          </cell>
          <cell r="F2038" t="str">
            <v>2520</v>
          </cell>
          <cell r="G2038" t="str">
            <v>2520</v>
          </cell>
          <cell r="H2038" t="str">
            <v>19961108</v>
          </cell>
          <cell r="I2038">
            <v>4178771</v>
          </cell>
        </row>
        <row r="2039">
          <cell r="A2039" t="str">
            <v>8603188</v>
          </cell>
          <cell r="B2039" t="str">
            <v>김　근　진</v>
          </cell>
          <cell r="C2039" t="str">
            <v>8603188김　근　진</v>
          </cell>
          <cell r="D2039" t="str">
            <v>객실정비</v>
          </cell>
          <cell r="E2039" t="str">
            <v>객실  정비</v>
          </cell>
          <cell r="F2039" t="str">
            <v>2544</v>
          </cell>
          <cell r="G2039" t="str">
            <v>2740</v>
          </cell>
          <cell r="H2039" t="str">
            <v>19860901</v>
          </cell>
          <cell r="I2039">
            <v>24447135</v>
          </cell>
        </row>
        <row r="2040">
          <cell r="A2040" t="str">
            <v>8603831</v>
          </cell>
          <cell r="B2040" t="str">
            <v>민　경　덕</v>
          </cell>
          <cell r="C2040" t="str">
            <v>8603831민　경　덕</v>
          </cell>
          <cell r="D2040" t="str">
            <v>객실정비</v>
          </cell>
          <cell r="E2040" t="str">
            <v>객실  정비</v>
          </cell>
          <cell r="F2040" t="str">
            <v>2544</v>
          </cell>
          <cell r="G2040" t="str">
            <v>2740</v>
          </cell>
          <cell r="H2040" t="str">
            <v>19860901</v>
          </cell>
          <cell r="I2040">
            <v>25313858</v>
          </cell>
        </row>
        <row r="2041">
          <cell r="A2041" t="str">
            <v>8603717</v>
          </cell>
          <cell r="B2041" t="str">
            <v>최　문　호</v>
          </cell>
          <cell r="C2041" t="str">
            <v>8603717최　문　호</v>
          </cell>
          <cell r="D2041" t="str">
            <v>객실정비</v>
          </cell>
          <cell r="E2041" t="str">
            <v>객실  정비</v>
          </cell>
          <cell r="F2041" t="str">
            <v>2544</v>
          </cell>
          <cell r="G2041" t="str">
            <v>2740</v>
          </cell>
          <cell r="H2041" t="str">
            <v>19860901</v>
          </cell>
          <cell r="I2041">
            <v>28458516</v>
          </cell>
        </row>
        <row r="2042">
          <cell r="A2042" t="str">
            <v>9250907</v>
          </cell>
          <cell r="B2042" t="str">
            <v>박　상　례</v>
          </cell>
          <cell r="C2042" t="str">
            <v>9250907박　상　례</v>
          </cell>
          <cell r="D2042" t="str">
            <v>CG44</v>
          </cell>
          <cell r="E2042" t="str">
            <v>기용품담당</v>
          </cell>
          <cell r="F2042" t="str">
            <v>2630</v>
          </cell>
          <cell r="G2042" t="str">
            <v>2630</v>
          </cell>
          <cell r="H2042" t="str">
            <v>19920416</v>
          </cell>
          <cell r="I2042">
            <v>8210121</v>
          </cell>
        </row>
        <row r="2043">
          <cell r="A2043" t="str">
            <v>9550181</v>
          </cell>
          <cell r="B2043" t="str">
            <v>강　희　분</v>
          </cell>
          <cell r="C2043" t="str">
            <v>9550181강　희　분</v>
          </cell>
          <cell r="D2043" t="str">
            <v>CH50</v>
          </cell>
          <cell r="E2043" t="str">
            <v>기용품담당</v>
          </cell>
          <cell r="F2043" t="str">
            <v>2630</v>
          </cell>
          <cell r="G2043" t="str">
            <v>2630</v>
          </cell>
          <cell r="H2043" t="str">
            <v>19950615</v>
          </cell>
          <cell r="I2043">
            <v>4090076</v>
          </cell>
        </row>
        <row r="2044">
          <cell r="A2044" t="str">
            <v>8050094</v>
          </cell>
          <cell r="B2044" t="str">
            <v>고　금　순</v>
          </cell>
          <cell r="C2044" t="str">
            <v>8050094고　금　순</v>
          </cell>
          <cell r="D2044" t="str">
            <v>CH50</v>
          </cell>
          <cell r="E2044" t="str">
            <v>기용품담당</v>
          </cell>
          <cell r="F2044" t="str">
            <v>2630</v>
          </cell>
          <cell r="G2044" t="str">
            <v>2630</v>
          </cell>
          <cell r="H2044" t="str">
            <v>19800201</v>
          </cell>
          <cell r="I2044">
            <v>27842822</v>
          </cell>
        </row>
        <row r="2045">
          <cell r="A2045" t="str">
            <v>9352247</v>
          </cell>
          <cell r="B2045" t="str">
            <v>곽　명　자</v>
          </cell>
          <cell r="C2045" t="str">
            <v>9352247곽　명　자</v>
          </cell>
          <cell r="D2045" t="str">
            <v>CH50</v>
          </cell>
          <cell r="E2045" t="str">
            <v>기용품담당</v>
          </cell>
          <cell r="F2045" t="str">
            <v>2630</v>
          </cell>
          <cell r="G2045" t="str">
            <v>2630</v>
          </cell>
          <cell r="H2045" t="str">
            <v>19931216</v>
          </cell>
          <cell r="I2045">
            <v>5626777</v>
          </cell>
        </row>
        <row r="2046">
          <cell r="A2046" t="str">
            <v>9451236</v>
          </cell>
          <cell r="B2046" t="str">
            <v>곽　철　순</v>
          </cell>
          <cell r="C2046" t="str">
            <v>9451236곽　철　순</v>
          </cell>
          <cell r="D2046" t="str">
            <v>CH50</v>
          </cell>
          <cell r="E2046" t="str">
            <v>기용품담당</v>
          </cell>
          <cell r="F2046" t="str">
            <v>2630</v>
          </cell>
          <cell r="G2046" t="str">
            <v>2630</v>
          </cell>
          <cell r="H2046" t="str">
            <v>19940502</v>
          </cell>
          <cell r="I2046">
            <v>5367028</v>
          </cell>
        </row>
        <row r="2047">
          <cell r="A2047" t="str">
            <v>8400420</v>
          </cell>
          <cell r="B2047" t="str">
            <v>권　혁　민</v>
          </cell>
          <cell r="C2047" t="str">
            <v>8400420권　혁　민</v>
          </cell>
          <cell r="D2047" t="str">
            <v>CH50</v>
          </cell>
          <cell r="E2047" t="str">
            <v>기용품담당</v>
          </cell>
          <cell r="F2047" t="str">
            <v>2630</v>
          </cell>
          <cell r="G2047" t="str">
            <v>2630</v>
          </cell>
          <cell r="H2047" t="str">
            <v>19840517</v>
          </cell>
          <cell r="I2047">
            <v>23506053</v>
          </cell>
        </row>
        <row r="2048">
          <cell r="A2048" t="str">
            <v>8451033</v>
          </cell>
          <cell r="B2048" t="str">
            <v>김　경　자</v>
          </cell>
          <cell r="C2048" t="str">
            <v>8451033김　경　자</v>
          </cell>
          <cell r="D2048" t="str">
            <v>CH50</v>
          </cell>
          <cell r="E2048" t="str">
            <v>기용품담당</v>
          </cell>
          <cell r="F2048" t="str">
            <v>2630</v>
          </cell>
          <cell r="G2048" t="str">
            <v>2630</v>
          </cell>
          <cell r="H2048" t="str">
            <v>19840915</v>
          </cell>
          <cell r="I2048">
            <v>18357499</v>
          </cell>
        </row>
        <row r="2049">
          <cell r="A2049" t="str">
            <v>8650721</v>
          </cell>
          <cell r="B2049" t="str">
            <v>김　근　숙</v>
          </cell>
          <cell r="C2049" t="str">
            <v>8650721김　근　숙</v>
          </cell>
          <cell r="D2049" t="str">
            <v>CH50</v>
          </cell>
          <cell r="E2049" t="str">
            <v>기용품담당</v>
          </cell>
          <cell r="F2049" t="str">
            <v>2630</v>
          </cell>
          <cell r="G2049" t="str">
            <v>2420</v>
          </cell>
          <cell r="H2049" t="str">
            <v>19860707</v>
          </cell>
          <cell r="I2049">
            <v>14478938</v>
          </cell>
        </row>
        <row r="2050">
          <cell r="A2050" t="str">
            <v>7600072</v>
          </cell>
          <cell r="B2050" t="str">
            <v>김　병　휴</v>
          </cell>
          <cell r="C2050" t="str">
            <v>7600072김　병　휴</v>
          </cell>
          <cell r="D2050" t="str">
            <v>CH50</v>
          </cell>
          <cell r="E2050" t="str">
            <v>기용품담당</v>
          </cell>
          <cell r="F2050" t="str">
            <v>2630</v>
          </cell>
          <cell r="G2050" t="str">
            <v>2630</v>
          </cell>
          <cell r="H2050" t="str">
            <v>19980101</v>
          </cell>
          <cell r="I2050">
            <v>4192666</v>
          </cell>
        </row>
        <row r="2051">
          <cell r="A2051" t="str">
            <v>9153088</v>
          </cell>
          <cell r="B2051" t="str">
            <v>김　숙　이</v>
          </cell>
          <cell r="C2051" t="str">
            <v>9153088김　숙　이</v>
          </cell>
          <cell r="D2051" t="str">
            <v>CH50</v>
          </cell>
          <cell r="E2051" t="str">
            <v>기용품담당</v>
          </cell>
          <cell r="F2051" t="str">
            <v>2630</v>
          </cell>
          <cell r="G2051" t="str">
            <v>2630</v>
          </cell>
          <cell r="H2051" t="str">
            <v>19911216</v>
          </cell>
          <cell r="I2051">
            <v>8698694</v>
          </cell>
        </row>
        <row r="2052">
          <cell r="A2052" t="str">
            <v>8650620</v>
          </cell>
          <cell r="B2052" t="str">
            <v>김　순　자</v>
          </cell>
          <cell r="C2052" t="str">
            <v>8650620김　순　자</v>
          </cell>
          <cell r="D2052" t="str">
            <v>CH50</v>
          </cell>
          <cell r="E2052" t="str">
            <v>기용품담당</v>
          </cell>
          <cell r="F2052" t="str">
            <v>2630</v>
          </cell>
          <cell r="G2052" t="str">
            <v>2630</v>
          </cell>
          <cell r="H2052" t="str">
            <v>19860623</v>
          </cell>
          <cell r="I2052">
            <v>14198918</v>
          </cell>
        </row>
        <row r="2053">
          <cell r="A2053" t="str">
            <v>9152447</v>
          </cell>
          <cell r="B2053" t="str">
            <v>김　애　숙</v>
          </cell>
          <cell r="C2053" t="str">
            <v>9152447김　애　숙</v>
          </cell>
          <cell r="D2053" t="str">
            <v>CH50</v>
          </cell>
          <cell r="E2053" t="str">
            <v>기용품담당</v>
          </cell>
          <cell r="F2053" t="str">
            <v>2630</v>
          </cell>
          <cell r="G2053" t="str">
            <v>2630</v>
          </cell>
          <cell r="H2053" t="str">
            <v>19911101</v>
          </cell>
          <cell r="I2053">
            <v>7862189</v>
          </cell>
        </row>
        <row r="2054">
          <cell r="A2054" t="str">
            <v>9151885</v>
          </cell>
          <cell r="B2054" t="str">
            <v>김　영　자</v>
          </cell>
          <cell r="C2054" t="str">
            <v>9151885김　영　자</v>
          </cell>
          <cell r="D2054" t="str">
            <v>CH50</v>
          </cell>
          <cell r="E2054" t="str">
            <v>기용품담당</v>
          </cell>
          <cell r="F2054" t="str">
            <v>2630</v>
          </cell>
          <cell r="G2054" t="str">
            <v>2630</v>
          </cell>
          <cell r="H2054" t="str">
            <v>19910910</v>
          </cell>
          <cell r="I2054">
            <v>8065059</v>
          </cell>
        </row>
        <row r="2055">
          <cell r="A2055" t="str">
            <v>8450493</v>
          </cell>
          <cell r="B2055" t="str">
            <v>김　옥　자</v>
          </cell>
          <cell r="C2055" t="str">
            <v>8450493김　옥　자</v>
          </cell>
          <cell r="D2055" t="str">
            <v>CH50</v>
          </cell>
          <cell r="E2055" t="str">
            <v>기용품담당</v>
          </cell>
          <cell r="F2055" t="str">
            <v>2630</v>
          </cell>
          <cell r="G2055" t="e">
            <v>#N/A</v>
          </cell>
          <cell r="H2055" t="str">
            <v>19840510</v>
          </cell>
          <cell r="I2055">
            <v>18902270</v>
          </cell>
        </row>
        <row r="2056">
          <cell r="A2056" t="str">
            <v>9650147</v>
          </cell>
          <cell r="B2056" t="str">
            <v>김　정　여</v>
          </cell>
          <cell r="C2056" t="str">
            <v>9650147김　정　여</v>
          </cell>
          <cell r="D2056" t="str">
            <v>CH50</v>
          </cell>
          <cell r="E2056" t="str">
            <v>기용품담당</v>
          </cell>
          <cell r="F2056" t="str">
            <v>2630</v>
          </cell>
          <cell r="G2056" t="str">
            <v>2630</v>
          </cell>
          <cell r="H2056" t="str">
            <v>19960501</v>
          </cell>
          <cell r="I2056">
            <v>3214440</v>
          </cell>
        </row>
        <row r="2057">
          <cell r="A2057" t="str">
            <v>8350053</v>
          </cell>
          <cell r="B2057" t="str">
            <v>김　종　분</v>
          </cell>
          <cell r="C2057" t="str">
            <v>8350053김　종　분</v>
          </cell>
          <cell r="D2057" t="str">
            <v>CH50</v>
          </cell>
          <cell r="E2057" t="str">
            <v>기용품담당</v>
          </cell>
          <cell r="F2057" t="str">
            <v>2630</v>
          </cell>
          <cell r="G2057" t="str">
            <v>2630</v>
          </cell>
          <cell r="H2057" t="str">
            <v>19830201</v>
          </cell>
          <cell r="I2057">
            <v>20568640</v>
          </cell>
        </row>
        <row r="2058">
          <cell r="A2058" t="str">
            <v>8500140</v>
          </cell>
          <cell r="B2058" t="str">
            <v>김　진　복</v>
          </cell>
          <cell r="C2058" t="str">
            <v>8500140김　진　복</v>
          </cell>
          <cell r="D2058" t="str">
            <v>CH50</v>
          </cell>
          <cell r="E2058" t="str">
            <v>기용품담당</v>
          </cell>
          <cell r="F2058" t="str">
            <v>2630</v>
          </cell>
          <cell r="G2058" t="str">
            <v>2630</v>
          </cell>
          <cell r="H2058" t="str">
            <v>19851001</v>
          </cell>
          <cell r="I2058">
            <v>22904146</v>
          </cell>
        </row>
        <row r="2059">
          <cell r="A2059" t="str">
            <v>8550450</v>
          </cell>
          <cell r="B2059" t="str">
            <v>김　호　순</v>
          </cell>
          <cell r="C2059" t="str">
            <v>8550450김　호　순</v>
          </cell>
          <cell r="D2059" t="str">
            <v>CH50</v>
          </cell>
          <cell r="E2059" t="str">
            <v>기용품담당</v>
          </cell>
          <cell r="F2059" t="str">
            <v>2630</v>
          </cell>
          <cell r="G2059" t="str">
            <v>2630</v>
          </cell>
          <cell r="H2059" t="str">
            <v>19850416</v>
          </cell>
          <cell r="I2059">
            <v>17657202</v>
          </cell>
        </row>
        <row r="2060">
          <cell r="A2060" t="str">
            <v>9251875</v>
          </cell>
          <cell r="B2060" t="str">
            <v>나　광　희</v>
          </cell>
          <cell r="C2060" t="str">
            <v>9251875나　광　희</v>
          </cell>
          <cell r="D2060" t="str">
            <v>CH50</v>
          </cell>
          <cell r="E2060" t="str">
            <v>기용품담당</v>
          </cell>
          <cell r="F2060" t="str">
            <v>2630</v>
          </cell>
          <cell r="G2060" t="str">
            <v>2630</v>
          </cell>
          <cell r="H2060" t="str">
            <v>19920810</v>
          </cell>
          <cell r="I2060">
            <v>7059898</v>
          </cell>
        </row>
        <row r="2061">
          <cell r="A2061" t="str">
            <v>8250412</v>
          </cell>
          <cell r="B2061" t="str">
            <v>노　귀　옥</v>
          </cell>
          <cell r="C2061" t="str">
            <v>8250412노　귀　옥</v>
          </cell>
          <cell r="D2061" t="str">
            <v>CH50</v>
          </cell>
          <cell r="E2061" t="str">
            <v>기용품담당</v>
          </cell>
          <cell r="F2061" t="str">
            <v>2630</v>
          </cell>
          <cell r="G2061" t="str">
            <v>2630</v>
          </cell>
          <cell r="H2061" t="str">
            <v>19821216</v>
          </cell>
          <cell r="I2061">
            <v>20725260</v>
          </cell>
        </row>
        <row r="2062">
          <cell r="A2062" t="str">
            <v>9450911</v>
          </cell>
          <cell r="B2062" t="str">
            <v>문　정　자</v>
          </cell>
          <cell r="C2062" t="str">
            <v>9450911문　정　자</v>
          </cell>
          <cell r="D2062" t="str">
            <v>CH50</v>
          </cell>
          <cell r="E2062" t="str">
            <v>기용품담당</v>
          </cell>
          <cell r="F2062" t="str">
            <v>2630</v>
          </cell>
          <cell r="G2062" t="str">
            <v>2630</v>
          </cell>
          <cell r="H2062" t="str">
            <v>19940502</v>
          </cell>
          <cell r="I2062">
            <v>5142655</v>
          </cell>
        </row>
        <row r="2063">
          <cell r="A2063" t="str">
            <v>9250121</v>
          </cell>
          <cell r="B2063" t="str">
            <v>방　복　례</v>
          </cell>
          <cell r="C2063" t="str">
            <v>9250121방　복　례</v>
          </cell>
          <cell r="D2063" t="str">
            <v>CH50</v>
          </cell>
          <cell r="E2063" t="str">
            <v>기용품담당</v>
          </cell>
          <cell r="F2063" t="str">
            <v>2630</v>
          </cell>
          <cell r="G2063" t="str">
            <v>2630</v>
          </cell>
          <cell r="H2063" t="str">
            <v>19920210</v>
          </cell>
          <cell r="I2063">
            <v>8282947</v>
          </cell>
        </row>
        <row r="2064">
          <cell r="A2064" t="str">
            <v>9250424</v>
          </cell>
          <cell r="B2064" t="str">
            <v>방　영　애</v>
          </cell>
          <cell r="C2064" t="str">
            <v>9250424방　영　애</v>
          </cell>
          <cell r="D2064" t="str">
            <v>CH50</v>
          </cell>
          <cell r="E2064" t="str">
            <v>기용품담당</v>
          </cell>
          <cell r="F2064" t="str">
            <v>2630</v>
          </cell>
          <cell r="G2064" t="str">
            <v>2630</v>
          </cell>
          <cell r="H2064" t="str">
            <v>19920316</v>
          </cell>
          <cell r="I2064">
            <v>7320915</v>
          </cell>
        </row>
        <row r="2065">
          <cell r="A2065" t="str">
            <v>8150411</v>
          </cell>
          <cell r="B2065" t="str">
            <v>부　민　자</v>
          </cell>
          <cell r="C2065" t="str">
            <v>8150411부　민　자</v>
          </cell>
          <cell r="D2065" t="str">
            <v>CH50</v>
          </cell>
          <cell r="E2065" t="str">
            <v>기용품담당</v>
          </cell>
          <cell r="F2065" t="str">
            <v>2630</v>
          </cell>
          <cell r="G2065" t="str">
            <v>2420</v>
          </cell>
          <cell r="H2065" t="str">
            <v>19811101</v>
          </cell>
          <cell r="I2065">
            <v>23385599</v>
          </cell>
        </row>
        <row r="2066">
          <cell r="A2066" t="str">
            <v>8250232</v>
          </cell>
          <cell r="B2066" t="str">
            <v>신　군　자</v>
          </cell>
          <cell r="C2066" t="str">
            <v>8250232신　군　자</v>
          </cell>
          <cell r="D2066" t="str">
            <v>CH50</v>
          </cell>
          <cell r="E2066" t="str">
            <v>기용품담당</v>
          </cell>
          <cell r="F2066" t="str">
            <v>2630</v>
          </cell>
          <cell r="G2066" t="e">
            <v>#N/A</v>
          </cell>
          <cell r="H2066" t="str">
            <v>19820901</v>
          </cell>
          <cell r="I2066">
            <v>24234650</v>
          </cell>
          <cell r="J2066" t="str">
            <v>12 월</v>
          </cell>
          <cell r="K2066">
            <v>34913594</v>
          </cell>
        </row>
        <row r="2067">
          <cell r="A2067" t="str">
            <v>9152651</v>
          </cell>
          <cell r="B2067" t="str">
            <v>신　옥　희</v>
          </cell>
          <cell r="C2067" t="str">
            <v>9152651신　옥　희</v>
          </cell>
          <cell r="D2067" t="str">
            <v>CH50</v>
          </cell>
          <cell r="E2067" t="str">
            <v>기용품담당</v>
          </cell>
          <cell r="F2067" t="str">
            <v>2630</v>
          </cell>
          <cell r="G2067" t="str">
            <v>2630</v>
          </cell>
          <cell r="H2067" t="str">
            <v>19911105</v>
          </cell>
          <cell r="I2067">
            <v>7851600</v>
          </cell>
        </row>
        <row r="2068">
          <cell r="A2068" t="str">
            <v>9250648</v>
          </cell>
          <cell r="B2068" t="str">
            <v>심　애　경</v>
          </cell>
          <cell r="C2068" t="str">
            <v>9250648심　애　경</v>
          </cell>
          <cell r="D2068" t="str">
            <v>CH50</v>
          </cell>
          <cell r="E2068" t="str">
            <v>기용품담당</v>
          </cell>
          <cell r="F2068" t="str">
            <v>2630</v>
          </cell>
          <cell r="G2068" t="str">
            <v>2630</v>
          </cell>
          <cell r="H2068" t="str">
            <v>19920401</v>
          </cell>
          <cell r="I2068">
            <v>7463934</v>
          </cell>
        </row>
        <row r="2069">
          <cell r="A2069" t="str">
            <v>9450933</v>
          </cell>
          <cell r="B2069" t="str">
            <v>오　숙　희</v>
          </cell>
          <cell r="C2069" t="str">
            <v>9450933오　숙　희</v>
          </cell>
          <cell r="D2069" t="str">
            <v>CH50</v>
          </cell>
          <cell r="E2069" t="str">
            <v>기용품담당</v>
          </cell>
          <cell r="F2069" t="str">
            <v>2630</v>
          </cell>
          <cell r="G2069" t="str">
            <v>2630</v>
          </cell>
          <cell r="H2069" t="str">
            <v>19940502</v>
          </cell>
          <cell r="I2069">
            <v>5187526</v>
          </cell>
        </row>
        <row r="2070">
          <cell r="A2070" t="str">
            <v>8550630</v>
          </cell>
          <cell r="B2070" t="str">
            <v>오　정　예</v>
          </cell>
          <cell r="C2070" t="str">
            <v>8550630오　정　예</v>
          </cell>
          <cell r="D2070" t="str">
            <v>CH50</v>
          </cell>
          <cell r="E2070" t="str">
            <v>기용품담당</v>
          </cell>
          <cell r="F2070" t="str">
            <v>2630</v>
          </cell>
          <cell r="G2070" t="str">
            <v>2630</v>
          </cell>
          <cell r="H2070" t="str">
            <v>19850412</v>
          </cell>
          <cell r="I2070">
            <v>16038467</v>
          </cell>
        </row>
        <row r="2071">
          <cell r="A2071" t="str">
            <v>8550538</v>
          </cell>
          <cell r="B2071" t="str">
            <v>유　정　자</v>
          </cell>
          <cell r="C2071" t="str">
            <v>8550538유　정　자</v>
          </cell>
          <cell r="D2071" t="str">
            <v>CH50</v>
          </cell>
          <cell r="E2071" t="str">
            <v>기용품담당</v>
          </cell>
          <cell r="F2071" t="str">
            <v>2630</v>
          </cell>
          <cell r="G2071" t="str">
            <v>2630</v>
          </cell>
          <cell r="H2071" t="str">
            <v>19850501</v>
          </cell>
          <cell r="I2071">
            <v>17375586</v>
          </cell>
        </row>
        <row r="2072">
          <cell r="A2072" t="str">
            <v>8650552</v>
          </cell>
          <cell r="B2072" t="str">
            <v>윤　진　순</v>
          </cell>
          <cell r="C2072" t="str">
            <v>8650552윤　진　순</v>
          </cell>
          <cell r="D2072" t="str">
            <v>CH50</v>
          </cell>
          <cell r="E2072" t="str">
            <v>기용품담당</v>
          </cell>
          <cell r="F2072" t="str">
            <v>2630</v>
          </cell>
          <cell r="G2072" t="str">
            <v>2630</v>
          </cell>
          <cell r="H2072" t="str">
            <v>19860616</v>
          </cell>
          <cell r="I2072">
            <v>15827566</v>
          </cell>
        </row>
        <row r="2073">
          <cell r="A2073" t="str">
            <v>7800175</v>
          </cell>
          <cell r="B2073" t="str">
            <v>이　상　환</v>
          </cell>
          <cell r="C2073" t="str">
            <v>7800175이　상　환</v>
          </cell>
          <cell r="D2073" t="str">
            <v>CH50</v>
          </cell>
          <cell r="E2073" t="str">
            <v>기용품담당</v>
          </cell>
          <cell r="F2073" t="str">
            <v>2630</v>
          </cell>
          <cell r="G2073" t="str">
            <v>2630</v>
          </cell>
          <cell r="H2073" t="str">
            <v>19991201</v>
          </cell>
          <cell r="I2073">
            <v>140474</v>
          </cell>
        </row>
        <row r="2074">
          <cell r="A2074" t="str">
            <v>9251807</v>
          </cell>
          <cell r="B2074" t="str">
            <v>이　수　현</v>
          </cell>
          <cell r="C2074" t="str">
            <v>9251807이　수　현</v>
          </cell>
          <cell r="D2074" t="str">
            <v>CH50</v>
          </cell>
          <cell r="E2074" t="str">
            <v>기용품담당</v>
          </cell>
          <cell r="F2074" t="str">
            <v>2630</v>
          </cell>
          <cell r="G2074" t="str">
            <v>2630</v>
          </cell>
          <cell r="H2074" t="str">
            <v>19920810</v>
          </cell>
          <cell r="I2074">
            <v>9682476</v>
          </cell>
        </row>
        <row r="2075">
          <cell r="A2075" t="str">
            <v>9051434</v>
          </cell>
          <cell r="B2075" t="str">
            <v>이　옥　랑</v>
          </cell>
          <cell r="C2075" t="str">
            <v>9051434이　옥　랑</v>
          </cell>
          <cell r="D2075" t="str">
            <v>CH50</v>
          </cell>
          <cell r="E2075" t="str">
            <v>기용품담당</v>
          </cell>
          <cell r="F2075" t="str">
            <v>2630</v>
          </cell>
          <cell r="G2075" t="str">
            <v>2630</v>
          </cell>
          <cell r="H2075" t="str">
            <v>19900901</v>
          </cell>
          <cell r="I2075">
            <v>11054801</v>
          </cell>
        </row>
        <row r="2076">
          <cell r="A2076" t="str">
            <v>8150051</v>
          </cell>
          <cell r="B2076" t="str">
            <v>이　인　열</v>
          </cell>
          <cell r="C2076" t="str">
            <v>8150051이　인　열</v>
          </cell>
          <cell r="D2076" t="str">
            <v>CH50</v>
          </cell>
          <cell r="E2076" t="str">
            <v>기용품담당</v>
          </cell>
          <cell r="F2076" t="str">
            <v>2630</v>
          </cell>
          <cell r="G2076" t="str">
            <v>2420</v>
          </cell>
          <cell r="H2076" t="str">
            <v>19971001</v>
          </cell>
          <cell r="I2076">
            <v>2962798</v>
          </cell>
        </row>
        <row r="2077">
          <cell r="A2077" t="str">
            <v>8450177</v>
          </cell>
          <cell r="B2077" t="str">
            <v>이　점　숙</v>
          </cell>
          <cell r="C2077" t="str">
            <v>8450177이　점　숙</v>
          </cell>
          <cell r="D2077" t="str">
            <v>CH50</v>
          </cell>
          <cell r="E2077" t="str">
            <v>기용품담당</v>
          </cell>
          <cell r="F2077" t="str">
            <v>2630</v>
          </cell>
          <cell r="G2077" t="str">
            <v>2630</v>
          </cell>
          <cell r="H2077" t="str">
            <v>19840401</v>
          </cell>
          <cell r="I2077">
            <v>19031414</v>
          </cell>
        </row>
        <row r="2078">
          <cell r="A2078" t="str">
            <v>9550844</v>
          </cell>
          <cell r="B2078" t="str">
            <v>이　정　화</v>
          </cell>
          <cell r="C2078" t="str">
            <v>9550844이　정　화</v>
          </cell>
          <cell r="D2078" t="str">
            <v>CH50</v>
          </cell>
          <cell r="E2078" t="str">
            <v>기용품담당</v>
          </cell>
          <cell r="F2078" t="str">
            <v>2630</v>
          </cell>
          <cell r="G2078" t="str">
            <v>2630</v>
          </cell>
          <cell r="H2078" t="str">
            <v>19951207</v>
          </cell>
          <cell r="I2078">
            <v>3626636</v>
          </cell>
        </row>
        <row r="2079">
          <cell r="A2079" t="str">
            <v>9750014</v>
          </cell>
          <cell r="B2079" t="str">
            <v>이　춘　병</v>
          </cell>
          <cell r="C2079" t="str">
            <v>9750014이　춘　병</v>
          </cell>
          <cell r="D2079" t="str">
            <v>CH50</v>
          </cell>
          <cell r="E2079" t="str">
            <v>기용품담당</v>
          </cell>
          <cell r="F2079" t="str">
            <v>2630</v>
          </cell>
          <cell r="G2079" t="str">
            <v>2630</v>
          </cell>
          <cell r="H2079" t="str">
            <v>19970201</v>
          </cell>
          <cell r="I2079">
            <v>2529246</v>
          </cell>
        </row>
        <row r="2080">
          <cell r="A2080" t="str">
            <v>8651722</v>
          </cell>
          <cell r="B2080" t="str">
            <v>이　형　숙</v>
          </cell>
          <cell r="C2080" t="str">
            <v>8651722이　형　숙</v>
          </cell>
          <cell r="D2080" t="str">
            <v>CH50</v>
          </cell>
          <cell r="E2080" t="str">
            <v>기용품담당</v>
          </cell>
          <cell r="F2080" t="str">
            <v>2630</v>
          </cell>
          <cell r="G2080" t="str">
            <v>2630</v>
          </cell>
          <cell r="H2080" t="str">
            <v>19861119</v>
          </cell>
          <cell r="I2080">
            <v>15328149</v>
          </cell>
        </row>
        <row r="2081">
          <cell r="A2081" t="str">
            <v>9307372</v>
          </cell>
          <cell r="B2081" t="str">
            <v>이　효　행</v>
          </cell>
          <cell r="C2081" t="str">
            <v>9307372이　효　행</v>
          </cell>
          <cell r="D2081" t="str">
            <v>CH50</v>
          </cell>
          <cell r="E2081" t="str">
            <v>기용품담당</v>
          </cell>
          <cell r="F2081" t="str">
            <v>2630</v>
          </cell>
          <cell r="G2081" t="e">
            <v>#N/A</v>
          </cell>
          <cell r="H2081" t="str">
            <v>19931116</v>
          </cell>
          <cell r="I2081">
            <v>7895390</v>
          </cell>
          <cell r="J2081" t="str">
            <v>5 월</v>
          </cell>
          <cell r="K2081">
            <v>8393885</v>
          </cell>
        </row>
        <row r="2082">
          <cell r="A2082" t="str">
            <v>8150668</v>
          </cell>
          <cell r="B2082" t="str">
            <v>이　훈　쇠</v>
          </cell>
          <cell r="C2082" t="str">
            <v>8150668이　훈　쇠</v>
          </cell>
          <cell r="D2082" t="str">
            <v>CH50</v>
          </cell>
          <cell r="E2082" t="str">
            <v>기용품담당</v>
          </cell>
          <cell r="F2082" t="str">
            <v>2630</v>
          </cell>
          <cell r="G2082" t="str">
            <v>2630</v>
          </cell>
          <cell r="H2082" t="str">
            <v>19811101</v>
          </cell>
          <cell r="I2082">
            <v>20652958</v>
          </cell>
        </row>
        <row r="2083">
          <cell r="A2083" t="str">
            <v>9250931</v>
          </cell>
          <cell r="B2083" t="str">
            <v>장　미　자</v>
          </cell>
          <cell r="C2083" t="str">
            <v>9250931장　미　자</v>
          </cell>
          <cell r="D2083" t="str">
            <v>CH50</v>
          </cell>
          <cell r="E2083" t="str">
            <v>기용품담당</v>
          </cell>
          <cell r="F2083" t="str">
            <v>2630</v>
          </cell>
          <cell r="G2083" t="str">
            <v>2630</v>
          </cell>
          <cell r="H2083" t="str">
            <v>19920416</v>
          </cell>
          <cell r="I2083">
            <v>7363318</v>
          </cell>
        </row>
        <row r="2084">
          <cell r="A2084" t="str">
            <v>7500082</v>
          </cell>
          <cell r="B2084" t="str">
            <v>장　석　태</v>
          </cell>
          <cell r="C2084" t="str">
            <v>7500082장　석　태</v>
          </cell>
          <cell r="D2084" t="str">
            <v>CH50</v>
          </cell>
          <cell r="E2084" t="str">
            <v>기용품담당</v>
          </cell>
          <cell r="F2084" t="str">
            <v>2630</v>
          </cell>
          <cell r="G2084" t="str">
            <v>2320</v>
          </cell>
          <cell r="H2084" t="str">
            <v>19981211</v>
          </cell>
          <cell r="I2084">
            <v>2658283</v>
          </cell>
        </row>
        <row r="2085">
          <cell r="A2085" t="str">
            <v>9152381</v>
          </cell>
          <cell r="B2085" t="str">
            <v>전　미　애</v>
          </cell>
          <cell r="C2085" t="str">
            <v>9152381전　미　애</v>
          </cell>
          <cell r="D2085" t="str">
            <v>CH50</v>
          </cell>
          <cell r="E2085" t="str">
            <v>기용품담당</v>
          </cell>
          <cell r="F2085" t="str">
            <v>2630</v>
          </cell>
          <cell r="G2085" t="str">
            <v>2630</v>
          </cell>
          <cell r="H2085" t="str">
            <v>19911016</v>
          </cell>
          <cell r="I2085">
            <v>8684389</v>
          </cell>
        </row>
        <row r="2086">
          <cell r="A2086" t="str">
            <v>9252707</v>
          </cell>
          <cell r="B2086" t="str">
            <v>전　산　옥</v>
          </cell>
          <cell r="C2086" t="str">
            <v>9252707전　산　옥</v>
          </cell>
          <cell r="D2086" t="str">
            <v>CH50</v>
          </cell>
          <cell r="E2086" t="str">
            <v>기용품담당</v>
          </cell>
          <cell r="F2086" t="str">
            <v>2630</v>
          </cell>
          <cell r="G2086" t="str">
            <v>2420</v>
          </cell>
          <cell r="H2086" t="str">
            <v>19921216</v>
          </cell>
          <cell r="I2086">
            <v>7394229</v>
          </cell>
        </row>
        <row r="2087">
          <cell r="A2087" t="str">
            <v>7900378</v>
          </cell>
          <cell r="B2087" t="str">
            <v>정　기　호</v>
          </cell>
          <cell r="C2087" t="str">
            <v>7900378정　기　호</v>
          </cell>
          <cell r="D2087" t="str">
            <v>CH50</v>
          </cell>
          <cell r="E2087" t="str">
            <v>기용품담당</v>
          </cell>
          <cell r="F2087" t="str">
            <v>2630</v>
          </cell>
          <cell r="G2087" t="str">
            <v>2630</v>
          </cell>
          <cell r="H2087" t="str">
            <v>19981001</v>
          </cell>
          <cell r="I2087">
            <v>2230125</v>
          </cell>
        </row>
        <row r="2088">
          <cell r="A2088" t="str">
            <v>9451438</v>
          </cell>
          <cell r="B2088" t="str">
            <v>정　미　라</v>
          </cell>
          <cell r="C2088" t="str">
            <v>9451438정　미　라</v>
          </cell>
          <cell r="D2088" t="str">
            <v>CH50</v>
          </cell>
          <cell r="E2088" t="str">
            <v>기용품담당</v>
          </cell>
          <cell r="F2088" t="str">
            <v>2630</v>
          </cell>
          <cell r="G2088" t="str">
            <v>2630</v>
          </cell>
          <cell r="H2088" t="str">
            <v>19940701</v>
          </cell>
          <cell r="I2088">
            <v>5037165</v>
          </cell>
        </row>
        <row r="2089">
          <cell r="A2089" t="str">
            <v>9350504</v>
          </cell>
          <cell r="B2089" t="str">
            <v>정　쌍　덕</v>
          </cell>
          <cell r="C2089" t="str">
            <v>9350504정　쌍　덕</v>
          </cell>
          <cell r="D2089" t="str">
            <v>CH50</v>
          </cell>
          <cell r="E2089" t="str">
            <v>기용품담당</v>
          </cell>
          <cell r="F2089" t="str">
            <v>2630</v>
          </cell>
          <cell r="G2089" t="str">
            <v>2630</v>
          </cell>
          <cell r="H2089" t="str">
            <v>19930501</v>
          </cell>
          <cell r="I2089">
            <v>6263696</v>
          </cell>
        </row>
        <row r="2090">
          <cell r="A2090" t="str">
            <v>8250052</v>
          </cell>
          <cell r="B2090" t="str">
            <v>조　봉　순</v>
          </cell>
          <cell r="C2090" t="str">
            <v>8250052조　봉　순</v>
          </cell>
          <cell r="D2090" t="str">
            <v>CH50</v>
          </cell>
          <cell r="E2090" t="str">
            <v>기용품담당</v>
          </cell>
          <cell r="F2090" t="str">
            <v>2630</v>
          </cell>
          <cell r="G2090" t="e">
            <v>#N/A</v>
          </cell>
          <cell r="H2090" t="str">
            <v>19820201</v>
          </cell>
          <cell r="I2090">
            <v>21926455</v>
          </cell>
          <cell r="J2090" t="str">
            <v>12 월</v>
          </cell>
          <cell r="K2090">
            <v>27692585</v>
          </cell>
        </row>
        <row r="2091">
          <cell r="A2091" t="str">
            <v>8150545</v>
          </cell>
          <cell r="B2091" t="str">
            <v>조　순　덕</v>
          </cell>
          <cell r="C2091" t="str">
            <v>8150545조　순　덕</v>
          </cell>
          <cell r="D2091" t="str">
            <v>CH50</v>
          </cell>
          <cell r="E2091" t="str">
            <v>기용품담당</v>
          </cell>
          <cell r="F2091" t="str">
            <v>2630</v>
          </cell>
          <cell r="G2091" t="str">
            <v>2420</v>
          </cell>
          <cell r="H2091" t="str">
            <v>19811101</v>
          </cell>
          <cell r="I2091">
            <v>22235004</v>
          </cell>
        </row>
        <row r="2092">
          <cell r="A2092" t="str">
            <v>9251932</v>
          </cell>
          <cell r="B2092" t="str">
            <v>조　애　순</v>
          </cell>
          <cell r="C2092" t="str">
            <v>9251932조　애　순</v>
          </cell>
          <cell r="D2092" t="str">
            <v>CH50</v>
          </cell>
          <cell r="E2092" t="str">
            <v>기용품담당</v>
          </cell>
          <cell r="F2092" t="str">
            <v>2630</v>
          </cell>
          <cell r="G2092" t="str">
            <v>2630</v>
          </cell>
          <cell r="H2092" t="str">
            <v>19920810</v>
          </cell>
          <cell r="I2092">
            <v>7001356</v>
          </cell>
        </row>
        <row r="2093">
          <cell r="A2093" t="str">
            <v>9351360</v>
          </cell>
          <cell r="B2093" t="str">
            <v>조　정　숙</v>
          </cell>
          <cell r="C2093" t="str">
            <v>9351360조　정　숙</v>
          </cell>
          <cell r="D2093" t="str">
            <v>CH50</v>
          </cell>
          <cell r="E2093" t="str">
            <v>기용품담당</v>
          </cell>
          <cell r="F2093" t="str">
            <v>2630</v>
          </cell>
          <cell r="G2093" t="str">
            <v>2630</v>
          </cell>
          <cell r="H2093" t="str">
            <v>19930716</v>
          </cell>
          <cell r="I2093">
            <v>6068214</v>
          </cell>
        </row>
        <row r="2094">
          <cell r="A2094" t="str">
            <v>9151918</v>
          </cell>
          <cell r="B2094" t="str">
            <v>조　정　자</v>
          </cell>
          <cell r="C2094" t="str">
            <v>9151918조　정　자</v>
          </cell>
          <cell r="D2094" t="str">
            <v>CH50</v>
          </cell>
          <cell r="E2094" t="str">
            <v>기용품담당</v>
          </cell>
          <cell r="F2094" t="str">
            <v>2630</v>
          </cell>
          <cell r="G2094" t="str">
            <v>2630</v>
          </cell>
          <cell r="H2094" t="str">
            <v>19910910</v>
          </cell>
          <cell r="I2094">
            <v>7999273</v>
          </cell>
        </row>
        <row r="2095">
          <cell r="A2095" t="str">
            <v>8604865</v>
          </cell>
          <cell r="B2095" t="str">
            <v>한　창　남</v>
          </cell>
          <cell r="C2095" t="str">
            <v>8604865한　창　남</v>
          </cell>
          <cell r="D2095" t="str">
            <v>CH50</v>
          </cell>
          <cell r="E2095" t="str">
            <v>기용품담당</v>
          </cell>
          <cell r="F2095" t="str">
            <v>2630</v>
          </cell>
          <cell r="G2095" t="str">
            <v>2630</v>
          </cell>
          <cell r="H2095" t="str">
            <v>19861119</v>
          </cell>
          <cell r="I2095">
            <v>20665992</v>
          </cell>
        </row>
        <row r="2096">
          <cell r="A2096" t="str">
            <v>8550448</v>
          </cell>
          <cell r="B2096" t="str">
            <v>홍　영　섭</v>
          </cell>
          <cell r="C2096" t="str">
            <v>8550448홍　영　섭</v>
          </cell>
          <cell r="D2096" t="str">
            <v>CH50</v>
          </cell>
          <cell r="E2096" t="str">
            <v>기용품담당</v>
          </cell>
          <cell r="F2096" t="str">
            <v>2630</v>
          </cell>
          <cell r="G2096" t="str">
            <v>2630</v>
          </cell>
          <cell r="H2096" t="str">
            <v>19850416</v>
          </cell>
          <cell r="I2096">
            <v>18938408</v>
          </cell>
        </row>
        <row r="2097">
          <cell r="A2097" t="str">
            <v>8150591</v>
          </cell>
          <cell r="B2097" t="str">
            <v>황　인　순</v>
          </cell>
          <cell r="C2097" t="str">
            <v>8150591황　인　순</v>
          </cell>
          <cell r="D2097" t="str">
            <v>CH50</v>
          </cell>
          <cell r="E2097" t="str">
            <v>기용품담당</v>
          </cell>
          <cell r="F2097" t="str">
            <v>2630</v>
          </cell>
          <cell r="G2097" t="e">
            <v>#N/A</v>
          </cell>
          <cell r="H2097" t="str">
            <v>19811101</v>
          </cell>
          <cell r="I2097">
            <v>20509129</v>
          </cell>
          <cell r="J2097" t="str">
            <v>9 월</v>
          </cell>
          <cell r="K2097">
            <v>34787357</v>
          </cell>
        </row>
        <row r="2098">
          <cell r="A2098" t="str">
            <v>0000074</v>
          </cell>
          <cell r="B2098" t="str">
            <v>정　종　근</v>
          </cell>
          <cell r="C2098" t="str">
            <v>0000074정　종　근</v>
          </cell>
          <cell r="D2098" t="str">
            <v>화물사업지원</v>
          </cell>
          <cell r="E2098" t="str">
            <v>사업지원담당</v>
          </cell>
          <cell r="F2098" t="str">
            <v>2651</v>
          </cell>
          <cell r="G2098" t="e">
            <v>#N/A</v>
          </cell>
          <cell r="H2098" t="str">
            <v>19980113</v>
          </cell>
          <cell r="I2098">
            <v>18200267</v>
          </cell>
          <cell r="J2098" t="str">
            <v>3 월</v>
          </cell>
          <cell r="K2098">
            <v>22750335</v>
          </cell>
        </row>
        <row r="2099">
          <cell r="A2099" t="str">
            <v>0000202</v>
          </cell>
          <cell r="B2099" t="str">
            <v>최　수　명</v>
          </cell>
          <cell r="C2099" t="str">
            <v>0000202최　수　명</v>
          </cell>
          <cell r="D2099" t="str">
            <v>화물사업지원</v>
          </cell>
          <cell r="E2099" t="str">
            <v>사업지원담당</v>
          </cell>
          <cell r="F2099" t="str">
            <v>2651</v>
          </cell>
          <cell r="G2099" t="str">
            <v>2653</v>
          </cell>
          <cell r="J2099" t="str">
            <v>4 월</v>
          </cell>
          <cell r="M2099">
            <v>149897708</v>
          </cell>
        </row>
        <row r="2100">
          <cell r="A2100" t="str">
            <v>9550012</v>
          </cell>
          <cell r="B2100" t="str">
            <v>권　은　희</v>
          </cell>
          <cell r="C2100" t="str">
            <v>9550012권　은　희</v>
          </cell>
          <cell r="D2100" t="str">
            <v>CG20</v>
          </cell>
          <cell r="E2100" t="str">
            <v>사업지원담당</v>
          </cell>
          <cell r="F2100" t="str">
            <v>2651</v>
          </cell>
          <cell r="G2100" t="e">
            <v>#N/A</v>
          </cell>
          <cell r="H2100" t="str">
            <v>19950110</v>
          </cell>
          <cell r="I2100">
            <v>6395977</v>
          </cell>
          <cell r="J2100" t="str">
            <v>2 월</v>
          </cell>
          <cell r="K2100">
            <v>6275624</v>
          </cell>
        </row>
        <row r="2101">
          <cell r="A2101" t="str">
            <v>8310262</v>
          </cell>
          <cell r="B2101" t="str">
            <v>김　건　우</v>
          </cell>
          <cell r="C2101" t="str">
            <v>8310262김　건　우</v>
          </cell>
          <cell r="D2101" t="str">
            <v>CG20</v>
          </cell>
          <cell r="E2101" t="str">
            <v>사업지원담당</v>
          </cell>
          <cell r="F2101" t="str">
            <v>2651</v>
          </cell>
          <cell r="G2101" t="str">
            <v>2654</v>
          </cell>
          <cell r="H2101" t="str">
            <v>19831114</v>
          </cell>
          <cell r="I2101">
            <v>33209289</v>
          </cell>
        </row>
        <row r="2102">
          <cell r="A2102" t="str">
            <v>9460260</v>
          </cell>
          <cell r="B2102" t="str">
            <v>김　현　숙</v>
          </cell>
          <cell r="C2102" t="str">
            <v>9460260김　현　숙</v>
          </cell>
          <cell r="D2102" t="str">
            <v>CG20</v>
          </cell>
          <cell r="E2102" t="str">
            <v>사업지원담당</v>
          </cell>
          <cell r="F2102" t="str">
            <v>2651</v>
          </cell>
          <cell r="G2102" t="str">
            <v>2653</v>
          </cell>
          <cell r="H2102" t="str">
            <v>19960601</v>
          </cell>
          <cell r="I2102">
            <v>3826808</v>
          </cell>
        </row>
        <row r="2103">
          <cell r="A2103" t="str">
            <v>8200045</v>
          </cell>
          <cell r="B2103" t="str">
            <v>김　홍　철</v>
          </cell>
          <cell r="C2103" t="str">
            <v>8200045김　홍　철</v>
          </cell>
          <cell r="D2103" t="str">
            <v>CG20</v>
          </cell>
          <cell r="E2103" t="str">
            <v>사업지원담당</v>
          </cell>
          <cell r="F2103" t="str">
            <v>2651</v>
          </cell>
          <cell r="G2103" t="str">
            <v>2652</v>
          </cell>
          <cell r="H2103" t="str">
            <v>19981211</v>
          </cell>
          <cell r="I2103">
            <v>2647245</v>
          </cell>
        </row>
        <row r="2104">
          <cell r="A2104" t="str">
            <v>8911135</v>
          </cell>
          <cell r="B2104" t="str">
            <v>남　용　희</v>
          </cell>
          <cell r="C2104" t="str">
            <v>8911135남　용　희</v>
          </cell>
          <cell r="D2104" t="str">
            <v>CG20</v>
          </cell>
          <cell r="E2104" t="str">
            <v>사업지원담당</v>
          </cell>
          <cell r="F2104" t="str">
            <v>2651</v>
          </cell>
          <cell r="G2104" t="str">
            <v>2654</v>
          </cell>
          <cell r="H2104" t="str">
            <v>19891016</v>
          </cell>
          <cell r="I2104">
            <v>18073783</v>
          </cell>
        </row>
        <row r="2105">
          <cell r="A2105" t="str">
            <v>9002610</v>
          </cell>
          <cell r="B2105" t="str">
            <v>남　중　배</v>
          </cell>
          <cell r="C2105" t="str">
            <v>9002610남　중　배</v>
          </cell>
          <cell r="D2105" t="str">
            <v>CG20</v>
          </cell>
          <cell r="E2105" t="str">
            <v>사업지원담당</v>
          </cell>
          <cell r="F2105" t="str">
            <v>2651</v>
          </cell>
          <cell r="G2105" t="str">
            <v>2654</v>
          </cell>
          <cell r="H2105" t="str">
            <v>19971001</v>
          </cell>
          <cell r="I2105">
            <v>3041407</v>
          </cell>
        </row>
        <row r="2106">
          <cell r="A2106" t="str">
            <v>9160356</v>
          </cell>
          <cell r="B2106" t="str">
            <v>노　승　희</v>
          </cell>
          <cell r="C2106" t="str">
            <v>9160356노　승　희</v>
          </cell>
          <cell r="D2106" t="str">
            <v>CG20</v>
          </cell>
          <cell r="E2106" t="str">
            <v>사업지원담당</v>
          </cell>
          <cell r="F2106" t="str">
            <v>2651</v>
          </cell>
          <cell r="G2106" t="str">
            <v>2654</v>
          </cell>
          <cell r="H2106" t="str">
            <v>19911101</v>
          </cell>
          <cell r="I2106">
            <v>10070058</v>
          </cell>
        </row>
        <row r="2107">
          <cell r="A2107" t="str">
            <v>9160255</v>
          </cell>
          <cell r="B2107" t="str">
            <v>박　미　경</v>
          </cell>
          <cell r="C2107" t="str">
            <v>9160255박　미　경</v>
          </cell>
          <cell r="D2107" t="str">
            <v>CG20</v>
          </cell>
          <cell r="E2107" t="str">
            <v>사업지원담당</v>
          </cell>
          <cell r="F2107" t="str">
            <v>2651</v>
          </cell>
          <cell r="G2107" t="e">
            <v>#N/A</v>
          </cell>
          <cell r="H2107" t="str">
            <v>19911101</v>
          </cell>
          <cell r="I2107">
            <v>10435512</v>
          </cell>
          <cell r="J2107" t="str">
            <v>10 월</v>
          </cell>
          <cell r="K2107">
            <v>14237094</v>
          </cell>
        </row>
        <row r="2108">
          <cell r="A2108" t="str">
            <v>8960196</v>
          </cell>
          <cell r="B2108" t="str">
            <v>박　선　희</v>
          </cell>
          <cell r="C2108" t="str">
            <v>8960196박　선　희</v>
          </cell>
          <cell r="D2108" t="str">
            <v>CG20</v>
          </cell>
          <cell r="E2108" t="str">
            <v>사업지원담당</v>
          </cell>
          <cell r="F2108" t="str">
            <v>2651</v>
          </cell>
          <cell r="G2108" t="str">
            <v>2653</v>
          </cell>
          <cell r="H2108" t="str">
            <v>19891101</v>
          </cell>
          <cell r="I2108">
            <v>15989696</v>
          </cell>
        </row>
        <row r="2109">
          <cell r="A2109" t="str">
            <v>9205964</v>
          </cell>
          <cell r="B2109" t="str">
            <v>박　종　근</v>
          </cell>
          <cell r="C2109" t="str">
            <v>9205964박　종　근</v>
          </cell>
          <cell r="D2109" t="str">
            <v>CG20</v>
          </cell>
          <cell r="E2109" t="str">
            <v>사업지원담당</v>
          </cell>
          <cell r="F2109" t="str">
            <v>2651</v>
          </cell>
          <cell r="G2109" t="str">
            <v>2654</v>
          </cell>
          <cell r="H2109" t="str">
            <v>19921005</v>
          </cell>
          <cell r="I2109">
            <v>8564292</v>
          </cell>
        </row>
        <row r="2110">
          <cell r="A2110" t="str">
            <v>8700737</v>
          </cell>
          <cell r="B2110" t="str">
            <v>백　종　민</v>
          </cell>
          <cell r="C2110" t="str">
            <v>8700737백　종　민</v>
          </cell>
          <cell r="D2110" t="str">
            <v>CG20</v>
          </cell>
          <cell r="E2110" t="str">
            <v>사업지원담당</v>
          </cell>
          <cell r="F2110" t="str">
            <v>2651</v>
          </cell>
          <cell r="G2110" t="str">
            <v>2654</v>
          </cell>
          <cell r="H2110" t="str">
            <v>19870521</v>
          </cell>
          <cell r="I2110">
            <v>18245900</v>
          </cell>
        </row>
        <row r="2111">
          <cell r="A2111" t="str">
            <v>9210082</v>
          </cell>
          <cell r="B2111" t="str">
            <v>서　영　준</v>
          </cell>
          <cell r="C2111" t="str">
            <v>9210082서　영　준</v>
          </cell>
          <cell r="D2111" t="str">
            <v>CG20</v>
          </cell>
          <cell r="E2111" t="str">
            <v>사업지원담당</v>
          </cell>
          <cell r="F2111" t="str">
            <v>2651</v>
          </cell>
          <cell r="G2111" t="e">
            <v>#N/A</v>
          </cell>
          <cell r="H2111" t="str">
            <v>19920107</v>
          </cell>
          <cell r="I2111">
            <v>14990681</v>
          </cell>
          <cell r="J2111" t="str">
            <v>8 월</v>
          </cell>
          <cell r="K2111">
            <v>19390951</v>
          </cell>
        </row>
        <row r="2112">
          <cell r="A2112" t="str">
            <v>9360538</v>
          </cell>
          <cell r="B2112" t="str">
            <v>송　민　순</v>
          </cell>
          <cell r="C2112" t="str">
            <v>9360538송　민　순</v>
          </cell>
          <cell r="D2112" t="str">
            <v>CG20</v>
          </cell>
          <cell r="E2112" t="str">
            <v>사업지원담당</v>
          </cell>
          <cell r="F2112" t="str">
            <v>2651</v>
          </cell>
          <cell r="G2112" t="str">
            <v>2654</v>
          </cell>
          <cell r="H2112" t="str">
            <v>19931216</v>
          </cell>
          <cell r="I2112">
            <v>7528344</v>
          </cell>
        </row>
        <row r="2113">
          <cell r="A2113" t="str">
            <v>9300598</v>
          </cell>
          <cell r="B2113" t="str">
            <v>안　용　식</v>
          </cell>
          <cell r="C2113" t="str">
            <v>9300598안　용　식</v>
          </cell>
          <cell r="D2113" t="str">
            <v>CG20</v>
          </cell>
          <cell r="E2113" t="str">
            <v>사업지원담당</v>
          </cell>
          <cell r="F2113" t="str">
            <v>2651</v>
          </cell>
          <cell r="G2113" t="str">
            <v>2654</v>
          </cell>
          <cell r="H2113" t="str">
            <v>19930201</v>
          </cell>
          <cell r="I2113">
            <v>7740761</v>
          </cell>
        </row>
        <row r="2114">
          <cell r="A2114" t="str">
            <v>9260122</v>
          </cell>
          <cell r="B2114" t="str">
            <v>어　윤　정</v>
          </cell>
          <cell r="C2114" t="str">
            <v>9260122어　윤　정</v>
          </cell>
          <cell r="D2114" t="str">
            <v>CG20</v>
          </cell>
          <cell r="E2114" t="str">
            <v>사업지원담당</v>
          </cell>
          <cell r="F2114" t="str">
            <v>2651</v>
          </cell>
          <cell r="G2114" t="str">
            <v>2654</v>
          </cell>
          <cell r="H2114" t="str">
            <v>19920616</v>
          </cell>
          <cell r="I2114">
            <v>9222746</v>
          </cell>
        </row>
        <row r="2115">
          <cell r="A2115" t="str">
            <v>9560160</v>
          </cell>
          <cell r="B2115" t="str">
            <v>유　소　희</v>
          </cell>
          <cell r="C2115" t="str">
            <v>9560160유　소　희</v>
          </cell>
          <cell r="D2115" t="str">
            <v>CG20</v>
          </cell>
          <cell r="E2115" t="str">
            <v>사업지원담당</v>
          </cell>
          <cell r="F2115" t="str">
            <v>2651</v>
          </cell>
          <cell r="G2115" t="e">
            <v>#N/A</v>
          </cell>
          <cell r="H2115" t="str">
            <v>19950901</v>
          </cell>
          <cell r="I2115">
            <v>4488064</v>
          </cell>
          <cell r="J2115" t="str">
            <v>3 월</v>
          </cell>
          <cell r="K2115">
            <v>4628561</v>
          </cell>
        </row>
        <row r="2116">
          <cell r="A2116" t="str">
            <v>9211713</v>
          </cell>
          <cell r="B2116" t="str">
            <v>유　영　철</v>
          </cell>
          <cell r="C2116" t="str">
            <v>9211713유　영　철</v>
          </cell>
          <cell r="D2116" t="str">
            <v>CG20</v>
          </cell>
          <cell r="E2116" t="str">
            <v>사업지원담당</v>
          </cell>
          <cell r="F2116" t="str">
            <v>2651</v>
          </cell>
          <cell r="G2116" t="str">
            <v>2811</v>
          </cell>
          <cell r="H2116" t="str">
            <v>19920801</v>
          </cell>
          <cell r="I2116">
            <v>12441474</v>
          </cell>
        </row>
        <row r="2117">
          <cell r="A2117" t="str">
            <v>8902833</v>
          </cell>
          <cell r="B2117" t="str">
            <v>이　기　형</v>
          </cell>
          <cell r="C2117" t="str">
            <v>8902833이　기　형</v>
          </cell>
          <cell r="D2117" t="str">
            <v>CG20</v>
          </cell>
          <cell r="E2117" t="str">
            <v>사업지원담당</v>
          </cell>
          <cell r="F2117" t="str">
            <v>2651</v>
          </cell>
          <cell r="G2117" t="str">
            <v>2654</v>
          </cell>
          <cell r="H2117" t="str">
            <v>19890313</v>
          </cell>
          <cell r="I2117">
            <v>13866224</v>
          </cell>
        </row>
        <row r="2118">
          <cell r="A2118" t="str">
            <v>9810022</v>
          </cell>
          <cell r="B2118" t="str">
            <v>이　민　후</v>
          </cell>
          <cell r="C2118" t="str">
            <v>9810022이　민　후</v>
          </cell>
          <cell r="D2118" t="str">
            <v>CG20</v>
          </cell>
          <cell r="E2118" t="str">
            <v>사업지원담당</v>
          </cell>
          <cell r="F2118" t="str">
            <v>2651</v>
          </cell>
          <cell r="G2118" t="str">
            <v>2810</v>
          </cell>
          <cell r="H2118" t="str">
            <v>19980101</v>
          </cell>
          <cell r="I2118">
            <v>2716738</v>
          </cell>
        </row>
        <row r="2119">
          <cell r="A2119" t="str">
            <v>9350177</v>
          </cell>
          <cell r="B2119" t="str">
            <v>이　상　옥</v>
          </cell>
          <cell r="C2119" t="str">
            <v>9350177이　상　옥</v>
          </cell>
          <cell r="D2119" t="str">
            <v>CG20</v>
          </cell>
          <cell r="E2119" t="str">
            <v>사업지원담당</v>
          </cell>
          <cell r="F2119" t="str">
            <v>2651</v>
          </cell>
          <cell r="G2119" t="str">
            <v>2654</v>
          </cell>
          <cell r="H2119" t="str">
            <v>19930301</v>
          </cell>
          <cell r="I2119">
            <v>7142925</v>
          </cell>
        </row>
        <row r="2120">
          <cell r="A2120" t="str">
            <v>9810033</v>
          </cell>
          <cell r="B2120" t="str">
            <v>이　상　욱</v>
          </cell>
          <cell r="C2120" t="str">
            <v>9810033이　상　욱</v>
          </cell>
          <cell r="D2120" t="str">
            <v>CG20</v>
          </cell>
          <cell r="E2120" t="str">
            <v>사업지원담당</v>
          </cell>
          <cell r="F2120" t="str">
            <v>2651</v>
          </cell>
          <cell r="G2120" t="str">
            <v>2811</v>
          </cell>
          <cell r="H2120" t="str">
            <v>19980101</v>
          </cell>
          <cell r="I2120">
            <v>2698000</v>
          </cell>
        </row>
        <row r="2121">
          <cell r="A2121" t="str">
            <v>9201126</v>
          </cell>
          <cell r="B2121" t="str">
            <v>이　상　화</v>
          </cell>
          <cell r="C2121" t="str">
            <v>9201126이　상　화</v>
          </cell>
          <cell r="D2121" t="str">
            <v>CG20</v>
          </cell>
          <cell r="E2121" t="str">
            <v>사업지원담당</v>
          </cell>
          <cell r="F2121" t="str">
            <v>2651</v>
          </cell>
          <cell r="G2121" t="str">
            <v>2654</v>
          </cell>
          <cell r="H2121" t="str">
            <v>19920316</v>
          </cell>
          <cell r="I2121">
            <v>8856067</v>
          </cell>
        </row>
        <row r="2122">
          <cell r="A2122" t="str">
            <v>9450753</v>
          </cell>
          <cell r="B2122" t="str">
            <v>이　승　희</v>
          </cell>
          <cell r="C2122" t="str">
            <v>9450753이　승　희</v>
          </cell>
          <cell r="D2122" t="str">
            <v>CG20</v>
          </cell>
          <cell r="E2122" t="str">
            <v>사업지원담당</v>
          </cell>
          <cell r="F2122" t="str">
            <v>2651</v>
          </cell>
          <cell r="G2122" t="e">
            <v>#N/A</v>
          </cell>
          <cell r="H2122" t="str">
            <v>19940418</v>
          </cell>
          <cell r="I2122">
            <v>6303965</v>
          </cell>
          <cell r="J2122" t="str">
            <v>3 월</v>
          </cell>
          <cell r="K2122">
            <v>6477603</v>
          </cell>
        </row>
        <row r="2123">
          <cell r="A2123" t="str">
            <v>8900504</v>
          </cell>
          <cell r="B2123" t="str">
            <v>이　용　재</v>
          </cell>
          <cell r="C2123" t="str">
            <v>8900504이　용　재</v>
          </cell>
          <cell r="D2123" t="str">
            <v>CG20</v>
          </cell>
          <cell r="E2123" t="str">
            <v>사업지원담당</v>
          </cell>
          <cell r="F2123" t="str">
            <v>2651</v>
          </cell>
          <cell r="G2123" t="str">
            <v>2654</v>
          </cell>
          <cell r="H2123" t="str">
            <v>19880824</v>
          </cell>
          <cell r="I2123">
            <v>15539232</v>
          </cell>
        </row>
        <row r="2124">
          <cell r="A2124" t="str">
            <v>9560158</v>
          </cell>
          <cell r="B2124" t="str">
            <v>이　은　미</v>
          </cell>
          <cell r="C2124" t="str">
            <v>9560158이　은　미</v>
          </cell>
          <cell r="D2124" t="str">
            <v>CG20</v>
          </cell>
          <cell r="E2124" t="str">
            <v>사업지원담당</v>
          </cell>
          <cell r="F2124" t="str">
            <v>2651</v>
          </cell>
          <cell r="G2124" t="str">
            <v>2654</v>
          </cell>
          <cell r="H2124" t="str">
            <v>19950901</v>
          </cell>
          <cell r="I2124">
            <v>4633385</v>
          </cell>
        </row>
        <row r="2125">
          <cell r="A2125" t="str">
            <v>9760037</v>
          </cell>
          <cell r="B2125" t="str">
            <v>임　경　미</v>
          </cell>
          <cell r="C2125" t="str">
            <v>9760037임　경　미</v>
          </cell>
          <cell r="D2125" t="str">
            <v>CG20</v>
          </cell>
          <cell r="E2125" t="str">
            <v>사업지원담당</v>
          </cell>
          <cell r="F2125" t="str">
            <v>2651</v>
          </cell>
          <cell r="G2125" t="str">
            <v>2654</v>
          </cell>
          <cell r="H2125" t="str">
            <v>19970201</v>
          </cell>
          <cell r="I2125">
            <v>3037482</v>
          </cell>
        </row>
        <row r="2126">
          <cell r="A2126" t="str">
            <v>9560147</v>
          </cell>
          <cell r="B2126" t="str">
            <v>임　은　경</v>
          </cell>
          <cell r="C2126" t="str">
            <v>9560147임　은　경</v>
          </cell>
          <cell r="D2126" t="str">
            <v>CG20</v>
          </cell>
          <cell r="E2126" t="str">
            <v>사업지원담당</v>
          </cell>
          <cell r="F2126" t="str">
            <v>2651</v>
          </cell>
          <cell r="G2126" t="str">
            <v>2654</v>
          </cell>
          <cell r="H2126" t="str">
            <v>19950901</v>
          </cell>
          <cell r="I2126">
            <v>4488064</v>
          </cell>
        </row>
        <row r="2127">
          <cell r="A2127" t="str">
            <v>9460168</v>
          </cell>
          <cell r="B2127" t="str">
            <v>전　수　경</v>
          </cell>
          <cell r="C2127" t="str">
            <v>9460168전　수　경</v>
          </cell>
          <cell r="D2127" t="str">
            <v>CG20</v>
          </cell>
          <cell r="E2127" t="str">
            <v>사업지원담당</v>
          </cell>
          <cell r="F2127" t="str">
            <v>2651</v>
          </cell>
          <cell r="G2127" t="str">
            <v>2654</v>
          </cell>
          <cell r="H2127" t="str">
            <v>19940716</v>
          </cell>
          <cell r="I2127">
            <v>6547858</v>
          </cell>
        </row>
        <row r="2128">
          <cell r="A2128" t="str">
            <v>9510052</v>
          </cell>
          <cell r="B2128" t="str">
            <v>전　정　호</v>
          </cell>
          <cell r="C2128" t="str">
            <v>9510052전　정　호</v>
          </cell>
          <cell r="D2128" t="str">
            <v>CG20</v>
          </cell>
          <cell r="E2128" t="str">
            <v>사업지원담당</v>
          </cell>
          <cell r="F2128" t="str">
            <v>2651</v>
          </cell>
          <cell r="G2128" t="str">
            <v>1120</v>
          </cell>
          <cell r="H2128" t="str">
            <v>19950101</v>
          </cell>
          <cell r="I2128">
            <v>8491010</v>
          </cell>
        </row>
        <row r="2129">
          <cell r="A2129" t="str">
            <v>9510028</v>
          </cell>
          <cell r="B2129" t="str">
            <v>정　기　욱</v>
          </cell>
          <cell r="C2129" t="str">
            <v>9510028정　기　욱</v>
          </cell>
          <cell r="D2129" t="str">
            <v>CG20</v>
          </cell>
          <cell r="E2129" t="str">
            <v>사업지원담당</v>
          </cell>
          <cell r="F2129" t="str">
            <v>2651</v>
          </cell>
          <cell r="G2129" t="str">
            <v>2653</v>
          </cell>
          <cell r="H2129" t="str">
            <v>19950101</v>
          </cell>
          <cell r="I2129">
            <v>8445655</v>
          </cell>
        </row>
        <row r="2130">
          <cell r="A2130" t="str">
            <v>9560092</v>
          </cell>
          <cell r="B2130" t="str">
            <v>정　은　숙</v>
          </cell>
          <cell r="C2130" t="str">
            <v>9560092정　은　숙</v>
          </cell>
          <cell r="D2130" t="str">
            <v>CG20</v>
          </cell>
          <cell r="E2130" t="str">
            <v>사업지원담당</v>
          </cell>
          <cell r="F2130" t="str">
            <v>2651</v>
          </cell>
          <cell r="G2130" t="str">
            <v>2653</v>
          </cell>
          <cell r="H2130" t="str">
            <v>19950801</v>
          </cell>
          <cell r="I2130">
            <v>4581709</v>
          </cell>
        </row>
        <row r="2131">
          <cell r="A2131" t="str">
            <v>9712528</v>
          </cell>
          <cell r="B2131" t="str">
            <v>정　지　관</v>
          </cell>
          <cell r="C2131" t="str">
            <v>9712528정　지　관</v>
          </cell>
          <cell r="D2131" t="str">
            <v>CG20</v>
          </cell>
          <cell r="E2131" t="str">
            <v>사업지원담당</v>
          </cell>
          <cell r="F2131" t="str">
            <v>2651</v>
          </cell>
          <cell r="G2131" t="e">
            <v>#N/A</v>
          </cell>
          <cell r="H2131" t="str">
            <v>19971124</v>
          </cell>
          <cell r="I2131">
            <v>2390979</v>
          </cell>
          <cell r="J2131" t="str">
            <v>7 월</v>
          </cell>
          <cell r="K2131">
            <v>2980184</v>
          </cell>
        </row>
        <row r="2132">
          <cell r="A2132" t="str">
            <v>9360292</v>
          </cell>
          <cell r="B2132" t="str">
            <v>최　미　정</v>
          </cell>
          <cell r="C2132" t="str">
            <v>9360292최　미　정</v>
          </cell>
          <cell r="D2132" t="str">
            <v>CG20</v>
          </cell>
          <cell r="E2132" t="str">
            <v>사업지원담당</v>
          </cell>
          <cell r="F2132" t="str">
            <v>2651</v>
          </cell>
          <cell r="G2132" t="e">
            <v>#N/A</v>
          </cell>
          <cell r="H2132" t="str">
            <v>19930801</v>
          </cell>
          <cell r="I2132">
            <v>7846277</v>
          </cell>
          <cell r="J2132" t="str">
            <v>3 월</v>
          </cell>
          <cell r="K2132">
            <v>8007300</v>
          </cell>
        </row>
        <row r="2133">
          <cell r="A2133" t="str">
            <v>9460181</v>
          </cell>
          <cell r="B2133" t="str">
            <v>최　소　연</v>
          </cell>
          <cell r="C2133" t="str">
            <v>9460181최　소　연</v>
          </cell>
          <cell r="D2133" t="str">
            <v>CG20</v>
          </cell>
          <cell r="E2133" t="str">
            <v>사업지원담당</v>
          </cell>
          <cell r="F2133" t="str">
            <v>2651</v>
          </cell>
          <cell r="G2133" t="str">
            <v>2653</v>
          </cell>
          <cell r="H2133" t="str">
            <v>19940901</v>
          </cell>
          <cell r="I2133">
            <v>5591127</v>
          </cell>
        </row>
        <row r="2134">
          <cell r="A2134" t="str">
            <v>9560103</v>
          </cell>
          <cell r="B2134" t="str">
            <v>최　정　선</v>
          </cell>
          <cell r="C2134" t="str">
            <v>9560103최　정　선</v>
          </cell>
          <cell r="D2134" t="str">
            <v>CG20</v>
          </cell>
          <cell r="E2134" t="str">
            <v>사업지원담당</v>
          </cell>
          <cell r="F2134" t="str">
            <v>2651</v>
          </cell>
          <cell r="G2134" t="e">
            <v>#N/A</v>
          </cell>
          <cell r="H2134" t="str">
            <v>19950801</v>
          </cell>
          <cell r="I2134">
            <v>4615829</v>
          </cell>
          <cell r="J2134" t="str">
            <v>2 월</v>
          </cell>
          <cell r="K2134">
            <v>4590414</v>
          </cell>
        </row>
        <row r="2135">
          <cell r="A2135" t="str">
            <v>9211961</v>
          </cell>
          <cell r="B2135" t="str">
            <v>최　준　수</v>
          </cell>
          <cell r="C2135" t="str">
            <v>9211961최　준　수</v>
          </cell>
          <cell r="D2135" t="str">
            <v>CG20</v>
          </cell>
          <cell r="E2135" t="str">
            <v>사업지원담당</v>
          </cell>
          <cell r="F2135" t="str">
            <v>2651</v>
          </cell>
          <cell r="G2135" t="str">
            <v>2811</v>
          </cell>
          <cell r="H2135" t="str">
            <v>19921008</v>
          </cell>
          <cell r="I2135">
            <v>9999599</v>
          </cell>
        </row>
        <row r="2136">
          <cell r="A2136" t="str">
            <v>9460023</v>
          </cell>
          <cell r="B2136" t="str">
            <v>최　현　내</v>
          </cell>
          <cell r="C2136" t="str">
            <v>9460023최　현　내</v>
          </cell>
          <cell r="D2136" t="str">
            <v>CG20</v>
          </cell>
          <cell r="E2136" t="str">
            <v>사업지원담당</v>
          </cell>
          <cell r="F2136" t="str">
            <v>2651</v>
          </cell>
          <cell r="G2136" t="str">
            <v>2653</v>
          </cell>
          <cell r="H2136" t="str">
            <v>19940216</v>
          </cell>
          <cell r="I2136">
            <v>7051246</v>
          </cell>
        </row>
        <row r="2137">
          <cell r="A2137" t="str">
            <v>9460170</v>
          </cell>
          <cell r="B2137" t="str">
            <v>하　정　연</v>
          </cell>
          <cell r="C2137" t="str">
            <v>9460170하　정　연</v>
          </cell>
          <cell r="D2137" t="str">
            <v>CG20</v>
          </cell>
          <cell r="E2137" t="str">
            <v>사업지원담당</v>
          </cell>
          <cell r="F2137" t="str">
            <v>2651</v>
          </cell>
          <cell r="G2137" t="e">
            <v>#N/A</v>
          </cell>
          <cell r="H2137" t="str">
            <v>19940816</v>
          </cell>
          <cell r="I2137">
            <v>5858481</v>
          </cell>
          <cell r="J2137" t="str">
            <v>3 월</v>
          </cell>
          <cell r="K2137">
            <v>5975456</v>
          </cell>
        </row>
        <row r="2138">
          <cell r="A2138" t="str">
            <v>9500220</v>
          </cell>
          <cell r="B2138" t="str">
            <v>한　형　욱</v>
          </cell>
          <cell r="C2138" t="str">
            <v>9500220한　형　욱</v>
          </cell>
          <cell r="D2138" t="str">
            <v>CG20</v>
          </cell>
          <cell r="E2138" t="str">
            <v>사업지원담당</v>
          </cell>
          <cell r="F2138" t="str">
            <v>2651</v>
          </cell>
          <cell r="G2138" t="str">
            <v>2654</v>
          </cell>
          <cell r="H2138" t="str">
            <v>19950105</v>
          </cell>
          <cell r="I2138">
            <v>5450482</v>
          </cell>
        </row>
        <row r="2139">
          <cell r="A2139" t="str">
            <v>8810324</v>
          </cell>
          <cell r="B2139" t="str">
            <v>황　대　익</v>
          </cell>
          <cell r="C2139" t="str">
            <v>8810324황　대　익</v>
          </cell>
          <cell r="D2139" t="str">
            <v>CG20</v>
          </cell>
          <cell r="E2139" t="str">
            <v>사업지원담당</v>
          </cell>
          <cell r="F2139" t="str">
            <v>2651</v>
          </cell>
          <cell r="G2139" t="str">
            <v>2654</v>
          </cell>
          <cell r="H2139" t="str">
            <v>19880219</v>
          </cell>
          <cell r="I2139">
            <v>21079831</v>
          </cell>
        </row>
        <row r="2140">
          <cell r="A2140" t="str">
            <v>9660363</v>
          </cell>
          <cell r="B2140" t="str">
            <v>김　혜　원</v>
          </cell>
          <cell r="C2140" t="str">
            <v>9660363김　혜　원</v>
          </cell>
          <cell r="D2140" t="str">
            <v>CG54</v>
          </cell>
          <cell r="E2140" t="str">
            <v>사업지원담당</v>
          </cell>
          <cell r="F2140" t="str">
            <v>2651</v>
          </cell>
          <cell r="G2140" t="str">
            <v>2653</v>
          </cell>
          <cell r="H2140" t="str">
            <v>19961101</v>
          </cell>
          <cell r="I2140">
            <v>3283747</v>
          </cell>
        </row>
        <row r="2141">
          <cell r="A2141" t="str">
            <v>8900278</v>
          </cell>
          <cell r="B2141" t="str">
            <v>허　정　익</v>
          </cell>
          <cell r="C2141" t="str">
            <v>8900278허　정　익</v>
          </cell>
          <cell r="D2141" t="str">
            <v>CD12</v>
          </cell>
          <cell r="E2141" t="str">
            <v>화물1담당</v>
          </cell>
          <cell r="F2141" t="str">
            <v>2653</v>
          </cell>
          <cell r="G2141" t="str">
            <v>2653</v>
          </cell>
          <cell r="H2141" t="str">
            <v>19981211</v>
          </cell>
          <cell r="I2141">
            <v>2197396</v>
          </cell>
        </row>
        <row r="2142">
          <cell r="A2142" t="str">
            <v>7600386</v>
          </cell>
          <cell r="B2142" t="str">
            <v>유　순　식</v>
          </cell>
          <cell r="C2142" t="str">
            <v>7600386유　순　식</v>
          </cell>
          <cell r="D2142" t="str">
            <v>CF20</v>
          </cell>
          <cell r="E2142" t="str">
            <v>화물1담당</v>
          </cell>
          <cell r="F2142" t="str">
            <v>2653</v>
          </cell>
          <cell r="G2142" t="str">
            <v>2810</v>
          </cell>
          <cell r="H2142" t="str">
            <v>19870907</v>
          </cell>
          <cell r="I2142">
            <v>31306711</v>
          </cell>
        </row>
        <row r="2143">
          <cell r="A2143" t="str">
            <v>8610322</v>
          </cell>
          <cell r="B2143" t="str">
            <v>이　기　석</v>
          </cell>
          <cell r="C2143" t="str">
            <v>8610322이　기　석</v>
          </cell>
          <cell r="D2143" t="str">
            <v>CG40</v>
          </cell>
          <cell r="E2143" t="str">
            <v>화물1담당</v>
          </cell>
          <cell r="F2143" t="str">
            <v>2653</v>
          </cell>
          <cell r="G2143" t="str">
            <v>2653</v>
          </cell>
          <cell r="H2143" t="str">
            <v>19860401</v>
          </cell>
          <cell r="I2143">
            <v>26267027</v>
          </cell>
        </row>
        <row r="2144">
          <cell r="A2144" t="str">
            <v>7800052</v>
          </cell>
          <cell r="B2144" t="str">
            <v>이　병　준</v>
          </cell>
          <cell r="C2144" t="str">
            <v>7800052이　병　준</v>
          </cell>
          <cell r="D2144" t="str">
            <v>CG40</v>
          </cell>
          <cell r="E2144" t="str">
            <v>화물1담당</v>
          </cell>
          <cell r="F2144" t="str">
            <v>2653</v>
          </cell>
          <cell r="G2144" t="str">
            <v>2653</v>
          </cell>
          <cell r="H2144" t="str">
            <v>19981001</v>
          </cell>
          <cell r="I2144">
            <v>3840866</v>
          </cell>
        </row>
        <row r="2145">
          <cell r="A2145" t="str">
            <v>8400093</v>
          </cell>
          <cell r="B2145" t="str">
            <v>강　영　주</v>
          </cell>
          <cell r="C2145" t="str">
            <v>8400093강　영　주</v>
          </cell>
          <cell r="D2145" t="str">
            <v>CG42</v>
          </cell>
          <cell r="E2145" t="str">
            <v>화물1담당</v>
          </cell>
          <cell r="F2145" t="str">
            <v>2653</v>
          </cell>
          <cell r="G2145" t="str">
            <v>2653</v>
          </cell>
          <cell r="H2145" t="str">
            <v>19991001</v>
          </cell>
          <cell r="I2145">
            <v>406846</v>
          </cell>
        </row>
        <row r="2146">
          <cell r="A2146" t="str">
            <v>9411930</v>
          </cell>
          <cell r="B2146" t="str">
            <v>강　정　웅</v>
          </cell>
          <cell r="C2146" t="str">
            <v>9411930강　정　웅</v>
          </cell>
          <cell r="D2146" t="str">
            <v>CG42</v>
          </cell>
          <cell r="E2146" t="str">
            <v>화물1담당</v>
          </cell>
          <cell r="F2146" t="str">
            <v>2653</v>
          </cell>
          <cell r="G2146" t="str">
            <v>2653</v>
          </cell>
          <cell r="H2146" t="str">
            <v>19940915</v>
          </cell>
          <cell r="I2146">
            <v>6282656</v>
          </cell>
        </row>
        <row r="2147">
          <cell r="A2147" t="str">
            <v>8111373</v>
          </cell>
          <cell r="B2147" t="str">
            <v>강　창　석</v>
          </cell>
          <cell r="C2147" t="str">
            <v>8111373강　창　석</v>
          </cell>
          <cell r="D2147" t="str">
            <v>CG42</v>
          </cell>
          <cell r="E2147" t="str">
            <v>화물1담당</v>
          </cell>
          <cell r="F2147" t="str">
            <v>2653</v>
          </cell>
          <cell r="G2147" t="str">
            <v>2653</v>
          </cell>
          <cell r="H2147" t="str">
            <v>19811101</v>
          </cell>
          <cell r="I2147">
            <v>29915145</v>
          </cell>
        </row>
        <row r="2148">
          <cell r="A2148" t="str">
            <v>8111283</v>
          </cell>
          <cell r="B2148" t="str">
            <v>강　태　익</v>
          </cell>
          <cell r="C2148" t="str">
            <v>8111283강　태　익</v>
          </cell>
          <cell r="D2148" t="str">
            <v>CG42</v>
          </cell>
          <cell r="E2148" t="str">
            <v>화물1담당</v>
          </cell>
          <cell r="F2148" t="str">
            <v>2653</v>
          </cell>
          <cell r="G2148" t="str">
            <v>2653</v>
          </cell>
          <cell r="H2148" t="str">
            <v>19811101</v>
          </cell>
          <cell r="I2148">
            <v>33875101</v>
          </cell>
        </row>
        <row r="2149">
          <cell r="A2149" t="str">
            <v>8611064</v>
          </cell>
          <cell r="B2149" t="str">
            <v>고　문　원</v>
          </cell>
          <cell r="C2149" t="str">
            <v>8611064고　문　원</v>
          </cell>
          <cell r="D2149" t="str">
            <v>CG42</v>
          </cell>
          <cell r="E2149" t="str">
            <v>화물1담당</v>
          </cell>
          <cell r="F2149" t="str">
            <v>2653</v>
          </cell>
          <cell r="G2149" t="str">
            <v>2653</v>
          </cell>
          <cell r="H2149" t="str">
            <v>19861226</v>
          </cell>
          <cell r="I2149">
            <v>21476409</v>
          </cell>
        </row>
        <row r="2150">
          <cell r="A2150" t="str">
            <v>9212005</v>
          </cell>
          <cell r="B2150" t="str">
            <v>고　성　욱</v>
          </cell>
          <cell r="C2150" t="str">
            <v>9212005고　성　욱</v>
          </cell>
          <cell r="D2150" t="str">
            <v>CG42</v>
          </cell>
          <cell r="E2150" t="str">
            <v>화물1담당</v>
          </cell>
          <cell r="F2150" t="str">
            <v>2653</v>
          </cell>
          <cell r="G2150" t="str">
            <v>2653</v>
          </cell>
          <cell r="H2150" t="str">
            <v>19921008</v>
          </cell>
          <cell r="I2150">
            <v>9914975</v>
          </cell>
        </row>
        <row r="2151">
          <cell r="A2151" t="str">
            <v>8610513</v>
          </cell>
          <cell r="B2151" t="str">
            <v>곽　경　훈</v>
          </cell>
          <cell r="C2151" t="str">
            <v>8610513곽　경　훈</v>
          </cell>
          <cell r="D2151" t="str">
            <v>CG42</v>
          </cell>
          <cell r="E2151" t="str">
            <v>화물1담당</v>
          </cell>
          <cell r="F2151" t="str">
            <v>2653</v>
          </cell>
          <cell r="G2151" t="str">
            <v>2653</v>
          </cell>
          <cell r="H2151" t="str">
            <v>19860707</v>
          </cell>
          <cell r="I2151">
            <v>21499544</v>
          </cell>
        </row>
        <row r="2152">
          <cell r="A2152" t="str">
            <v>8510343</v>
          </cell>
          <cell r="B2152" t="str">
            <v>구　자　명</v>
          </cell>
          <cell r="C2152" t="str">
            <v>8510343구　자　명</v>
          </cell>
          <cell r="D2152" t="str">
            <v>CG42</v>
          </cell>
          <cell r="E2152" t="str">
            <v>화물1담당</v>
          </cell>
          <cell r="F2152" t="str">
            <v>2653</v>
          </cell>
          <cell r="G2152" t="str">
            <v>2653</v>
          </cell>
          <cell r="H2152" t="str">
            <v>19851207</v>
          </cell>
          <cell r="I2152">
            <v>22726135</v>
          </cell>
        </row>
        <row r="2153">
          <cell r="A2153" t="str">
            <v>8110361</v>
          </cell>
          <cell r="B2153" t="str">
            <v>권　혁　근</v>
          </cell>
          <cell r="C2153" t="str">
            <v>8110361권　혁　근</v>
          </cell>
          <cell r="D2153" t="str">
            <v>CG42</v>
          </cell>
          <cell r="E2153" t="str">
            <v>화물1담당</v>
          </cell>
          <cell r="F2153" t="str">
            <v>2653</v>
          </cell>
          <cell r="G2153" t="str">
            <v>2653</v>
          </cell>
          <cell r="H2153" t="str">
            <v>19810301</v>
          </cell>
          <cell r="I2153">
            <v>39257510</v>
          </cell>
        </row>
        <row r="2154">
          <cell r="A2154" t="str">
            <v>9511424</v>
          </cell>
          <cell r="B2154" t="str">
            <v>김　기　성</v>
          </cell>
          <cell r="C2154" t="str">
            <v>9511424김　기　성</v>
          </cell>
          <cell r="D2154" t="str">
            <v>CG42</v>
          </cell>
          <cell r="E2154" t="str">
            <v>화물1담당</v>
          </cell>
          <cell r="F2154" t="str">
            <v>2653</v>
          </cell>
          <cell r="G2154" t="str">
            <v>2653</v>
          </cell>
          <cell r="H2154" t="str">
            <v>19950901</v>
          </cell>
          <cell r="I2154">
            <v>6120965</v>
          </cell>
        </row>
        <row r="2155">
          <cell r="A2155" t="str">
            <v>9110261</v>
          </cell>
          <cell r="B2155" t="str">
            <v>김　대　현</v>
          </cell>
          <cell r="C2155" t="str">
            <v>9110261김　대　현</v>
          </cell>
          <cell r="D2155" t="str">
            <v>CG42</v>
          </cell>
          <cell r="E2155" t="str">
            <v>화물1담당</v>
          </cell>
          <cell r="F2155" t="str">
            <v>2653</v>
          </cell>
          <cell r="G2155" t="str">
            <v>2653</v>
          </cell>
          <cell r="H2155" t="str">
            <v>19910415</v>
          </cell>
          <cell r="I2155">
            <v>12893014</v>
          </cell>
        </row>
        <row r="2156">
          <cell r="A2156" t="str">
            <v>9712596</v>
          </cell>
          <cell r="B2156" t="str">
            <v>김　동　균</v>
          </cell>
          <cell r="C2156" t="str">
            <v>9712596김　동　균</v>
          </cell>
          <cell r="D2156" t="str">
            <v>CG42</v>
          </cell>
          <cell r="E2156" t="str">
            <v>화물1담당</v>
          </cell>
          <cell r="F2156" t="str">
            <v>2653</v>
          </cell>
          <cell r="G2156" t="str">
            <v>2653</v>
          </cell>
          <cell r="H2156" t="str">
            <v>19971201</v>
          </cell>
          <cell r="I2156">
            <v>2595646</v>
          </cell>
        </row>
        <row r="2157">
          <cell r="A2157" t="str">
            <v>9102712</v>
          </cell>
          <cell r="B2157" t="str">
            <v>김　동　수</v>
          </cell>
          <cell r="C2157" t="str">
            <v>9102712김　동　수</v>
          </cell>
          <cell r="D2157" t="str">
            <v>CG42</v>
          </cell>
          <cell r="E2157" t="str">
            <v>화물1담당</v>
          </cell>
          <cell r="F2157" t="str">
            <v>2653</v>
          </cell>
          <cell r="G2157" t="str">
            <v>2653</v>
          </cell>
          <cell r="H2157" t="str">
            <v>19910720</v>
          </cell>
          <cell r="I2157">
            <v>10085188</v>
          </cell>
        </row>
        <row r="2158">
          <cell r="A2158" t="str">
            <v>9300633</v>
          </cell>
          <cell r="B2158" t="str">
            <v>김　명　균</v>
          </cell>
          <cell r="C2158" t="str">
            <v>9300633김　명　균</v>
          </cell>
          <cell r="D2158" t="str">
            <v>CG42</v>
          </cell>
          <cell r="E2158" t="str">
            <v>화물1담당</v>
          </cell>
          <cell r="F2158" t="str">
            <v>2653</v>
          </cell>
          <cell r="G2158" t="str">
            <v>2653</v>
          </cell>
          <cell r="H2158" t="str">
            <v>19930201</v>
          </cell>
          <cell r="I2158">
            <v>8641799</v>
          </cell>
        </row>
        <row r="2159">
          <cell r="A2159" t="str">
            <v>9010585</v>
          </cell>
          <cell r="B2159" t="str">
            <v>김　병　욱</v>
          </cell>
          <cell r="C2159" t="str">
            <v>9010585김　병　욱</v>
          </cell>
          <cell r="D2159" t="str">
            <v>CG42</v>
          </cell>
          <cell r="E2159" t="str">
            <v>화물1담당</v>
          </cell>
          <cell r="F2159" t="str">
            <v>2653</v>
          </cell>
          <cell r="G2159" t="str">
            <v>2653</v>
          </cell>
          <cell r="H2159" t="str">
            <v>19890729</v>
          </cell>
          <cell r="I2159">
            <v>19785770</v>
          </cell>
        </row>
        <row r="2160">
          <cell r="A2160" t="str">
            <v>9303930</v>
          </cell>
          <cell r="B2160" t="str">
            <v>김　성　완</v>
          </cell>
          <cell r="C2160" t="str">
            <v>9303930김　성　완</v>
          </cell>
          <cell r="D2160" t="str">
            <v>CG42</v>
          </cell>
          <cell r="E2160" t="str">
            <v>화물1담당</v>
          </cell>
          <cell r="F2160" t="str">
            <v>2653</v>
          </cell>
          <cell r="G2160" t="str">
            <v>2653</v>
          </cell>
          <cell r="H2160" t="str">
            <v>19930701</v>
          </cell>
          <cell r="I2160">
            <v>7941415</v>
          </cell>
        </row>
        <row r="2161">
          <cell r="A2161" t="str">
            <v>9012047</v>
          </cell>
          <cell r="B2161" t="str">
            <v>김　성　희</v>
          </cell>
          <cell r="C2161" t="str">
            <v>9012047김　성　희</v>
          </cell>
          <cell r="D2161" t="str">
            <v>CG42</v>
          </cell>
          <cell r="E2161" t="str">
            <v>화물1담당</v>
          </cell>
          <cell r="F2161" t="str">
            <v>2653</v>
          </cell>
          <cell r="G2161" t="str">
            <v>2653</v>
          </cell>
          <cell r="H2161" t="str">
            <v>19900625</v>
          </cell>
          <cell r="I2161">
            <v>16429498</v>
          </cell>
        </row>
        <row r="2162">
          <cell r="A2162" t="str">
            <v>8910674</v>
          </cell>
          <cell r="B2162" t="str">
            <v>김　영　석</v>
          </cell>
          <cell r="C2162" t="str">
            <v>8910674김　영　석</v>
          </cell>
          <cell r="D2162" t="str">
            <v>CG42</v>
          </cell>
          <cell r="E2162" t="str">
            <v>화물1담당</v>
          </cell>
          <cell r="F2162" t="str">
            <v>2653</v>
          </cell>
          <cell r="G2162" t="str">
            <v>2653</v>
          </cell>
          <cell r="H2162" t="str">
            <v>19881031</v>
          </cell>
          <cell r="I2162">
            <v>18742432</v>
          </cell>
        </row>
        <row r="2163">
          <cell r="A2163" t="str">
            <v>9211948</v>
          </cell>
          <cell r="B2163" t="str">
            <v>김　영　정</v>
          </cell>
          <cell r="C2163" t="str">
            <v>9211948김　영　정</v>
          </cell>
          <cell r="D2163" t="str">
            <v>CG42</v>
          </cell>
          <cell r="E2163" t="str">
            <v>화물1담당</v>
          </cell>
          <cell r="F2163" t="str">
            <v>2653</v>
          </cell>
          <cell r="G2163" t="str">
            <v>2653</v>
          </cell>
          <cell r="H2163" t="str">
            <v>19921008</v>
          </cell>
          <cell r="I2163">
            <v>10542399</v>
          </cell>
        </row>
        <row r="2164">
          <cell r="A2164" t="str">
            <v>9011013</v>
          </cell>
          <cell r="B2164" t="str">
            <v>김　인　호</v>
          </cell>
          <cell r="C2164" t="str">
            <v>9011013김　인　호</v>
          </cell>
          <cell r="D2164" t="str">
            <v>CG42</v>
          </cell>
          <cell r="E2164" t="str">
            <v>화물1담당</v>
          </cell>
          <cell r="F2164" t="str">
            <v>2653</v>
          </cell>
          <cell r="G2164" t="str">
            <v>2653</v>
          </cell>
          <cell r="H2164" t="str">
            <v>19890822</v>
          </cell>
          <cell r="I2164">
            <v>13235710</v>
          </cell>
        </row>
        <row r="2165">
          <cell r="A2165" t="str">
            <v>8911113</v>
          </cell>
          <cell r="B2165" t="str">
            <v>김　재　영</v>
          </cell>
          <cell r="C2165" t="str">
            <v>8911113김　재　영</v>
          </cell>
          <cell r="D2165" t="str">
            <v>CG42</v>
          </cell>
          <cell r="E2165" t="str">
            <v>화물1담당</v>
          </cell>
          <cell r="F2165" t="str">
            <v>2653</v>
          </cell>
          <cell r="G2165" t="str">
            <v>2653</v>
          </cell>
          <cell r="H2165" t="str">
            <v>19891016</v>
          </cell>
          <cell r="I2165">
            <v>19161560</v>
          </cell>
        </row>
        <row r="2166">
          <cell r="A2166" t="str">
            <v>9412288</v>
          </cell>
          <cell r="B2166" t="str">
            <v>김　재　택</v>
          </cell>
          <cell r="C2166" t="str">
            <v>9412288김　재　택</v>
          </cell>
          <cell r="D2166" t="str">
            <v>CG42</v>
          </cell>
          <cell r="E2166" t="str">
            <v>화물1담당</v>
          </cell>
          <cell r="F2166" t="str">
            <v>2653</v>
          </cell>
          <cell r="G2166" t="str">
            <v>2653</v>
          </cell>
          <cell r="H2166" t="str">
            <v>19941201</v>
          </cell>
          <cell r="I2166">
            <v>5772759</v>
          </cell>
        </row>
        <row r="2167">
          <cell r="A2167" t="str">
            <v>8910731</v>
          </cell>
          <cell r="B2167" t="str">
            <v>김　정　호</v>
          </cell>
          <cell r="C2167" t="str">
            <v>8910731김　정　호</v>
          </cell>
          <cell r="D2167" t="str">
            <v>CG42</v>
          </cell>
          <cell r="E2167" t="str">
            <v>화물1담당</v>
          </cell>
          <cell r="F2167" t="str">
            <v>2653</v>
          </cell>
          <cell r="G2167" t="str">
            <v>2653</v>
          </cell>
          <cell r="H2167" t="str">
            <v>19881031</v>
          </cell>
          <cell r="I2167">
            <v>16115921</v>
          </cell>
        </row>
        <row r="2168">
          <cell r="A2168" t="str">
            <v>8710378</v>
          </cell>
          <cell r="B2168" t="str">
            <v>김　종　국</v>
          </cell>
          <cell r="C2168" t="str">
            <v>8710378김　종　국</v>
          </cell>
          <cell r="D2168" t="str">
            <v>CG42</v>
          </cell>
          <cell r="E2168" t="str">
            <v>화물1담당</v>
          </cell>
          <cell r="F2168" t="str">
            <v>2653</v>
          </cell>
          <cell r="G2168" t="str">
            <v>2653</v>
          </cell>
          <cell r="H2168" t="str">
            <v>19870427</v>
          </cell>
          <cell r="I2168">
            <v>19849122</v>
          </cell>
        </row>
        <row r="2169">
          <cell r="A2169" t="str">
            <v>9710515</v>
          </cell>
          <cell r="B2169" t="str">
            <v>김　종　우</v>
          </cell>
          <cell r="C2169" t="str">
            <v>9710515김　종　우</v>
          </cell>
          <cell r="D2169" t="str">
            <v>CG42</v>
          </cell>
          <cell r="E2169" t="str">
            <v>화물1담당</v>
          </cell>
          <cell r="F2169" t="str">
            <v>2653</v>
          </cell>
          <cell r="G2169" t="str">
            <v>2653</v>
          </cell>
          <cell r="H2169" t="str">
            <v>19970317</v>
          </cell>
          <cell r="I2169">
            <v>3098362</v>
          </cell>
        </row>
        <row r="2170">
          <cell r="A2170" t="str">
            <v>9211915</v>
          </cell>
          <cell r="B2170" t="str">
            <v>김　창　진</v>
          </cell>
          <cell r="C2170" t="str">
            <v>9211915김　창　진</v>
          </cell>
          <cell r="D2170" t="str">
            <v>CG42</v>
          </cell>
          <cell r="E2170" t="str">
            <v>화물1담당</v>
          </cell>
          <cell r="F2170" t="str">
            <v>2653</v>
          </cell>
          <cell r="G2170" t="str">
            <v>2653</v>
          </cell>
          <cell r="H2170" t="str">
            <v>19921008</v>
          </cell>
          <cell r="I2170">
            <v>10729779</v>
          </cell>
        </row>
        <row r="2171">
          <cell r="A2171" t="str">
            <v>8300136</v>
          </cell>
          <cell r="B2171" t="str">
            <v>김　태　원</v>
          </cell>
          <cell r="C2171" t="str">
            <v>8300136김　태　원</v>
          </cell>
          <cell r="D2171" t="str">
            <v>CG42</v>
          </cell>
          <cell r="E2171" t="str">
            <v>화물1담당</v>
          </cell>
          <cell r="F2171" t="str">
            <v>2653</v>
          </cell>
          <cell r="G2171" t="e">
            <v>#N/A</v>
          </cell>
          <cell r="H2171" t="str">
            <v>19830201</v>
          </cell>
          <cell r="I2171">
            <v>26799060</v>
          </cell>
          <cell r="J2171" t="str">
            <v>3 월</v>
          </cell>
          <cell r="K2171">
            <v>26650367</v>
          </cell>
        </row>
        <row r="2172">
          <cell r="A2172" t="str">
            <v>8310126</v>
          </cell>
          <cell r="B2172" t="str">
            <v>김　협　　</v>
          </cell>
          <cell r="C2172" t="str">
            <v>8310126김　협　　</v>
          </cell>
          <cell r="D2172" t="str">
            <v>CG42</v>
          </cell>
          <cell r="E2172" t="str">
            <v>화물1담당</v>
          </cell>
          <cell r="F2172" t="str">
            <v>2653</v>
          </cell>
          <cell r="G2172" t="str">
            <v>2653</v>
          </cell>
          <cell r="H2172" t="str">
            <v>19830610</v>
          </cell>
          <cell r="I2172">
            <v>34688022</v>
          </cell>
        </row>
        <row r="2173">
          <cell r="A2173" t="str">
            <v>8110833</v>
          </cell>
          <cell r="B2173" t="str">
            <v>김　호　태</v>
          </cell>
          <cell r="C2173" t="str">
            <v>8110833김　호　태</v>
          </cell>
          <cell r="D2173" t="str">
            <v>CG42</v>
          </cell>
          <cell r="E2173" t="str">
            <v>화물1담당</v>
          </cell>
          <cell r="F2173" t="str">
            <v>2653</v>
          </cell>
          <cell r="G2173" t="str">
            <v>2330</v>
          </cell>
          <cell r="H2173" t="str">
            <v>19810401</v>
          </cell>
          <cell r="I2173">
            <v>37533317</v>
          </cell>
        </row>
        <row r="2174">
          <cell r="A2174" t="str">
            <v>8711133</v>
          </cell>
          <cell r="B2174" t="str">
            <v>김　홍　배</v>
          </cell>
          <cell r="C2174" t="str">
            <v>8711133김　홍　배</v>
          </cell>
          <cell r="D2174" t="str">
            <v>CG42</v>
          </cell>
          <cell r="E2174" t="str">
            <v>화물1담당</v>
          </cell>
          <cell r="F2174" t="str">
            <v>2653</v>
          </cell>
          <cell r="G2174" t="str">
            <v>2653</v>
          </cell>
          <cell r="H2174" t="str">
            <v>19870928</v>
          </cell>
          <cell r="I2174">
            <v>18014684</v>
          </cell>
        </row>
        <row r="2175">
          <cell r="A2175" t="str">
            <v>9712170</v>
          </cell>
          <cell r="B2175" t="str">
            <v>김　훈　식</v>
          </cell>
          <cell r="C2175" t="str">
            <v>9712170김　훈　식</v>
          </cell>
          <cell r="D2175" t="str">
            <v>CG42</v>
          </cell>
          <cell r="E2175" t="str">
            <v>화물1담당</v>
          </cell>
          <cell r="F2175" t="str">
            <v>2653</v>
          </cell>
          <cell r="G2175" t="e">
            <v>#N/A</v>
          </cell>
          <cell r="H2175" t="str">
            <v>19971101</v>
          </cell>
          <cell r="I2175">
            <v>2237853</v>
          </cell>
          <cell r="J2175" t="str">
            <v>3 월</v>
          </cell>
          <cell r="K2175">
            <v>2406036</v>
          </cell>
        </row>
        <row r="2176">
          <cell r="A2176" t="str">
            <v>9712563</v>
          </cell>
          <cell r="B2176" t="str">
            <v>남　원　성</v>
          </cell>
          <cell r="C2176" t="str">
            <v>9712563남　원　성</v>
          </cell>
          <cell r="D2176" t="str">
            <v>CG42</v>
          </cell>
          <cell r="E2176" t="str">
            <v>화물1담당</v>
          </cell>
          <cell r="F2176" t="str">
            <v>2653</v>
          </cell>
          <cell r="G2176" t="str">
            <v>2653</v>
          </cell>
          <cell r="H2176" t="str">
            <v>19971124</v>
          </cell>
          <cell r="I2176">
            <v>2627896</v>
          </cell>
        </row>
        <row r="2177">
          <cell r="A2177" t="str">
            <v>9412301</v>
          </cell>
          <cell r="B2177" t="str">
            <v>노　광　호</v>
          </cell>
          <cell r="C2177" t="str">
            <v>9412301노　광　호</v>
          </cell>
          <cell r="D2177" t="str">
            <v>CG42</v>
          </cell>
          <cell r="E2177" t="str">
            <v>화물1담당</v>
          </cell>
          <cell r="F2177" t="str">
            <v>2653</v>
          </cell>
          <cell r="G2177" t="str">
            <v>2653</v>
          </cell>
          <cell r="H2177" t="str">
            <v>19941201</v>
          </cell>
          <cell r="I2177">
            <v>7137918</v>
          </cell>
        </row>
        <row r="2178">
          <cell r="A2178" t="str">
            <v>8110618</v>
          </cell>
          <cell r="B2178" t="str">
            <v>노　정　명</v>
          </cell>
          <cell r="C2178" t="str">
            <v>8110618노　정　명</v>
          </cell>
          <cell r="D2178" t="str">
            <v>CG42</v>
          </cell>
          <cell r="E2178" t="str">
            <v>화물1담당</v>
          </cell>
          <cell r="F2178" t="str">
            <v>2653</v>
          </cell>
          <cell r="G2178" t="str">
            <v>2653</v>
          </cell>
          <cell r="H2178" t="str">
            <v>19810301</v>
          </cell>
          <cell r="I2178">
            <v>32912092</v>
          </cell>
        </row>
        <row r="2179">
          <cell r="A2179" t="str">
            <v>9512054</v>
          </cell>
          <cell r="B2179" t="str">
            <v>문　영　길</v>
          </cell>
          <cell r="C2179" t="str">
            <v>9512054문　영　길</v>
          </cell>
          <cell r="D2179" t="str">
            <v>CG42</v>
          </cell>
          <cell r="E2179" t="str">
            <v>화물1담당</v>
          </cell>
          <cell r="F2179" t="str">
            <v>2653</v>
          </cell>
          <cell r="G2179" t="str">
            <v>2653</v>
          </cell>
          <cell r="H2179" t="str">
            <v>19951201</v>
          </cell>
          <cell r="I2179">
            <v>4826995</v>
          </cell>
        </row>
        <row r="2180">
          <cell r="A2180" t="str">
            <v>8910540</v>
          </cell>
          <cell r="B2180" t="str">
            <v>민　경　순</v>
          </cell>
          <cell r="C2180" t="str">
            <v>8910540민　경　순</v>
          </cell>
          <cell r="D2180" t="str">
            <v>CG42</v>
          </cell>
          <cell r="E2180" t="str">
            <v>화물1담당</v>
          </cell>
          <cell r="F2180" t="str">
            <v>2653</v>
          </cell>
          <cell r="G2180" t="str">
            <v>2653</v>
          </cell>
          <cell r="H2180" t="str">
            <v>19881031</v>
          </cell>
          <cell r="I2180">
            <v>16802205</v>
          </cell>
        </row>
        <row r="2181">
          <cell r="A2181" t="str">
            <v>9411208</v>
          </cell>
          <cell r="B2181" t="str">
            <v>민　영　재</v>
          </cell>
          <cell r="C2181" t="str">
            <v>9411208민　영　재</v>
          </cell>
          <cell r="D2181" t="str">
            <v>CG42</v>
          </cell>
          <cell r="E2181" t="str">
            <v>화물1담당</v>
          </cell>
          <cell r="F2181" t="str">
            <v>2653</v>
          </cell>
          <cell r="G2181" t="str">
            <v>2653</v>
          </cell>
          <cell r="H2181" t="str">
            <v>19940721</v>
          </cell>
          <cell r="I2181">
            <v>6377866</v>
          </cell>
        </row>
        <row r="2182">
          <cell r="A2182" t="str">
            <v>9410106</v>
          </cell>
          <cell r="B2182" t="str">
            <v>박　관　수</v>
          </cell>
          <cell r="C2182" t="str">
            <v>9410106박　관　수</v>
          </cell>
          <cell r="D2182" t="str">
            <v>CG42</v>
          </cell>
          <cell r="E2182" t="str">
            <v>화물1담당</v>
          </cell>
          <cell r="F2182" t="str">
            <v>2653</v>
          </cell>
          <cell r="G2182" t="str">
            <v>2653</v>
          </cell>
          <cell r="H2182" t="str">
            <v>19940216</v>
          </cell>
          <cell r="I2182">
            <v>8105488</v>
          </cell>
        </row>
        <row r="2183">
          <cell r="A2183" t="str">
            <v>9710414</v>
          </cell>
          <cell r="B2183" t="str">
            <v>박　기　영</v>
          </cell>
          <cell r="C2183" t="str">
            <v>9710414박　기　영</v>
          </cell>
          <cell r="D2183" t="str">
            <v>CG42</v>
          </cell>
          <cell r="E2183" t="str">
            <v>화물1담당</v>
          </cell>
          <cell r="F2183" t="str">
            <v>2653</v>
          </cell>
          <cell r="G2183" t="str">
            <v>2653</v>
          </cell>
          <cell r="H2183" t="str">
            <v>19970301</v>
          </cell>
          <cell r="I2183">
            <v>3460086</v>
          </cell>
        </row>
        <row r="2184">
          <cell r="A2184" t="str">
            <v>9510344</v>
          </cell>
          <cell r="B2184" t="str">
            <v>박　상　규</v>
          </cell>
          <cell r="C2184" t="str">
            <v>9510344박　상　규</v>
          </cell>
          <cell r="D2184" t="str">
            <v>CG42</v>
          </cell>
          <cell r="E2184" t="str">
            <v>화물1담당</v>
          </cell>
          <cell r="F2184" t="str">
            <v>2653</v>
          </cell>
          <cell r="G2184" t="str">
            <v>2653</v>
          </cell>
          <cell r="H2184" t="str">
            <v>19950301</v>
          </cell>
          <cell r="I2184">
            <v>5981633</v>
          </cell>
        </row>
        <row r="2185">
          <cell r="A2185" t="str">
            <v>9310825</v>
          </cell>
          <cell r="B2185" t="str">
            <v>박　상　수</v>
          </cell>
          <cell r="C2185" t="str">
            <v>9310825박　상　수</v>
          </cell>
          <cell r="D2185" t="str">
            <v>CG42</v>
          </cell>
          <cell r="E2185" t="str">
            <v>화물1담당</v>
          </cell>
          <cell r="F2185" t="str">
            <v>2653</v>
          </cell>
          <cell r="G2185" t="str">
            <v>2653</v>
          </cell>
          <cell r="H2185" t="str">
            <v>19930801</v>
          </cell>
          <cell r="I2185">
            <v>8771315</v>
          </cell>
        </row>
        <row r="2186">
          <cell r="A2186" t="str">
            <v>9510625</v>
          </cell>
          <cell r="B2186" t="str">
            <v>박　승　환</v>
          </cell>
          <cell r="C2186" t="str">
            <v>9510625박　승　환</v>
          </cell>
          <cell r="D2186" t="str">
            <v>CG42</v>
          </cell>
          <cell r="E2186" t="str">
            <v>화물1담당</v>
          </cell>
          <cell r="F2186" t="str">
            <v>2653</v>
          </cell>
          <cell r="G2186" t="str">
            <v>2653</v>
          </cell>
          <cell r="H2186" t="str">
            <v>19950501</v>
          </cell>
          <cell r="I2186">
            <v>5598106</v>
          </cell>
        </row>
        <row r="2187">
          <cell r="A2187" t="str">
            <v>9110237</v>
          </cell>
          <cell r="B2187" t="str">
            <v>박　영　수</v>
          </cell>
          <cell r="C2187" t="str">
            <v>9110237박　영　수</v>
          </cell>
          <cell r="D2187" t="str">
            <v>CG42</v>
          </cell>
          <cell r="E2187" t="str">
            <v>화물1담당</v>
          </cell>
          <cell r="F2187" t="str">
            <v>2653</v>
          </cell>
          <cell r="G2187" t="str">
            <v>2653</v>
          </cell>
          <cell r="H2187" t="str">
            <v>19910415</v>
          </cell>
          <cell r="I2187">
            <v>13053788</v>
          </cell>
        </row>
        <row r="2188">
          <cell r="A2188" t="str">
            <v>9710436</v>
          </cell>
          <cell r="B2188" t="str">
            <v>박　영　태</v>
          </cell>
          <cell r="C2188" t="str">
            <v>9710436박　영　태</v>
          </cell>
          <cell r="D2188" t="str">
            <v>CG42</v>
          </cell>
          <cell r="E2188" t="str">
            <v>화물1담당</v>
          </cell>
          <cell r="F2188" t="str">
            <v>2653</v>
          </cell>
          <cell r="G2188" t="str">
            <v>2653</v>
          </cell>
          <cell r="H2188" t="str">
            <v>19970301</v>
          </cell>
          <cell r="I2188">
            <v>4140636</v>
          </cell>
        </row>
        <row r="2189">
          <cell r="A2189" t="str">
            <v>9712574</v>
          </cell>
          <cell r="B2189" t="str">
            <v>박　영　태</v>
          </cell>
          <cell r="C2189" t="str">
            <v>9712574박　영　태</v>
          </cell>
          <cell r="D2189" t="str">
            <v>CG42</v>
          </cell>
          <cell r="E2189" t="str">
            <v>화물1담당</v>
          </cell>
          <cell r="F2189" t="str">
            <v>2653</v>
          </cell>
          <cell r="G2189" t="str">
            <v>2653</v>
          </cell>
          <cell r="H2189" t="str">
            <v>19971201</v>
          </cell>
          <cell r="I2189">
            <v>2390425</v>
          </cell>
        </row>
        <row r="2190">
          <cell r="A2190" t="str">
            <v>9110834</v>
          </cell>
          <cell r="B2190" t="str">
            <v>박　용　수</v>
          </cell>
          <cell r="C2190" t="str">
            <v>9110834박　용　수</v>
          </cell>
          <cell r="D2190" t="str">
            <v>CG42</v>
          </cell>
          <cell r="E2190" t="str">
            <v>화물1담당</v>
          </cell>
          <cell r="F2190" t="str">
            <v>2653</v>
          </cell>
          <cell r="G2190" t="str">
            <v>2653</v>
          </cell>
          <cell r="H2190" t="str">
            <v>19910617</v>
          </cell>
          <cell r="I2190">
            <v>12102821</v>
          </cell>
        </row>
        <row r="2191">
          <cell r="A2191" t="str">
            <v>8111496</v>
          </cell>
          <cell r="B2191" t="str">
            <v>박　해　조</v>
          </cell>
          <cell r="C2191" t="str">
            <v>8111496박　해　조</v>
          </cell>
          <cell r="D2191" t="str">
            <v>CG42</v>
          </cell>
          <cell r="E2191" t="str">
            <v>화물1담당</v>
          </cell>
          <cell r="F2191" t="str">
            <v>2653</v>
          </cell>
          <cell r="G2191" t="str">
            <v>2653</v>
          </cell>
          <cell r="H2191" t="str">
            <v>19811101</v>
          </cell>
          <cell r="I2191">
            <v>32951522</v>
          </cell>
        </row>
        <row r="2192">
          <cell r="A2192" t="str">
            <v>8111507</v>
          </cell>
          <cell r="B2192" t="str">
            <v>박　현　도</v>
          </cell>
          <cell r="C2192" t="str">
            <v>8111507박　현　도</v>
          </cell>
          <cell r="D2192" t="str">
            <v>CG42</v>
          </cell>
          <cell r="E2192" t="str">
            <v>화물1담당</v>
          </cell>
          <cell r="F2192" t="str">
            <v>2653</v>
          </cell>
          <cell r="G2192" t="str">
            <v>2653</v>
          </cell>
          <cell r="H2192" t="str">
            <v>19811101</v>
          </cell>
          <cell r="I2192">
            <v>34924978</v>
          </cell>
        </row>
        <row r="2193">
          <cell r="A2193" t="str">
            <v>8310025</v>
          </cell>
          <cell r="B2193" t="str">
            <v>박　홍　래</v>
          </cell>
          <cell r="C2193" t="str">
            <v>8310025박　홍　래</v>
          </cell>
          <cell r="D2193" t="str">
            <v>CG42</v>
          </cell>
          <cell r="E2193" t="str">
            <v>화물1담당</v>
          </cell>
          <cell r="F2193" t="str">
            <v>2653</v>
          </cell>
          <cell r="G2193" t="str">
            <v>2653</v>
          </cell>
          <cell r="H2193" t="str">
            <v>19830124</v>
          </cell>
          <cell r="I2193">
            <v>33506878</v>
          </cell>
        </row>
        <row r="2194">
          <cell r="A2194" t="str">
            <v>8711065</v>
          </cell>
          <cell r="B2194" t="str">
            <v>배　병　오</v>
          </cell>
          <cell r="C2194" t="str">
            <v>8711065배　병　오</v>
          </cell>
          <cell r="D2194" t="str">
            <v>CG42</v>
          </cell>
          <cell r="E2194" t="str">
            <v>화물1담당</v>
          </cell>
          <cell r="F2194" t="str">
            <v>2653</v>
          </cell>
          <cell r="G2194" t="str">
            <v>2653</v>
          </cell>
          <cell r="H2194" t="str">
            <v>19870918</v>
          </cell>
          <cell r="I2194">
            <v>22765482</v>
          </cell>
        </row>
        <row r="2195">
          <cell r="A2195" t="str">
            <v>8310205</v>
          </cell>
          <cell r="B2195" t="str">
            <v>백　남　붕</v>
          </cell>
          <cell r="C2195" t="str">
            <v>8310205백　남　붕</v>
          </cell>
          <cell r="D2195" t="str">
            <v>CG42</v>
          </cell>
          <cell r="E2195" t="str">
            <v>화물1담당</v>
          </cell>
          <cell r="F2195" t="str">
            <v>2653</v>
          </cell>
          <cell r="G2195" t="str">
            <v>2653</v>
          </cell>
          <cell r="H2195" t="str">
            <v>19830816</v>
          </cell>
          <cell r="I2195">
            <v>34180509</v>
          </cell>
        </row>
        <row r="2196">
          <cell r="A2196" t="str">
            <v>9612764</v>
          </cell>
          <cell r="B2196" t="str">
            <v>백　태　선</v>
          </cell>
          <cell r="C2196" t="str">
            <v>9612764백　태　선</v>
          </cell>
          <cell r="D2196" t="str">
            <v>CG42</v>
          </cell>
          <cell r="E2196" t="str">
            <v>화물1담당</v>
          </cell>
          <cell r="F2196" t="str">
            <v>2653</v>
          </cell>
          <cell r="G2196" t="e">
            <v>#N/A</v>
          </cell>
          <cell r="H2196" t="str">
            <v>19961201</v>
          </cell>
          <cell r="I2196">
            <v>3539648</v>
          </cell>
          <cell r="J2196" t="str">
            <v>7 월</v>
          </cell>
          <cell r="K2196">
            <v>4787120</v>
          </cell>
        </row>
        <row r="2197">
          <cell r="A2197" t="str">
            <v>9503414</v>
          </cell>
          <cell r="B2197" t="str">
            <v>변　정　수</v>
          </cell>
          <cell r="C2197" t="str">
            <v>9503414변　정　수</v>
          </cell>
          <cell r="D2197" t="str">
            <v>CG42</v>
          </cell>
          <cell r="E2197" t="str">
            <v>화물1담당</v>
          </cell>
          <cell r="F2197" t="str">
            <v>2653</v>
          </cell>
          <cell r="G2197" t="str">
            <v>2653</v>
          </cell>
          <cell r="H2197" t="str">
            <v>19951106</v>
          </cell>
          <cell r="I2197">
            <v>4469540</v>
          </cell>
        </row>
        <row r="2198">
          <cell r="A2198" t="str">
            <v>8811246</v>
          </cell>
          <cell r="B2198" t="str">
            <v>서　광　균</v>
          </cell>
          <cell r="C2198" t="str">
            <v>8811246서　광　균</v>
          </cell>
          <cell r="D2198" t="str">
            <v>CG42</v>
          </cell>
          <cell r="E2198" t="str">
            <v>화물1담당</v>
          </cell>
          <cell r="F2198" t="str">
            <v>2653</v>
          </cell>
          <cell r="G2198" t="str">
            <v>2653</v>
          </cell>
          <cell r="H2198" t="str">
            <v>19880905</v>
          </cell>
          <cell r="I2198">
            <v>22232378</v>
          </cell>
        </row>
        <row r="2199">
          <cell r="A2199" t="str">
            <v>9511222</v>
          </cell>
          <cell r="B2199" t="str">
            <v>서　금　채</v>
          </cell>
          <cell r="C2199" t="str">
            <v>9511222서　금　채</v>
          </cell>
          <cell r="D2199" t="str">
            <v>CG42</v>
          </cell>
          <cell r="E2199" t="str">
            <v>화물1담당</v>
          </cell>
          <cell r="F2199" t="str">
            <v>2653</v>
          </cell>
          <cell r="G2199" t="str">
            <v>2653</v>
          </cell>
          <cell r="H2199" t="str">
            <v>19950801</v>
          </cell>
          <cell r="I2199">
            <v>4947942</v>
          </cell>
        </row>
        <row r="2200">
          <cell r="A2200" t="str">
            <v>8110945</v>
          </cell>
          <cell r="B2200" t="str">
            <v>서　명　진</v>
          </cell>
          <cell r="C2200" t="str">
            <v>8110945서　명　진</v>
          </cell>
          <cell r="D2200" t="str">
            <v>CG42</v>
          </cell>
          <cell r="E2200" t="str">
            <v>화물1담당</v>
          </cell>
          <cell r="F2200" t="str">
            <v>2653</v>
          </cell>
          <cell r="G2200" t="str">
            <v>2653</v>
          </cell>
          <cell r="H2200" t="str">
            <v>19810401</v>
          </cell>
          <cell r="I2200">
            <v>36048329</v>
          </cell>
        </row>
        <row r="2201">
          <cell r="A2201" t="str">
            <v>8110912</v>
          </cell>
          <cell r="B2201" t="str">
            <v>서　형　진</v>
          </cell>
          <cell r="C2201" t="str">
            <v>8110912서　형　진</v>
          </cell>
          <cell r="D2201" t="str">
            <v>CG42</v>
          </cell>
          <cell r="E2201" t="str">
            <v>화물1담당</v>
          </cell>
          <cell r="F2201" t="str">
            <v>2653</v>
          </cell>
          <cell r="G2201" t="str">
            <v>2653</v>
          </cell>
          <cell r="H2201" t="str">
            <v>19810401</v>
          </cell>
          <cell r="I2201">
            <v>39359598</v>
          </cell>
        </row>
        <row r="2202">
          <cell r="A2202" t="str">
            <v>9412211</v>
          </cell>
          <cell r="B2202" t="str">
            <v>손　원　준</v>
          </cell>
          <cell r="C2202" t="str">
            <v>9412211손　원　준</v>
          </cell>
          <cell r="D2202" t="str">
            <v>CG42</v>
          </cell>
          <cell r="E2202" t="str">
            <v>화물1담당</v>
          </cell>
          <cell r="F2202" t="str">
            <v>2653</v>
          </cell>
          <cell r="G2202" t="str">
            <v>2653</v>
          </cell>
          <cell r="H2202" t="str">
            <v>19941201</v>
          </cell>
          <cell r="I2202">
            <v>7230885</v>
          </cell>
        </row>
        <row r="2203">
          <cell r="A2203" t="str">
            <v>9212242</v>
          </cell>
          <cell r="B2203" t="str">
            <v>손　재　천</v>
          </cell>
          <cell r="C2203" t="str">
            <v>9212242손　재　천</v>
          </cell>
          <cell r="D2203" t="str">
            <v>CG42</v>
          </cell>
          <cell r="E2203" t="str">
            <v>화물1담당</v>
          </cell>
          <cell r="F2203" t="str">
            <v>2653</v>
          </cell>
          <cell r="G2203" t="str">
            <v>2653</v>
          </cell>
          <cell r="H2203" t="str">
            <v>19921123</v>
          </cell>
          <cell r="I2203">
            <v>9807597</v>
          </cell>
        </row>
        <row r="2204">
          <cell r="A2204" t="str">
            <v>8911192</v>
          </cell>
          <cell r="B2204" t="str">
            <v>송　양　훈</v>
          </cell>
          <cell r="C2204" t="str">
            <v>8911192송　양　훈</v>
          </cell>
          <cell r="D2204" t="str">
            <v>CG42</v>
          </cell>
          <cell r="E2204" t="str">
            <v>화물1담당</v>
          </cell>
          <cell r="F2204" t="str">
            <v>2653</v>
          </cell>
          <cell r="G2204" t="str">
            <v>2653</v>
          </cell>
          <cell r="H2204" t="str">
            <v>19891211</v>
          </cell>
          <cell r="I2204">
            <v>19000146</v>
          </cell>
        </row>
        <row r="2205">
          <cell r="A2205" t="str">
            <v>8811628</v>
          </cell>
          <cell r="B2205" t="str">
            <v>송　정　섭</v>
          </cell>
          <cell r="C2205" t="str">
            <v>8811628송　정　섭</v>
          </cell>
          <cell r="D2205" t="str">
            <v>CG42</v>
          </cell>
          <cell r="E2205" t="str">
            <v>화물1담당</v>
          </cell>
          <cell r="F2205" t="str">
            <v>2653</v>
          </cell>
          <cell r="G2205" t="str">
            <v>2653</v>
          </cell>
          <cell r="H2205" t="str">
            <v>19881018</v>
          </cell>
          <cell r="I2205">
            <v>17772324</v>
          </cell>
        </row>
        <row r="2206">
          <cell r="A2206" t="str">
            <v>9512008</v>
          </cell>
          <cell r="B2206" t="str">
            <v>신　만　섭</v>
          </cell>
          <cell r="C2206" t="str">
            <v>9512008신　만　섭</v>
          </cell>
          <cell r="D2206" t="str">
            <v>CG42</v>
          </cell>
          <cell r="E2206" t="str">
            <v>화물1담당</v>
          </cell>
          <cell r="F2206" t="str">
            <v>2653</v>
          </cell>
          <cell r="G2206" t="e">
            <v>#N/A</v>
          </cell>
          <cell r="H2206" t="str">
            <v>19951201</v>
          </cell>
          <cell r="I2206">
            <v>4598339</v>
          </cell>
          <cell r="J2206" t="str">
            <v>7 월</v>
          </cell>
          <cell r="K2206">
            <v>5258671</v>
          </cell>
        </row>
        <row r="2207">
          <cell r="A2207" t="str">
            <v>9103713</v>
          </cell>
          <cell r="B2207" t="str">
            <v>신　윤　호</v>
          </cell>
          <cell r="C2207" t="str">
            <v>9103713신　윤　호</v>
          </cell>
          <cell r="D2207" t="str">
            <v>CG42</v>
          </cell>
          <cell r="E2207" t="str">
            <v>화물1담당</v>
          </cell>
          <cell r="F2207" t="str">
            <v>2653</v>
          </cell>
          <cell r="G2207" t="str">
            <v>2653</v>
          </cell>
          <cell r="H2207" t="str">
            <v>19910910</v>
          </cell>
          <cell r="I2207">
            <v>10464336</v>
          </cell>
        </row>
        <row r="2208">
          <cell r="A2208" t="str">
            <v>9710458</v>
          </cell>
          <cell r="B2208" t="str">
            <v>신　재　인</v>
          </cell>
          <cell r="C2208" t="str">
            <v>9710458신　재　인</v>
          </cell>
          <cell r="D2208" t="str">
            <v>CG42</v>
          </cell>
          <cell r="E2208" t="str">
            <v>화물1담당</v>
          </cell>
          <cell r="F2208" t="str">
            <v>2653</v>
          </cell>
          <cell r="G2208" t="str">
            <v>2653</v>
          </cell>
          <cell r="H2208" t="str">
            <v>19970301</v>
          </cell>
          <cell r="I2208">
            <v>4135979</v>
          </cell>
        </row>
        <row r="2209">
          <cell r="A2209" t="str">
            <v>9512111</v>
          </cell>
          <cell r="B2209" t="str">
            <v>신　정　환</v>
          </cell>
          <cell r="C2209" t="str">
            <v>9512111신　정　환</v>
          </cell>
          <cell r="D2209" t="str">
            <v>CG42</v>
          </cell>
          <cell r="E2209" t="str">
            <v>화물1담당</v>
          </cell>
          <cell r="F2209" t="str">
            <v>2653</v>
          </cell>
          <cell r="G2209" t="str">
            <v>2330</v>
          </cell>
          <cell r="H2209" t="str">
            <v>19951201</v>
          </cell>
          <cell r="I2209">
            <v>4730359</v>
          </cell>
        </row>
        <row r="2210">
          <cell r="A2210" t="str">
            <v>9110182</v>
          </cell>
          <cell r="B2210" t="str">
            <v>신　화　석</v>
          </cell>
          <cell r="C2210" t="str">
            <v>9110182신　화　석</v>
          </cell>
          <cell r="D2210" t="str">
            <v>CG42</v>
          </cell>
          <cell r="E2210" t="str">
            <v>화물1담당</v>
          </cell>
          <cell r="F2210" t="str">
            <v>2653</v>
          </cell>
          <cell r="G2210" t="str">
            <v>2653</v>
          </cell>
          <cell r="H2210" t="str">
            <v>19910415</v>
          </cell>
          <cell r="I2210">
            <v>11610009</v>
          </cell>
        </row>
        <row r="2211">
          <cell r="A2211" t="str">
            <v>9710908</v>
          </cell>
          <cell r="B2211" t="str">
            <v>안　영　호</v>
          </cell>
          <cell r="C2211" t="str">
            <v>9710908안　영　호</v>
          </cell>
          <cell r="D2211" t="str">
            <v>CG42</v>
          </cell>
          <cell r="E2211" t="str">
            <v>화물1담당</v>
          </cell>
          <cell r="F2211" t="str">
            <v>2653</v>
          </cell>
          <cell r="G2211" t="str">
            <v>2653</v>
          </cell>
          <cell r="H2211" t="str">
            <v>19970516</v>
          </cell>
          <cell r="I2211">
            <v>2936054</v>
          </cell>
        </row>
        <row r="2212">
          <cell r="A2212" t="str">
            <v>9110327</v>
          </cell>
          <cell r="B2212" t="str">
            <v>양　진　석</v>
          </cell>
          <cell r="C2212" t="str">
            <v>9110327양　진　석</v>
          </cell>
          <cell r="D2212" t="str">
            <v>CG42</v>
          </cell>
          <cell r="E2212" t="str">
            <v>화물1담당</v>
          </cell>
          <cell r="F2212" t="str">
            <v>2653</v>
          </cell>
          <cell r="G2212" t="str">
            <v>2653</v>
          </cell>
          <cell r="H2212" t="str">
            <v>19910415</v>
          </cell>
          <cell r="I2212">
            <v>13375537</v>
          </cell>
        </row>
        <row r="2213">
          <cell r="A2213" t="str">
            <v>9511266</v>
          </cell>
          <cell r="B2213" t="str">
            <v>염　광　일</v>
          </cell>
          <cell r="C2213" t="str">
            <v>9511266염　광　일</v>
          </cell>
          <cell r="D2213" t="str">
            <v>CG42</v>
          </cell>
          <cell r="E2213" t="str">
            <v>화물1담당</v>
          </cell>
          <cell r="F2213" t="str">
            <v>2653</v>
          </cell>
          <cell r="G2213" t="str">
            <v>2653</v>
          </cell>
          <cell r="H2213" t="str">
            <v>19950801</v>
          </cell>
          <cell r="I2213">
            <v>5402407</v>
          </cell>
        </row>
        <row r="2214">
          <cell r="A2214" t="str">
            <v>9211882</v>
          </cell>
          <cell r="B2214" t="str">
            <v>오　병　걸</v>
          </cell>
          <cell r="C2214" t="str">
            <v>9211882오　병　걸</v>
          </cell>
          <cell r="D2214" t="str">
            <v>CG42</v>
          </cell>
          <cell r="E2214" t="str">
            <v>화물1담당</v>
          </cell>
          <cell r="F2214" t="str">
            <v>2653</v>
          </cell>
          <cell r="G2214" t="str">
            <v>2653</v>
          </cell>
          <cell r="H2214" t="str">
            <v>19921008</v>
          </cell>
          <cell r="I2214">
            <v>9890514</v>
          </cell>
        </row>
        <row r="2215">
          <cell r="A2215" t="str">
            <v>8800986</v>
          </cell>
          <cell r="B2215" t="str">
            <v>원　병　섭</v>
          </cell>
          <cell r="C2215" t="str">
            <v>8800986원　병　섭</v>
          </cell>
          <cell r="D2215" t="str">
            <v>CG42</v>
          </cell>
          <cell r="E2215" t="str">
            <v>화물1담당</v>
          </cell>
          <cell r="F2215" t="str">
            <v>2653</v>
          </cell>
          <cell r="G2215" t="str">
            <v>2653</v>
          </cell>
          <cell r="H2215" t="str">
            <v>19880602</v>
          </cell>
          <cell r="I2215">
            <v>15864564</v>
          </cell>
        </row>
        <row r="2216">
          <cell r="A2216" t="str">
            <v>9511312</v>
          </cell>
          <cell r="B2216" t="str">
            <v>유　경　석</v>
          </cell>
          <cell r="C2216" t="str">
            <v>9511312유　경　석</v>
          </cell>
          <cell r="D2216" t="str">
            <v>CG42</v>
          </cell>
          <cell r="E2216" t="str">
            <v>화물1담당</v>
          </cell>
          <cell r="F2216" t="str">
            <v>2653</v>
          </cell>
          <cell r="G2216" t="str">
            <v>2653</v>
          </cell>
          <cell r="H2216" t="str">
            <v>19950801</v>
          </cell>
          <cell r="I2216">
            <v>5545709</v>
          </cell>
        </row>
        <row r="2217">
          <cell r="A2217" t="str">
            <v>8910652</v>
          </cell>
          <cell r="B2217" t="str">
            <v>유　기　영</v>
          </cell>
          <cell r="C2217" t="str">
            <v>8910652유　기　영</v>
          </cell>
          <cell r="D2217" t="str">
            <v>CG42</v>
          </cell>
          <cell r="E2217" t="str">
            <v>화물1담당</v>
          </cell>
          <cell r="F2217" t="str">
            <v>2653</v>
          </cell>
          <cell r="G2217" t="str">
            <v>2653</v>
          </cell>
          <cell r="H2217" t="str">
            <v>19881031</v>
          </cell>
          <cell r="I2217">
            <v>21217526</v>
          </cell>
        </row>
        <row r="2218">
          <cell r="A2218" t="str">
            <v>8110934</v>
          </cell>
          <cell r="B2218" t="str">
            <v>유　비　환</v>
          </cell>
          <cell r="C2218" t="str">
            <v>8110934유　비　환</v>
          </cell>
          <cell r="D2218" t="str">
            <v>CG42</v>
          </cell>
          <cell r="E2218" t="str">
            <v>화물1담당</v>
          </cell>
          <cell r="F2218" t="str">
            <v>2653</v>
          </cell>
          <cell r="G2218" t="str">
            <v>2653</v>
          </cell>
          <cell r="H2218" t="str">
            <v>19810401</v>
          </cell>
          <cell r="I2218">
            <v>32378101</v>
          </cell>
        </row>
        <row r="2219">
          <cell r="A2219" t="str">
            <v>9212490</v>
          </cell>
          <cell r="B2219" t="str">
            <v>유　성　대</v>
          </cell>
          <cell r="C2219" t="str">
            <v>9212490유　성　대</v>
          </cell>
          <cell r="D2219" t="str">
            <v>CG42</v>
          </cell>
          <cell r="E2219" t="str">
            <v>화물1담당</v>
          </cell>
          <cell r="F2219" t="str">
            <v>2653</v>
          </cell>
          <cell r="G2219" t="str">
            <v>2653</v>
          </cell>
          <cell r="H2219" t="str">
            <v>19921221</v>
          </cell>
          <cell r="I2219">
            <v>9952772</v>
          </cell>
        </row>
        <row r="2220">
          <cell r="A2220" t="str">
            <v>9712326</v>
          </cell>
          <cell r="B2220" t="str">
            <v>유　의　상</v>
          </cell>
          <cell r="C2220" t="str">
            <v>9712326유　의　상</v>
          </cell>
          <cell r="D2220" t="str">
            <v>CG42</v>
          </cell>
          <cell r="E2220" t="str">
            <v>화물1담당</v>
          </cell>
          <cell r="F2220" t="str">
            <v>2653</v>
          </cell>
          <cell r="G2220" t="e">
            <v>#N/A</v>
          </cell>
          <cell r="H2220" t="str">
            <v>19971110</v>
          </cell>
          <cell r="I2220">
            <v>2279485</v>
          </cell>
          <cell r="J2220" t="str">
            <v>3 월</v>
          </cell>
          <cell r="K2220">
            <v>2519985</v>
          </cell>
        </row>
        <row r="2221">
          <cell r="A2221" t="str">
            <v>9212016</v>
          </cell>
          <cell r="B2221" t="str">
            <v>유　진　아</v>
          </cell>
          <cell r="C2221" t="str">
            <v>9212016유　진　아</v>
          </cell>
          <cell r="D2221" t="str">
            <v>CG42</v>
          </cell>
          <cell r="E2221" t="str">
            <v>화물1담당</v>
          </cell>
          <cell r="F2221" t="str">
            <v>2653</v>
          </cell>
          <cell r="G2221" t="str">
            <v>2653</v>
          </cell>
          <cell r="H2221" t="str">
            <v>19921008</v>
          </cell>
          <cell r="I2221">
            <v>10361231</v>
          </cell>
        </row>
        <row r="2222">
          <cell r="A2222" t="str">
            <v>8210136</v>
          </cell>
          <cell r="B2222" t="str">
            <v>윤　문　길</v>
          </cell>
          <cell r="C2222" t="str">
            <v>8210136윤　문　길</v>
          </cell>
          <cell r="D2222" t="str">
            <v>CG42</v>
          </cell>
          <cell r="E2222" t="str">
            <v>화물1담당</v>
          </cell>
          <cell r="F2222" t="str">
            <v>2653</v>
          </cell>
          <cell r="G2222" t="str">
            <v>2653</v>
          </cell>
          <cell r="H2222" t="str">
            <v>19820901</v>
          </cell>
          <cell r="I2222">
            <v>31093221</v>
          </cell>
        </row>
        <row r="2223">
          <cell r="A2223" t="str">
            <v>9510952</v>
          </cell>
          <cell r="B2223" t="str">
            <v>윤　민　호</v>
          </cell>
          <cell r="C2223" t="str">
            <v>9510952윤　민　호</v>
          </cell>
          <cell r="D2223" t="str">
            <v>CG42</v>
          </cell>
          <cell r="E2223" t="str">
            <v>화물1담당</v>
          </cell>
          <cell r="F2223" t="str">
            <v>2653</v>
          </cell>
          <cell r="G2223" t="str">
            <v>2653</v>
          </cell>
          <cell r="H2223" t="str">
            <v>19950626</v>
          </cell>
          <cell r="I2223">
            <v>5261574</v>
          </cell>
        </row>
        <row r="2224">
          <cell r="A2224" t="str">
            <v>8710514</v>
          </cell>
          <cell r="B2224" t="str">
            <v>윤　보　현</v>
          </cell>
          <cell r="C2224" t="str">
            <v>8710514윤　보　현</v>
          </cell>
          <cell r="D2224" t="str">
            <v>CG42</v>
          </cell>
          <cell r="E2224" t="str">
            <v>화물1담당</v>
          </cell>
          <cell r="F2224" t="str">
            <v>2653</v>
          </cell>
          <cell r="G2224" t="str">
            <v>2653</v>
          </cell>
          <cell r="H2224" t="str">
            <v>19870427</v>
          </cell>
          <cell r="I2224">
            <v>24003917</v>
          </cell>
        </row>
        <row r="2225">
          <cell r="A2225" t="str">
            <v>9712282</v>
          </cell>
          <cell r="B2225" t="str">
            <v>윤　석　웅</v>
          </cell>
          <cell r="C2225" t="str">
            <v>9712282윤　석　웅</v>
          </cell>
          <cell r="D2225" t="str">
            <v>CG42</v>
          </cell>
          <cell r="E2225" t="str">
            <v>화물1담당</v>
          </cell>
          <cell r="F2225" t="str">
            <v>2653</v>
          </cell>
          <cell r="G2225" t="str">
            <v>2653</v>
          </cell>
          <cell r="H2225" t="str">
            <v>19971110</v>
          </cell>
          <cell r="I2225">
            <v>2526510</v>
          </cell>
        </row>
        <row r="2226">
          <cell r="A2226" t="str">
            <v>8110800</v>
          </cell>
          <cell r="B2226" t="str">
            <v>윤　정　용</v>
          </cell>
          <cell r="C2226" t="str">
            <v>8110800윤　정　용</v>
          </cell>
          <cell r="D2226" t="str">
            <v>CG42</v>
          </cell>
          <cell r="E2226" t="str">
            <v>화물1담당</v>
          </cell>
          <cell r="F2226" t="str">
            <v>2653</v>
          </cell>
          <cell r="G2226" t="str">
            <v>2653</v>
          </cell>
          <cell r="H2226" t="str">
            <v>19810401</v>
          </cell>
          <cell r="I2226">
            <v>37031907</v>
          </cell>
        </row>
        <row r="2227">
          <cell r="A2227" t="str">
            <v>9410681</v>
          </cell>
          <cell r="B2227" t="str">
            <v>윤　한　철</v>
          </cell>
          <cell r="C2227" t="str">
            <v>9410681윤　한　철</v>
          </cell>
          <cell r="D2227" t="str">
            <v>CG42</v>
          </cell>
          <cell r="E2227" t="str">
            <v>화물1담당</v>
          </cell>
          <cell r="F2227" t="str">
            <v>2653</v>
          </cell>
          <cell r="G2227" t="str">
            <v>2653</v>
          </cell>
          <cell r="H2227" t="str">
            <v>19940601</v>
          </cell>
          <cell r="I2227">
            <v>7281004</v>
          </cell>
        </row>
        <row r="2228">
          <cell r="A2228" t="str">
            <v>9012330</v>
          </cell>
          <cell r="B2228" t="str">
            <v>이　강　우</v>
          </cell>
          <cell r="C2228" t="str">
            <v>9012330이　강　우</v>
          </cell>
          <cell r="D2228" t="str">
            <v>CG42</v>
          </cell>
          <cell r="E2228" t="str">
            <v>화물1담당</v>
          </cell>
          <cell r="F2228" t="str">
            <v>2653</v>
          </cell>
          <cell r="G2228" t="str">
            <v>2653</v>
          </cell>
          <cell r="H2228" t="str">
            <v>19900901</v>
          </cell>
          <cell r="I2228">
            <v>14485698</v>
          </cell>
        </row>
        <row r="2229">
          <cell r="A2229" t="str">
            <v>8110528</v>
          </cell>
          <cell r="B2229" t="str">
            <v>이　기　환</v>
          </cell>
          <cell r="C2229" t="str">
            <v>8110528이　기　환</v>
          </cell>
          <cell r="D2229" t="str">
            <v>CG42</v>
          </cell>
          <cell r="E2229" t="str">
            <v>화물1담당</v>
          </cell>
          <cell r="F2229" t="str">
            <v>2653</v>
          </cell>
          <cell r="G2229" t="str">
            <v>2653</v>
          </cell>
          <cell r="H2229" t="str">
            <v>19810301</v>
          </cell>
          <cell r="I2229">
            <v>35361956</v>
          </cell>
        </row>
        <row r="2230">
          <cell r="A2230" t="str">
            <v>9411480</v>
          </cell>
          <cell r="B2230" t="str">
            <v>이　덕　경</v>
          </cell>
          <cell r="C2230" t="str">
            <v>9411480이　덕　경</v>
          </cell>
          <cell r="D2230" t="str">
            <v>CG42</v>
          </cell>
          <cell r="E2230" t="str">
            <v>화물1담당</v>
          </cell>
          <cell r="F2230" t="str">
            <v>2653</v>
          </cell>
          <cell r="G2230" t="str">
            <v>2653</v>
          </cell>
          <cell r="H2230" t="str">
            <v>19940816</v>
          </cell>
          <cell r="I2230">
            <v>6891159</v>
          </cell>
        </row>
        <row r="2231">
          <cell r="A2231" t="str">
            <v>8610928</v>
          </cell>
          <cell r="B2231" t="str">
            <v>이　만　수</v>
          </cell>
          <cell r="C2231" t="str">
            <v>8610928이　만　수</v>
          </cell>
          <cell r="D2231" t="str">
            <v>CG42</v>
          </cell>
          <cell r="E2231" t="str">
            <v>화물1담당</v>
          </cell>
          <cell r="F2231" t="str">
            <v>2653</v>
          </cell>
          <cell r="G2231" t="str">
            <v>2653</v>
          </cell>
          <cell r="H2231" t="str">
            <v>19860911</v>
          </cell>
          <cell r="I2231">
            <v>23692145</v>
          </cell>
        </row>
        <row r="2232">
          <cell r="A2232" t="str">
            <v>9311433</v>
          </cell>
          <cell r="B2232" t="str">
            <v>이　명　구</v>
          </cell>
          <cell r="C2232" t="str">
            <v>9311433이　명　구</v>
          </cell>
          <cell r="D2232" t="str">
            <v>CG42</v>
          </cell>
          <cell r="E2232" t="str">
            <v>화물1담당</v>
          </cell>
          <cell r="F2232" t="str">
            <v>2653</v>
          </cell>
          <cell r="G2232" t="str">
            <v>2653</v>
          </cell>
          <cell r="H2232" t="str">
            <v>19930922</v>
          </cell>
          <cell r="I2232">
            <v>7655841</v>
          </cell>
        </row>
        <row r="2233">
          <cell r="A2233" t="str">
            <v>8610838</v>
          </cell>
          <cell r="B2233" t="str">
            <v>이　병　창</v>
          </cell>
          <cell r="C2233" t="str">
            <v>8610838이　병　창</v>
          </cell>
          <cell r="D2233" t="str">
            <v>CG42</v>
          </cell>
          <cell r="E2233" t="str">
            <v>화물1담당</v>
          </cell>
          <cell r="F2233" t="str">
            <v>2653</v>
          </cell>
          <cell r="G2233" t="str">
            <v>2653</v>
          </cell>
          <cell r="H2233" t="str">
            <v>19860911</v>
          </cell>
          <cell r="I2233">
            <v>24705870</v>
          </cell>
        </row>
        <row r="2234">
          <cell r="A2234" t="str">
            <v>9510175</v>
          </cell>
          <cell r="B2234" t="str">
            <v>이　상　운</v>
          </cell>
          <cell r="C2234" t="str">
            <v>9510175이　상　운</v>
          </cell>
          <cell r="D2234" t="str">
            <v>CG42</v>
          </cell>
          <cell r="E2234" t="str">
            <v>화물1담당</v>
          </cell>
          <cell r="F2234" t="str">
            <v>2653</v>
          </cell>
          <cell r="G2234" t="e">
            <v>#N/A</v>
          </cell>
          <cell r="H2234" t="str">
            <v>19950101</v>
          </cell>
          <cell r="I2234">
            <v>5700975</v>
          </cell>
          <cell r="J2234" t="str">
            <v>4 월</v>
          </cell>
          <cell r="K2234">
            <v>6018253</v>
          </cell>
        </row>
        <row r="2235">
          <cell r="A2235" t="str">
            <v>7710118</v>
          </cell>
          <cell r="B2235" t="str">
            <v>이　선　경</v>
          </cell>
          <cell r="C2235" t="str">
            <v>7710118이　선　경</v>
          </cell>
          <cell r="D2235" t="str">
            <v>CG42</v>
          </cell>
          <cell r="E2235" t="str">
            <v>화물1담당</v>
          </cell>
          <cell r="F2235" t="str">
            <v>2653</v>
          </cell>
          <cell r="G2235" t="str">
            <v>2654</v>
          </cell>
          <cell r="H2235" t="str">
            <v>19820401</v>
          </cell>
          <cell r="I2235">
            <v>41065939</v>
          </cell>
        </row>
        <row r="2236">
          <cell r="A2236" t="str">
            <v>9111216</v>
          </cell>
          <cell r="B2236" t="str">
            <v>이　승　재</v>
          </cell>
          <cell r="C2236" t="str">
            <v>9111216이　승　재</v>
          </cell>
          <cell r="D2236" t="str">
            <v>CG42</v>
          </cell>
          <cell r="E2236" t="str">
            <v>화물1담당</v>
          </cell>
          <cell r="F2236" t="str">
            <v>2653</v>
          </cell>
          <cell r="G2236" t="str">
            <v>2653</v>
          </cell>
          <cell r="H2236" t="str">
            <v>19910725</v>
          </cell>
          <cell r="I2236">
            <v>13171755</v>
          </cell>
        </row>
        <row r="2237">
          <cell r="A2237" t="str">
            <v>9411467</v>
          </cell>
          <cell r="B2237" t="str">
            <v>이　영　재</v>
          </cell>
          <cell r="C2237" t="str">
            <v>9411467이　영　재</v>
          </cell>
          <cell r="D2237" t="str">
            <v>CG42</v>
          </cell>
          <cell r="E2237" t="str">
            <v>화물1담당</v>
          </cell>
          <cell r="F2237" t="str">
            <v>2653</v>
          </cell>
          <cell r="G2237" t="str">
            <v>2653</v>
          </cell>
          <cell r="H2237" t="str">
            <v>19940816</v>
          </cell>
          <cell r="I2237">
            <v>6562402</v>
          </cell>
        </row>
        <row r="2238">
          <cell r="A2238" t="str">
            <v>8610535</v>
          </cell>
          <cell r="B2238" t="str">
            <v>이　장　복</v>
          </cell>
          <cell r="C2238" t="str">
            <v>8610535이　장　복</v>
          </cell>
          <cell r="D2238" t="str">
            <v>CG42</v>
          </cell>
          <cell r="E2238" t="str">
            <v>화물1담당</v>
          </cell>
          <cell r="F2238" t="str">
            <v>2653</v>
          </cell>
          <cell r="G2238" t="str">
            <v>2653</v>
          </cell>
          <cell r="H2238" t="str">
            <v>19860707</v>
          </cell>
          <cell r="I2238">
            <v>22824539</v>
          </cell>
        </row>
        <row r="2239">
          <cell r="A2239" t="str">
            <v>8811641</v>
          </cell>
          <cell r="B2239" t="str">
            <v>이　재　관</v>
          </cell>
          <cell r="C2239" t="str">
            <v>8811641이　재　관</v>
          </cell>
          <cell r="D2239" t="str">
            <v>CG42</v>
          </cell>
          <cell r="E2239" t="str">
            <v>화물1담당</v>
          </cell>
          <cell r="F2239" t="str">
            <v>2653</v>
          </cell>
          <cell r="G2239" t="str">
            <v>2653</v>
          </cell>
          <cell r="H2239" t="str">
            <v>19881018</v>
          </cell>
          <cell r="I2239">
            <v>21668431</v>
          </cell>
        </row>
        <row r="2240">
          <cell r="A2240" t="str">
            <v>8711190</v>
          </cell>
          <cell r="B2240" t="str">
            <v>이　재　두</v>
          </cell>
          <cell r="C2240" t="str">
            <v>8711190이　재　두</v>
          </cell>
          <cell r="D2240" t="str">
            <v>CG42</v>
          </cell>
          <cell r="E2240" t="str">
            <v>화물1담당</v>
          </cell>
          <cell r="F2240" t="str">
            <v>2653</v>
          </cell>
          <cell r="G2240" t="str">
            <v>2653</v>
          </cell>
          <cell r="H2240" t="str">
            <v>19870928</v>
          </cell>
          <cell r="I2240">
            <v>21747706</v>
          </cell>
        </row>
        <row r="2241">
          <cell r="A2241" t="str">
            <v>9712080</v>
          </cell>
          <cell r="B2241" t="str">
            <v>이　재　훈</v>
          </cell>
          <cell r="C2241" t="str">
            <v>9712080이　재　훈</v>
          </cell>
          <cell r="D2241" t="str">
            <v>CG42</v>
          </cell>
          <cell r="E2241" t="str">
            <v>화물1담당</v>
          </cell>
          <cell r="F2241" t="str">
            <v>2653</v>
          </cell>
          <cell r="G2241" t="str">
            <v>2653</v>
          </cell>
          <cell r="H2241" t="str">
            <v>19971101</v>
          </cell>
          <cell r="I2241">
            <v>2644726</v>
          </cell>
        </row>
        <row r="2242">
          <cell r="A2242" t="str">
            <v>9511705</v>
          </cell>
          <cell r="B2242" t="str">
            <v>이　종　호</v>
          </cell>
          <cell r="C2242" t="str">
            <v>9511705이　종　호</v>
          </cell>
          <cell r="D2242" t="str">
            <v>CG42</v>
          </cell>
          <cell r="E2242" t="str">
            <v>화물1담당</v>
          </cell>
          <cell r="F2242" t="str">
            <v>2653</v>
          </cell>
          <cell r="G2242" t="str">
            <v>2653</v>
          </cell>
          <cell r="H2242" t="str">
            <v>19951201</v>
          </cell>
          <cell r="I2242">
            <v>4972581</v>
          </cell>
        </row>
        <row r="2243">
          <cell r="A2243" t="str">
            <v>9010473</v>
          </cell>
          <cell r="B2243" t="str">
            <v>이　주　용</v>
          </cell>
          <cell r="C2243" t="str">
            <v>9010473이　주　용</v>
          </cell>
          <cell r="D2243" t="str">
            <v>CG42</v>
          </cell>
          <cell r="E2243" t="str">
            <v>화물1담당</v>
          </cell>
          <cell r="F2243" t="str">
            <v>2653</v>
          </cell>
          <cell r="G2243" t="str">
            <v>2653</v>
          </cell>
          <cell r="H2243" t="str">
            <v>19890729</v>
          </cell>
          <cell r="I2243">
            <v>15495009</v>
          </cell>
        </row>
        <row r="2244">
          <cell r="A2244" t="str">
            <v>8210081</v>
          </cell>
          <cell r="B2244" t="str">
            <v>이　중　만</v>
          </cell>
          <cell r="C2244" t="str">
            <v>8210081이　중　만</v>
          </cell>
          <cell r="D2244" t="str">
            <v>CG42</v>
          </cell>
          <cell r="E2244" t="str">
            <v>화물1담당</v>
          </cell>
          <cell r="F2244" t="str">
            <v>2653</v>
          </cell>
          <cell r="G2244" t="str">
            <v>2653</v>
          </cell>
          <cell r="H2244" t="str">
            <v>19820816</v>
          </cell>
          <cell r="I2244">
            <v>36826640</v>
          </cell>
        </row>
        <row r="2245">
          <cell r="A2245" t="str">
            <v>9411434</v>
          </cell>
          <cell r="B2245" t="str">
            <v>이　창　복</v>
          </cell>
          <cell r="C2245" t="str">
            <v>9411434이　창　복</v>
          </cell>
          <cell r="D2245" t="str">
            <v>CG42</v>
          </cell>
          <cell r="E2245" t="str">
            <v>화물1담당</v>
          </cell>
          <cell r="F2245" t="str">
            <v>2653</v>
          </cell>
          <cell r="G2245" t="str">
            <v>2653</v>
          </cell>
          <cell r="H2245" t="str">
            <v>19940816</v>
          </cell>
          <cell r="I2245">
            <v>6692485</v>
          </cell>
        </row>
        <row r="2246">
          <cell r="A2246" t="str">
            <v>9712304</v>
          </cell>
          <cell r="B2246" t="str">
            <v>이　학　범</v>
          </cell>
          <cell r="C2246" t="str">
            <v>9712304이　학　범</v>
          </cell>
          <cell r="D2246" t="str">
            <v>CG42</v>
          </cell>
          <cell r="E2246" t="str">
            <v>화물1담당</v>
          </cell>
          <cell r="F2246" t="str">
            <v>2653</v>
          </cell>
          <cell r="G2246" t="e">
            <v>#N/A</v>
          </cell>
          <cell r="H2246" t="str">
            <v>19971110</v>
          </cell>
          <cell r="I2246">
            <v>2365001</v>
          </cell>
          <cell r="J2246" t="str">
            <v>5 월</v>
          </cell>
          <cell r="K2246">
            <v>2718602</v>
          </cell>
        </row>
        <row r="2247">
          <cell r="A2247" t="str">
            <v>9311444</v>
          </cell>
          <cell r="B2247" t="str">
            <v>이　항　섭</v>
          </cell>
          <cell r="C2247" t="str">
            <v>9311444이　항　섭</v>
          </cell>
          <cell r="D2247" t="str">
            <v>CG42</v>
          </cell>
          <cell r="E2247" t="str">
            <v>화물1담당</v>
          </cell>
          <cell r="F2247" t="str">
            <v>2653</v>
          </cell>
          <cell r="G2247" t="str">
            <v>2653</v>
          </cell>
          <cell r="H2247" t="str">
            <v>19930922</v>
          </cell>
          <cell r="I2247">
            <v>8149943</v>
          </cell>
        </row>
        <row r="2248">
          <cell r="A2248" t="str">
            <v>8410386</v>
          </cell>
          <cell r="B2248" t="str">
            <v>이　희　정</v>
          </cell>
          <cell r="C2248" t="str">
            <v>8410386이　희　정</v>
          </cell>
          <cell r="D2248" t="str">
            <v>CG42</v>
          </cell>
          <cell r="E2248" t="str">
            <v>화물1담당</v>
          </cell>
          <cell r="F2248" t="str">
            <v>2653</v>
          </cell>
          <cell r="G2248" t="str">
            <v>2653</v>
          </cell>
          <cell r="H2248" t="str">
            <v>19841110</v>
          </cell>
          <cell r="I2248">
            <v>30518522</v>
          </cell>
        </row>
        <row r="2249">
          <cell r="A2249" t="str">
            <v>9110632</v>
          </cell>
          <cell r="B2249" t="str">
            <v>임　만　석</v>
          </cell>
          <cell r="C2249" t="str">
            <v>9110632임　만　석</v>
          </cell>
          <cell r="D2249" t="str">
            <v>CG42</v>
          </cell>
          <cell r="E2249" t="str">
            <v>화물1담당</v>
          </cell>
          <cell r="F2249" t="str">
            <v>2653</v>
          </cell>
          <cell r="G2249" t="str">
            <v>2653</v>
          </cell>
          <cell r="H2249" t="str">
            <v>19910601</v>
          </cell>
          <cell r="I2249">
            <v>11996503</v>
          </cell>
        </row>
        <row r="2250">
          <cell r="A2250" t="str">
            <v>9111958</v>
          </cell>
          <cell r="B2250" t="str">
            <v>임　병　선</v>
          </cell>
          <cell r="C2250" t="str">
            <v>9111958임　병　선</v>
          </cell>
          <cell r="D2250" t="str">
            <v>CG42</v>
          </cell>
          <cell r="E2250" t="str">
            <v>화물1담당</v>
          </cell>
          <cell r="F2250" t="str">
            <v>2653</v>
          </cell>
          <cell r="G2250" t="str">
            <v>2653</v>
          </cell>
          <cell r="H2250" t="str">
            <v>19911202</v>
          </cell>
          <cell r="I2250">
            <v>11966033</v>
          </cell>
        </row>
        <row r="2251">
          <cell r="A2251" t="str">
            <v>9310410</v>
          </cell>
          <cell r="B2251" t="str">
            <v>임　성　주</v>
          </cell>
          <cell r="C2251" t="str">
            <v>9310410임　성　주</v>
          </cell>
          <cell r="D2251" t="str">
            <v>CG42</v>
          </cell>
          <cell r="E2251" t="str">
            <v>화물1담당</v>
          </cell>
          <cell r="F2251" t="str">
            <v>2653</v>
          </cell>
          <cell r="G2251" t="str">
            <v>2653</v>
          </cell>
          <cell r="H2251" t="str">
            <v>19930510</v>
          </cell>
          <cell r="I2251">
            <v>8520261</v>
          </cell>
        </row>
        <row r="2252">
          <cell r="A2252" t="str">
            <v>8510027</v>
          </cell>
          <cell r="B2252" t="str">
            <v>임　정　규</v>
          </cell>
          <cell r="C2252" t="str">
            <v>8510027임　정　규</v>
          </cell>
          <cell r="D2252" t="str">
            <v>CG42</v>
          </cell>
          <cell r="E2252" t="str">
            <v>화물1담당</v>
          </cell>
          <cell r="F2252" t="str">
            <v>2653</v>
          </cell>
          <cell r="G2252" t="str">
            <v>2653</v>
          </cell>
          <cell r="H2252" t="str">
            <v>19850215</v>
          </cell>
          <cell r="I2252">
            <v>28174684</v>
          </cell>
        </row>
        <row r="2253">
          <cell r="A2253" t="str">
            <v>9012093</v>
          </cell>
          <cell r="B2253" t="str">
            <v>임　지　수</v>
          </cell>
          <cell r="C2253" t="str">
            <v>9012093임　지　수</v>
          </cell>
          <cell r="D2253" t="str">
            <v>CG42</v>
          </cell>
          <cell r="E2253" t="str">
            <v>화물1담당</v>
          </cell>
          <cell r="F2253" t="str">
            <v>2653</v>
          </cell>
          <cell r="G2253" t="str">
            <v>2653</v>
          </cell>
          <cell r="H2253" t="str">
            <v>19900625</v>
          </cell>
          <cell r="I2253">
            <v>14427318</v>
          </cell>
        </row>
        <row r="2254">
          <cell r="A2254" t="str">
            <v>8501668</v>
          </cell>
          <cell r="B2254" t="str">
            <v>임　춘　산</v>
          </cell>
          <cell r="C2254" t="str">
            <v>8501668임　춘　산</v>
          </cell>
          <cell r="D2254" t="str">
            <v>CG42</v>
          </cell>
          <cell r="E2254" t="str">
            <v>화물1담당</v>
          </cell>
          <cell r="F2254" t="str">
            <v>2653</v>
          </cell>
          <cell r="G2254" t="str">
            <v>2653</v>
          </cell>
          <cell r="H2254" t="str">
            <v>19850701</v>
          </cell>
          <cell r="I2254">
            <v>22897869</v>
          </cell>
        </row>
        <row r="2255">
          <cell r="A2255" t="str">
            <v>8110596</v>
          </cell>
          <cell r="B2255" t="str">
            <v>임　춘　택</v>
          </cell>
          <cell r="C2255" t="str">
            <v>8110596임　춘　택</v>
          </cell>
          <cell r="D2255" t="str">
            <v>CG42</v>
          </cell>
          <cell r="E2255" t="str">
            <v>화물1담당</v>
          </cell>
          <cell r="F2255" t="str">
            <v>2653</v>
          </cell>
          <cell r="G2255" t="str">
            <v>2653</v>
          </cell>
          <cell r="H2255" t="str">
            <v>19810301</v>
          </cell>
          <cell r="I2255">
            <v>37616600</v>
          </cell>
        </row>
        <row r="2256">
          <cell r="A2256" t="str">
            <v>8110304</v>
          </cell>
          <cell r="B2256" t="str">
            <v>장　국　천</v>
          </cell>
          <cell r="C2256" t="str">
            <v>8110304장　국　천</v>
          </cell>
          <cell r="D2256" t="str">
            <v>CG42</v>
          </cell>
          <cell r="E2256" t="str">
            <v>화물1담당</v>
          </cell>
          <cell r="F2256" t="str">
            <v>2653</v>
          </cell>
          <cell r="G2256" t="str">
            <v>2653</v>
          </cell>
          <cell r="H2256" t="str">
            <v>19810301</v>
          </cell>
          <cell r="I2256">
            <v>31145756</v>
          </cell>
        </row>
        <row r="2257">
          <cell r="A2257" t="str">
            <v>8111338</v>
          </cell>
          <cell r="B2257" t="str">
            <v>장　순　선</v>
          </cell>
          <cell r="C2257" t="str">
            <v>8111338장　순　선</v>
          </cell>
          <cell r="D2257" t="str">
            <v>CG42</v>
          </cell>
          <cell r="E2257" t="str">
            <v>화물1담당</v>
          </cell>
          <cell r="F2257" t="str">
            <v>2653</v>
          </cell>
          <cell r="G2257" t="str">
            <v>2653</v>
          </cell>
          <cell r="H2257" t="str">
            <v>19811101</v>
          </cell>
          <cell r="I2257">
            <v>30375463</v>
          </cell>
        </row>
        <row r="2258">
          <cell r="A2258" t="str">
            <v>8310273</v>
          </cell>
          <cell r="B2258" t="str">
            <v>장　인　홍</v>
          </cell>
          <cell r="C2258" t="str">
            <v>8310273장　인　홍</v>
          </cell>
          <cell r="D2258" t="str">
            <v>CG42</v>
          </cell>
          <cell r="E2258" t="str">
            <v>화물1담당</v>
          </cell>
          <cell r="F2258" t="str">
            <v>2653</v>
          </cell>
          <cell r="G2258" t="str">
            <v>2653</v>
          </cell>
          <cell r="H2258" t="str">
            <v>19831114</v>
          </cell>
          <cell r="I2258">
            <v>31091546</v>
          </cell>
        </row>
        <row r="2259">
          <cell r="A2259" t="str">
            <v>9110687</v>
          </cell>
          <cell r="B2259" t="str">
            <v>장　종　호</v>
          </cell>
          <cell r="C2259" t="str">
            <v>9110687장　종　호</v>
          </cell>
          <cell r="D2259" t="str">
            <v>CG42</v>
          </cell>
          <cell r="E2259" t="str">
            <v>화물1담당</v>
          </cell>
          <cell r="F2259" t="str">
            <v>2653</v>
          </cell>
          <cell r="G2259" t="str">
            <v>2653</v>
          </cell>
          <cell r="H2259" t="str">
            <v>19910601</v>
          </cell>
          <cell r="I2259">
            <v>11677368</v>
          </cell>
        </row>
        <row r="2260">
          <cell r="A2260" t="str">
            <v>9712394</v>
          </cell>
          <cell r="B2260" t="str">
            <v>장　진　덕</v>
          </cell>
          <cell r="C2260" t="str">
            <v>9712394장　진　덕</v>
          </cell>
          <cell r="D2260" t="str">
            <v>CG42</v>
          </cell>
          <cell r="E2260" t="str">
            <v>화물1담당</v>
          </cell>
          <cell r="F2260" t="str">
            <v>2653</v>
          </cell>
          <cell r="G2260" t="str">
            <v>2653</v>
          </cell>
          <cell r="H2260" t="str">
            <v>19971110</v>
          </cell>
          <cell r="I2260">
            <v>2406191</v>
          </cell>
        </row>
        <row r="2261">
          <cell r="A2261" t="str">
            <v>8711504</v>
          </cell>
          <cell r="B2261" t="str">
            <v>장　태　익</v>
          </cell>
          <cell r="C2261" t="str">
            <v>8711504장　태　익</v>
          </cell>
          <cell r="D2261" t="str">
            <v>CG42</v>
          </cell>
          <cell r="E2261" t="str">
            <v>화물1담당</v>
          </cell>
          <cell r="F2261" t="str">
            <v>2653</v>
          </cell>
          <cell r="G2261" t="str">
            <v>2653</v>
          </cell>
          <cell r="H2261" t="str">
            <v>19871123</v>
          </cell>
          <cell r="I2261">
            <v>21443576</v>
          </cell>
        </row>
        <row r="2262">
          <cell r="A2262" t="str">
            <v>8711256</v>
          </cell>
          <cell r="B2262" t="str">
            <v>전　종　휴</v>
          </cell>
          <cell r="C2262" t="str">
            <v>8711256전　종　휴</v>
          </cell>
          <cell r="D2262" t="str">
            <v>CG42</v>
          </cell>
          <cell r="E2262" t="str">
            <v>화물1담당</v>
          </cell>
          <cell r="F2262" t="str">
            <v>2653</v>
          </cell>
          <cell r="G2262" t="str">
            <v>2653</v>
          </cell>
          <cell r="H2262" t="str">
            <v>19870928</v>
          </cell>
          <cell r="I2262">
            <v>19235787</v>
          </cell>
        </row>
        <row r="2263">
          <cell r="A2263" t="str">
            <v>8111362</v>
          </cell>
          <cell r="B2263" t="str">
            <v>전　철　기</v>
          </cell>
          <cell r="C2263" t="str">
            <v>8111362전　철　기</v>
          </cell>
          <cell r="D2263" t="str">
            <v>CG42</v>
          </cell>
          <cell r="E2263" t="str">
            <v>화물1담당</v>
          </cell>
          <cell r="F2263" t="str">
            <v>2653</v>
          </cell>
          <cell r="G2263" t="str">
            <v>2653</v>
          </cell>
          <cell r="H2263" t="str">
            <v>19811101</v>
          </cell>
          <cell r="I2263">
            <v>36887315</v>
          </cell>
        </row>
        <row r="2264">
          <cell r="A2264" t="str">
            <v>8710255</v>
          </cell>
          <cell r="B2264" t="str">
            <v>정　래　선</v>
          </cell>
          <cell r="C2264" t="str">
            <v>8710255정　래　선</v>
          </cell>
          <cell r="D2264" t="str">
            <v>CG42</v>
          </cell>
          <cell r="E2264" t="str">
            <v>화물1담당</v>
          </cell>
          <cell r="F2264" t="str">
            <v>2653</v>
          </cell>
          <cell r="G2264" t="str">
            <v>2653</v>
          </cell>
          <cell r="H2264" t="str">
            <v>19870323</v>
          </cell>
          <cell r="I2264">
            <v>22844712</v>
          </cell>
        </row>
        <row r="2265">
          <cell r="A2265" t="str">
            <v>9612393</v>
          </cell>
          <cell r="B2265" t="str">
            <v>정　성　철</v>
          </cell>
          <cell r="C2265" t="str">
            <v>9612393정　성　철</v>
          </cell>
          <cell r="D2265" t="str">
            <v>CG42</v>
          </cell>
          <cell r="E2265" t="str">
            <v>화물1담당</v>
          </cell>
          <cell r="F2265" t="str">
            <v>2653</v>
          </cell>
          <cell r="G2265" t="str">
            <v>2653</v>
          </cell>
          <cell r="H2265" t="str">
            <v>19960916</v>
          </cell>
          <cell r="I2265">
            <v>4140002</v>
          </cell>
        </row>
        <row r="2266">
          <cell r="A2266" t="str">
            <v>8610118</v>
          </cell>
          <cell r="B2266" t="str">
            <v>정　을　수</v>
          </cell>
          <cell r="C2266" t="str">
            <v>8610118정　을　수</v>
          </cell>
          <cell r="D2266" t="str">
            <v>CG42</v>
          </cell>
          <cell r="E2266" t="str">
            <v>화물1담당</v>
          </cell>
          <cell r="F2266" t="str">
            <v>2653</v>
          </cell>
          <cell r="G2266" t="str">
            <v>2653</v>
          </cell>
          <cell r="H2266" t="str">
            <v>19860221</v>
          </cell>
          <cell r="I2266">
            <v>26729215</v>
          </cell>
        </row>
        <row r="2267">
          <cell r="A2267" t="str">
            <v>9711202</v>
          </cell>
          <cell r="B2267" t="str">
            <v>정　재　춘</v>
          </cell>
          <cell r="C2267" t="str">
            <v>9711202정　재　춘</v>
          </cell>
          <cell r="D2267" t="str">
            <v>CG42</v>
          </cell>
          <cell r="E2267" t="str">
            <v>화물1담당</v>
          </cell>
          <cell r="F2267" t="str">
            <v>2653</v>
          </cell>
          <cell r="G2267" t="str">
            <v>2653</v>
          </cell>
          <cell r="H2267" t="str">
            <v>19970710</v>
          </cell>
          <cell r="I2267">
            <v>2910704</v>
          </cell>
        </row>
        <row r="2268">
          <cell r="A2268" t="str">
            <v>9411682</v>
          </cell>
          <cell r="B2268" t="str">
            <v>정　정　섭</v>
          </cell>
          <cell r="C2268" t="str">
            <v>9411682정　정　섭</v>
          </cell>
          <cell r="D2268" t="str">
            <v>CG42</v>
          </cell>
          <cell r="E2268" t="str">
            <v>화물1담당</v>
          </cell>
          <cell r="F2268" t="str">
            <v>2653</v>
          </cell>
          <cell r="G2268" t="str">
            <v>2653</v>
          </cell>
          <cell r="H2268" t="str">
            <v>19940901</v>
          </cell>
          <cell r="I2268">
            <v>7111992</v>
          </cell>
        </row>
        <row r="2269">
          <cell r="A2269" t="str">
            <v>8110350</v>
          </cell>
          <cell r="B2269" t="str">
            <v>정　태　권</v>
          </cell>
          <cell r="C2269" t="str">
            <v>8110350정　태　권</v>
          </cell>
          <cell r="D2269" t="str">
            <v>CG42</v>
          </cell>
          <cell r="E2269" t="str">
            <v>화물1담당</v>
          </cell>
          <cell r="F2269" t="str">
            <v>2653</v>
          </cell>
          <cell r="G2269" t="str">
            <v>2653</v>
          </cell>
          <cell r="H2269" t="str">
            <v>19810301</v>
          </cell>
          <cell r="I2269">
            <v>37959607</v>
          </cell>
        </row>
        <row r="2270">
          <cell r="A2270" t="str">
            <v>9712552</v>
          </cell>
          <cell r="B2270" t="str">
            <v>조　민　우</v>
          </cell>
          <cell r="C2270" t="str">
            <v>9712552조　민　우</v>
          </cell>
          <cell r="D2270" t="str">
            <v>CG42</v>
          </cell>
          <cell r="E2270" t="str">
            <v>화물1담당</v>
          </cell>
          <cell r="F2270" t="str">
            <v>2653</v>
          </cell>
          <cell r="G2270" t="str">
            <v>2653</v>
          </cell>
          <cell r="H2270" t="str">
            <v>19971124</v>
          </cell>
          <cell r="I2270">
            <v>2567456</v>
          </cell>
        </row>
        <row r="2271">
          <cell r="A2271" t="str">
            <v>8310251</v>
          </cell>
          <cell r="B2271" t="str">
            <v>조　병　현</v>
          </cell>
          <cell r="C2271" t="str">
            <v>8310251조　병　현</v>
          </cell>
          <cell r="D2271" t="str">
            <v>CG42</v>
          </cell>
          <cell r="E2271" t="str">
            <v>화물1담당</v>
          </cell>
          <cell r="F2271" t="str">
            <v>2653</v>
          </cell>
          <cell r="G2271" t="str">
            <v>2653</v>
          </cell>
          <cell r="H2271" t="str">
            <v>19831114</v>
          </cell>
          <cell r="I2271">
            <v>31233616</v>
          </cell>
        </row>
        <row r="2272">
          <cell r="A2272" t="str">
            <v>9511323</v>
          </cell>
          <cell r="B2272" t="str">
            <v>조　원　철</v>
          </cell>
          <cell r="C2272" t="str">
            <v>9511323조　원　철</v>
          </cell>
          <cell r="D2272" t="str">
            <v>CG42</v>
          </cell>
          <cell r="E2272" t="str">
            <v>화물1담당</v>
          </cell>
          <cell r="F2272" t="str">
            <v>2653</v>
          </cell>
          <cell r="G2272" t="str">
            <v>2653</v>
          </cell>
          <cell r="H2272" t="str">
            <v>19950801</v>
          </cell>
          <cell r="I2272">
            <v>5650597</v>
          </cell>
        </row>
        <row r="2273">
          <cell r="A2273" t="str">
            <v>8611086</v>
          </cell>
          <cell r="B2273" t="str">
            <v>조　지　환</v>
          </cell>
          <cell r="C2273" t="str">
            <v>8611086조　지　환</v>
          </cell>
          <cell r="D2273" t="str">
            <v>CG42</v>
          </cell>
          <cell r="E2273" t="str">
            <v>화물1담당</v>
          </cell>
          <cell r="F2273" t="str">
            <v>2653</v>
          </cell>
          <cell r="G2273" t="str">
            <v>2653</v>
          </cell>
          <cell r="H2273" t="str">
            <v>19861226</v>
          </cell>
          <cell r="I2273">
            <v>21202127</v>
          </cell>
        </row>
        <row r="2274">
          <cell r="A2274" t="str">
            <v>9311984</v>
          </cell>
          <cell r="B2274" t="str">
            <v>조　형　철</v>
          </cell>
          <cell r="C2274" t="str">
            <v>9311984조　형　철</v>
          </cell>
          <cell r="D2274" t="str">
            <v>CG42</v>
          </cell>
          <cell r="E2274" t="str">
            <v>화물1담당</v>
          </cell>
          <cell r="F2274" t="str">
            <v>2653</v>
          </cell>
          <cell r="G2274" t="str">
            <v>2653</v>
          </cell>
          <cell r="H2274" t="str">
            <v>19931108</v>
          </cell>
          <cell r="I2274">
            <v>7231381</v>
          </cell>
        </row>
        <row r="2275">
          <cell r="A2275" t="str">
            <v>8610232</v>
          </cell>
          <cell r="B2275" t="str">
            <v>주　덕　창</v>
          </cell>
          <cell r="C2275" t="str">
            <v>8610232주　덕　창</v>
          </cell>
          <cell r="D2275" t="str">
            <v>CG42</v>
          </cell>
          <cell r="E2275" t="str">
            <v>화물1담당</v>
          </cell>
          <cell r="F2275" t="str">
            <v>2653</v>
          </cell>
          <cell r="G2275" t="str">
            <v>2653</v>
          </cell>
          <cell r="H2275" t="str">
            <v>19860401</v>
          </cell>
          <cell r="I2275">
            <v>21691477</v>
          </cell>
        </row>
        <row r="2276">
          <cell r="A2276" t="str">
            <v>8960163</v>
          </cell>
          <cell r="B2276" t="str">
            <v>진　금　희</v>
          </cell>
          <cell r="C2276" t="str">
            <v>8960163진　금　희</v>
          </cell>
          <cell r="D2276" t="str">
            <v>CG42</v>
          </cell>
          <cell r="E2276" t="str">
            <v>화물1담당</v>
          </cell>
          <cell r="F2276" t="str">
            <v>2653</v>
          </cell>
          <cell r="G2276" t="str">
            <v>2653</v>
          </cell>
          <cell r="H2276" t="str">
            <v>19891023</v>
          </cell>
          <cell r="I2276">
            <v>13032993</v>
          </cell>
        </row>
        <row r="2277">
          <cell r="A2277" t="str">
            <v>9710605</v>
          </cell>
          <cell r="B2277" t="str">
            <v>천　성　원</v>
          </cell>
          <cell r="C2277" t="str">
            <v>9710605천　성　원</v>
          </cell>
          <cell r="D2277" t="str">
            <v>CG42</v>
          </cell>
          <cell r="E2277" t="str">
            <v>화물1담당</v>
          </cell>
          <cell r="F2277" t="str">
            <v>2653</v>
          </cell>
          <cell r="G2277" t="str">
            <v>2653</v>
          </cell>
          <cell r="H2277" t="str">
            <v>19970317</v>
          </cell>
          <cell r="I2277">
            <v>2992398</v>
          </cell>
        </row>
        <row r="2278">
          <cell r="A2278" t="str">
            <v>9310882</v>
          </cell>
          <cell r="B2278" t="str">
            <v>최　광　석</v>
          </cell>
          <cell r="C2278" t="str">
            <v>9310882최　광　석</v>
          </cell>
          <cell r="D2278" t="str">
            <v>CG42</v>
          </cell>
          <cell r="E2278" t="str">
            <v>화물1담당</v>
          </cell>
          <cell r="F2278" t="str">
            <v>2653</v>
          </cell>
          <cell r="G2278" t="e">
            <v>#N/A</v>
          </cell>
          <cell r="H2278" t="str">
            <v>19930801</v>
          </cell>
          <cell r="I2278">
            <v>9235467</v>
          </cell>
          <cell r="J2278" t="str">
            <v>12 월</v>
          </cell>
          <cell r="K2278">
            <v>12008352</v>
          </cell>
        </row>
        <row r="2279">
          <cell r="A2279" t="str">
            <v>8811257</v>
          </cell>
          <cell r="B2279" t="str">
            <v>최　선　규</v>
          </cell>
          <cell r="C2279" t="str">
            <v>8811257최　선　규</v>
          </cell>
          <cell r="D2279" t="str">
            <v>CG42</v>
          </cell>
          <cell r="E2279" t="str">
            <v>화물1담당</v>
          </cell>
          <cell r="F2279" t="str">
            <v>2653</v>
          </cell>
          <cell r="G2279" t="str">
            <v>2653</v>
          </cell>
          <cell r="H2279" t="str">
            <v>19880905</v>
          </cell>
          <cell r="I2279">
            <v>21144422</v>
          </cell>
        </row>
        <row r="2280">
          <cell r="A2280" t="str">
            <v>9411096</v>
          </cell>
          <cell r="B2280" t="str">
            <v>최　영　문</v>
          </cell>
          <cell r="C2280" t="str">
            <v>9411096최　영　문</v>
          </cell>
          <cell r="D2280" t="str">
            <v>CG42</v>
          </cell>
          <cell r="E2280" t="str">
            <v>화물1담당</v>
          </cell>
          <cell r="F2280" t="str">
            <v>2653</v>
          </cell>
          <cell r="G2280" t="str">
            <v>2653</v>
          </cell>
          <cell r="H2280" t="str">
            <v>19940616</v>
          </cell>
          <cell r="I2280">
            <v>7538494</v>
          </cell>
        </row>
        <row r="2281">
          <cell r="A2281" t="str">
            <v>9511187</v>
          </cell>
          <cell r="B2281" t="str">
            <v>최　원　일</v>
          </cell>
          <cell r="C2281" t="str">
            <v>9511187최　원　일</v>
          </cell>
          <cell r="D2281" t="str">
            <v>CG42</v>
          </cell>
          <cell r="E2281" t="str">
            <v>화물1담당</v>
          </cell>
          <cell r="F2281" t="str">
            <v>2653</v>
          </cell>
          <cell r="G2281" t="str">
            <v>2653</v>
          </cell>
          <cell r="H2281" t="str">
            <v>19950801</v>
          </cell>
          <cell r="I2281">
            <v>5237375</v>
          </cell>
        </row>
        <row r="2282">
          <cell r="A2282" t="str">
            <v>9612720</v>
          </cell>
          <cell r="B2282" t="str">
            <v>최　정　원</v>
          </cell>
          <cell r="C2282" t="str">
            <v>9612720최　정　원</v>
          </cell>
          <cell r="D2282" t="str">
            <v>CG42</v>
          </cell>
          <cell r="E2282" t="str">
            <v>화물1담당</v>
          </cell>
          <cell r="F2282" t="str">
            <v>2653</v>
          </cell>
          <cell r="G2282" t="str">
            <v>2653</v>
          </cell>
          <cell r="H2282" t="str">
            <v>19961201</v>
          </cell>
          <cell r="I2282">
            <v>3511757</v>
          </cell>
        </row>
        <row r="2283">
          <cell r="A2283" t="str">
            <v>8111272</v>
          </cell>
          <cell r="B2283" t="str">
            <v>최　종　두</v>
          </cell>
          <cell r="C2283" t="str">
            <v>8111272최　종　두</v>
          </cell>
          <cell r="D2283" t="str">
            <v>CG42</v>
          </cell>
          <cell r="E2283" t="str">
            <v>화물1담당</v>
          </cell>
          <cell r="F2283" t="str">
            <v>2653</v>
          </cell>
          <cell r="G2283" t="str">
            <v>2653</v>
          </cell>
          <cell r="H2283" t="str">
            <v>19811101</v>
          </cell>
          <cell r="I2283">
            <v>33978399</v>
          </cell>
        </row>
        <row r="2284">
          <cell r="A2284" t="str">
            <v>9610626</v>
          </cell>
          <cell r="B2284" t="str">
            <v>최　헌　일</v>
          </cell>
          <cell r="C2284" t="str">
            <v>9610626최　헌　일</v>
          </cell>
          <cell r="D2284" t="str">
            <v>CG42</v>
          </cell>
          <cell r="E2284" t="str">
            <v>화물1담당</v>
          </cell>
          <cell r="F2284" t="str">
            <v>2653</v>
          </cell>
          <cell r="G2284" t="str">
            <v>2653</v>
          </cell>
          <cell r="H2284" t="str">
            <v>19960601</v>
          </cell>
          <cell r="I2284">
            <v>4282088</v>
          </cell>
        </row>
        <row r="2285">
          <cell r="A2285" t="str">
            <v>8711076</v>
          </cell>
          <cell r="B2285" t="str">
            <v>최　효　철</v>
          </cell>
          <cell r="C2285" t="str">
            <v>8711076최　효　철</v>
          </cell>
          <cell r="D2285" t="str">
            <v>CG42</v>
          </cell>
          <cell r="E2285" t="str">
            <v>화물1담당</v>
          </cell>
          <cell r="F2285" t="str">
            <v>2653</v>
          </cell>
          <cell r="G2285" t="str">
            <v>2653</v>
          </cell>
          <cell r="H2285" t="str">
            <v>19870918</v>
          </cell>
          <cell r="I2285">
            <v>24224561</v>
          </cell>
        </row>
        <row r="2286">
          <cell r="A2286" t="str">
            <v>8710997</v>
          </cell>
          <cell r="B2286" t="str">
            <v>하　봉　규</v>
          </cell>
          <cell r="C2286" t="str">
            <v>8710997하　봉　규</v>
          </cell>
          <cell r="D2286" t="str">
            <v>CG42</v>
          </cell>
          <cell r="E2286" t="str">
            <v>화물1담당</v>
          </cell>
          <cell r="F2286" t="str">
            <v>2653</v>
          </cell>
          <cell r="G2286" t="str">
            <v>2653</v>
          </cell>
          <cell r="H2286" t="str">
            <v>19870907</v>
          </cell>
          <cell r="I2286">
            <v>21485211</v>
          </cell>
        </row>
        <row r="2287">
          <cell r="A2287" t="str">
            <v>8610085</v>
          </cell>
          <cell r="B2287" t="str">
            <v>한　당　수</v>
          </cell>
          <cell r="C2287" t="str">
            <v>8610085한　당　수</v>
          </cell>
          <cell r="D2287" t="str">
            <v>CG42</v>
          </cell>
          <cell r="E2287" t="str">
            <v>화물1담당</v>
          </cell>
          <cell r="F2287" t="str">
            <v>2653</v>
          </cell>
          <cell r="G2287" t="str">
            <v>2653</v>
          </cell>
          <cell r="H2287" t="str">
            <v>19860130</v>
          </cell>
          <cell r="I2287">
            <v>27242126</v>
          </cell>
        </row>
        <row r="2288">
          <cell r="A2288" t="str">
            <v>9610391</v>
          </cell>
          <cell r="B2288" t="str">
            <v>한　민　용</v>
          </cell>
          <cell r="C2288" t="str">
            <v>9610391한　민　용</v>
          </cell>
          <cell r="D2288" t="str">
            <v>CG42</v>
          </cell>
          <cell r="E2288" t="str">
            <v>화물1담당</v>
          </cell>
          <cell r="F2288" t="str">
            <v>2653</v>
          </cell>
          <cell r="G2288" t="str">
            <v>2653</v>
          </cell>
          <cell r="H2288" t="str">
            <v>19960601</v>
          </cell>
          <cell r="I2288">
            <v>4043714</v>
          </cell>
        </row>
        <row r="2289">
          <cell r="A2289" t="str">
            <v>8111406</v>
          </cell>
          <cell r="B2289" t="str">
            <v>한　정　삼</v>
          </cell>
          <cell r="C2289" t="str">
            <v>8111406한　정　삼</v>
          </cell>
          <cell r="D2289" t="str">
            <v>CG42</v>
          </cell>
          <cell r="E2289" t="str">
            <v>화물1담당</v>
          </cell>
          <cell r="F2289" t="str">
            <v>2653</v>
          </cell>
          <cell r="G2289" t="str">
            <v>2653</v>
          </cell>
          <cell r="H2289" t="str">
            <v>19811101</v>
          </cell>
          <cell r="I2289">
            <v>29723210</v>
          </cell>
        </row>
        <row r="2290">
          <cell r="A2290" t="str">
            <v>9311883</v>
          </cell>
          <cell r="B2290" t="str">
            <v>함　기　역</v>
          </cell>
          <cell r="C2290" t="str">
            <v>9311883함　기　역</v>
          </cell>
          <cell r="D2290" t="str">
            <v>CG42</v>
          </cell>
          <cell r="E2290" t="str">
            <v>화물1담당</v>
          </cell>
          <cell r="F2290" t="str">
            <v>2653</v>
          </cell>
          <cell r="G2290" t="str">
            <v>2653</v>
          </cell>
          <cell r="H2290" t="str">
            <v>19931108</v>
          </cell>
          <cell r="I2290">
            <v>6996894</v>
          </cell>
        </row>
        <row r="2291">
          <cell r="A2291" t="str">
            <v>8310183</v>
          </cell>
          <cell r="B2291" t="str">
            <v>허　대　오</v>
          </cell>
          <cell r="C2291" t="str">
            <v>8310183허　대　오</v>
          </cell>
          <cell r="D2291" t="str">
            <v>CG42</v>
          </cell>
          <cell r="E2291" t="str">
            <v>화물1담당</v>
          </cell>
          <cell r="F2291" t="str">
            <v>2653</v>
          </cell>
          <cell r="G2291" t="str">
            <v>2653</v>
          </cell>
          <cell r="H2291" t="str">
            <v>19830816</v>
          </cell>
          <cell r="I2291">
            <v>31397494</v>
          </cell>
        </row>
        <row r="2292">
          <cell r="A2292" t="str">
            <v>8710468</v>
          </cell>
          <cell r="B2292" t="str">
            <v>허　창　범</v>
          </cell>
          <cell r="C2292" t="str">
            <v>8710468허　창　범</v>
          </cell>
          <cell r="D2292" t="str">
            <v>CG42</v>
          </cell>
          <cell r="E2292" t="str">
            <v>화물1담당</v>
          </cell>
          <cell r="F2292" t="str">
            <v>2653</v>
          </cell>
          <cell r="G2292" t="str">
            <v>2653</v>
          </cell>
          <cell r="H2292" t="str">
            <v>19870427</v>
          </cell>
          <cell r="I2292">
            <v>25491540</v>
          </cell>
        </row>
        <row r="2293">
          <cell r="A2293" t="str">
            <v>9550405</v>
          </cell>
          <cell r="B2293" t="str">
            <v>홍　륜　리</v>
          </cell>
          <cell r="C2293" t="str">
            <v>9550405홍　륜　리</v>
          </cell>
          <cell r="D2293" t="str">
            <v>CG42</v>
          </cell>
          <cell r="E2293" t="str">
            <v>화물1담당</v>
          </cell>
          <cell r="F2293" t="str">
            <v>2653</v>
          </cell>
          <cell r="G2293" t="str">
            <v>2653</v>
          </cell>
          <cell r="H2293" t="str">
            <v>19950916</v>
          </cell>
          <cell r="I2293">
            <v>5076878</v>
          </cell>
        </row>
        <row r="2294">
          <cell r="A2294" t="str">
            <v>8711223</v>
          </cell>
          <cell r="B2294" t="str">
            <v>홍　만　표</v>
          </cell>
          <cell r="C2294" t="str">
            <v>8711223홍　만　표</v>
          </cell>
          <cell r="D2294" t="str">
            <v>CG42</v>
          </cell>
          <cell r="E2294" t="str">
            <v>화물1담당</v>
          </cell>
          <cell r="F2294" t="str">
            <v>2653</v>
          </cell>
          <cell r="G2294" t="str">
            <v>2653</v>
          </cell>
          <cell r="H2294" t="str">
            <v>19870928</v>
          </cell>
          <cell r="I2294">
            <v>17912569</v>
          </cell>
        </row>
        <row r="2295">
          <cell r="A2295" t="str">
            <v>9110608</v>
          </cell>
          <cell r="B2295" t="str">
            <v>홍　성　환</v>
          </cell>
          <cell r="C2295" t="str">
            <v>9110608홍　성　환</v>
          </cell>
          <cell r="D2295" t="str">
            <v>CG42</v>
          </cell>
          <cell r="E2295" t="str">
            <v>화물1담당</v>
          </cell>
          <cell r="F2295" t="str">
            <v>2653</v>
          </cell>
          <cell r="G2295" t="str">
            <v>2653</v>
          </cell>
          <cell r="H2295" t="str">
            <v>19910601</v>
          </cell>
          <cell r="I2295">
            <v>11966769</v>
          </cell>
        </row>
        <row r="2296">
          <cell r="A2296" t="str">
            <v>9311128</v>
          </cell>
          <cell r="B2296" t="str">
            <v>홍　양　수</v>
          </cell>
          <cell r="C2296" t="str">
            <v>9311128홍　양　수</v>
          </cell>
          <cell r="D2296" t="str">
            <v>CG42</v>
          </cell>
          <cell r="E2296" t="str">
            <v>화물1담당</v>
          </cell>
          <cell r="F2296" t="str">
            <v>2653</v>
          </cell>
          <cell r="G2296" t="str">
            <v>2653</v>
          </cell>
          <cell r="H2296" t="str">
            <v>19930901</v>
          </cell>
          <cell r="I2296">
            <v>7829805</v>
          </cell>
        </row>
        <row r="2297">
          <cell r="A2297" t="str">
            <v>8610221</v>
          </cell>
          <cell r="B2297" t="str">
            <v>홍　창　기</v>
          </cell>
          <cell r="C2297" t="str">
            <v>8610221홍　창　기</v>
          </cell>
          <cell r="D2297" t="str">
            <v>CG42</v>
          </cell>
          <cell r="E2297" t="str">
            <v>화물1담당</v>
          </cell>
          <cell r="F2297" t="str">
            <v>2653</v>
          </cell>
          <cell r="G2297" t="str">
            <v>2653</v>
          </cell>
          <cell r="H2297" t="str">
            <v>19860401</v>
          </cell>
          <cell r="I2297">
            <v>23286830</v>
          </cell>
        </row>
        <row r="2298">
          <cell r="A2298" t="str">
            <v>9410444</v>
          </cell>
          <cell r="B2298" t="str">
            <v>황　대　진</v>
          </cell>
          <cell r="C2298" t="str">
            <v>9410444황　대　진</v>
          </cell>
          <cell r="D2298" t="str">
            <v>CG42</v>
          </cell>
          <cell r="E2298" t="str">
            <v>화물1담당</v>
          </cell>
          <cell r="F2298" t="str">
            <v>2653</v>
          </cell>
          <cell r="G2298" t="str">
            <v>2653</v>
          </cell>
          <cell r="H2298" t="str">
            <v>19940416</v>
          </cell>
          <cell r="I2298">
            <v>8350862</v>
          </cell>
        </row>
        <row r="2299">
          <cell r="A2299" t="str">
            <v>7900413</v>
          </cell>
          <cell r="B2299" t="str">
            <v>황　봉　수</v>
          </cell>
          <cell r="C2299" t="str">
            <v>7900413황　봉　수</v>
          </cell>
          <cell r="D2299" t="str">
            <v>CG42</v>
          </cell>
          <cell r="E2299" t="str">
            <v>화물1담당</v>
          </cell>
          <cell r="F2299" t="str">
            <v>2653</v>
          </cell>
          <cell r="G2299" t="str">
            <v>2653</v>
          </cell>
          <cell r="H2299" t="str">
            <v>19790510</v>
          </cell>
          <cell r="I2299">
            <v>32752946</v>
          </cell>
        </row>
        <row r="2300">
          <cell r="A2300" t="str">
            <v>8800694</v>
          </cell>
          <cell r="B2300" t="str">
            <v>강　창　식</v>
          </cell>
          <cell r="C2300" t="str">
            <v>8800694강　창　식</v>
          </cell>
          <cell r="D2300" t="str">
            <v>CG44</v>
          </cell>
          <cell r="E2300" t="str">
            <v>화물1담당</v>
          </cell>
          <cell r="F2300" t="str">
            <v>2653</v>
          </cell>
          <cell r="G2300" t="e">
            <v>#N/A</v>
          </cell>
          <cell r="H2300" t="str">
            <v>19880901</v>
          </cell>
          <cell r="I2300">
            <v>14002724</v>
          </cell>
          <cell r="J2300" t="str">
            <v>6 월</v>
          </cell>
          <cell r="K2300">
            <v>14613810</v>
          </cell>
        </row>
        <row r="2301">
          <cell r="A2301" t="str">
            <v>8911124</v>
          </cell>
          <cell r="B2301" t="str">
            <v>강　한　암</v>
          </cell>
          <cell r="C2301" t="str">
            <v>8911124강　한　암</v>
          </cell>
          <cell r="D2301" t="str">
            <v>CG44</v>
          </cell>
          <cell r="E2301" t="str">
            <v>화물1담당</v>
          </cell>
          <cell r="F2301" t="str">
            <v>2653</v>
          </cell>
          <cell r="G2301" t="str">
            <v>2653</v>
          </cell>
          <cell r="H2301" t="str">
            <v>19891018</v>
          </cell>
          <cell r="I2301">
            <v>14977812</v>
          </cell>
        </row>
        <row r="2302">
          <cell r="A2302" t="str">
            <v>9511841</v>
          </cell>
          <cell r="B2302" t="str">
            <v>고　삼　룡</v>
          </cell>
          <cell r="C2302" t="str">
            <v>9511841고　삼　룡</v>
          </cell>
          <cell r="D2302" t="str">
            <v>CG44</v>
          </cell>
          <cell r="E2302" t="str">
            <v>화물1담당</v>
          </cell>
          <cell r="F2302" t="str">
            <v>2653</v>
          </cell>
          <cell r="G2302" t="str">
            <v>2653</v>
          </cell>
          <cell r="H2302" t="str">
            <v>19951201</v>
          </cell>
          <cell r="I2302">
            <v>4648885</v>
          </cell>
        </row>
        <row r="2303">
          <cell r="A2303" t="str">
            <v>8110102</v>
          </cell>
          <cell r="B2303" t="str">
            <v>고　제　춘</v>
          </cell>
          <cell r="C2303" t="str">
            <v>8110102고　제　춘</v>
          </cell>
          <cell r="D2303" t="str">
            <v>CG44</v>
          </cell>
          <cell r="E2303" t="str">
            <v>화물1담당</v>
          </cell>
          <cell r="F2303" t="str">
            <v>2653</v>
          </cell>
          <cell r="G2303" t="str">
            <v>2653</v>
          </cell>
          <cell r="H2303" t="str">
            <v>19810301</v>
          </cell>
          <cell r="I2303">
            <v>47056943</v>
          </cell>
        </row>
        <row r="2304">
          <cell r="A2304" t="str">
            <v>8710391</v>
          </cell>
          <cell r="B2304" t="str">
            <v>김　교　식</v>
          </cell>
          <cell r="C2304" t="str">
            <v>8710391김　교　식</v>
          </cell>
          <cell r="D2304" t="str">
            <v>CG44</v>
          </cell>
          <cell r="E2304" t="str">
            <v>화물1담당</v>
          </cell>
          <cell r="F2304" t="str">
            <v>2653</v>
          </cell>
          <cell r="G2304" t="str">
            <v>2653</v>
          </cell>
          <cell r="H2304" t="str">
            <v>19870427</v>
          </cell>
          <cell r="I2304">
            <v>20906061</v>
          </cell>
        </row>
        <row r="2305">
          <cell r="A2305" t="str">
            <v>9212488</v>
          </cell>
          <cell r="B2305" t="str">
            <v>김　금　수</v>
          </cell>
          <cell r="C2305" t="str">
            <v>9212488김　금　수</v>
          </cell>
          <cell r="D2305" t="str">
            <v>CG44</v>
          </cell>
          <cell r="E2305" t="str">
            <v>화물1담당</v>
          </cell>
          <cell r="F2305" t="str">
            <v>2653</v>
          </cell>
          <cell r="G2305" t="str">
            <v>2653</v>
          </cell>
          <cell r="H2305" t="str">
            <v>19921221</v>
          </cell>
          <cell r="I2305">
            <v>9459716</v>
          </cell>
        </row>
        <row r="2306">
          <cell r="A2306" t="str">
            <v>8910775</v>
          </cell>
          <cell r="B2306" t="str">
            <v>김　기　호</v>
          </cell>
          <cell r="C2306" t="str">
            <v>8910775김　기　호</v>
          </cell>
          <cell r="D2306" t="str">
            <v>CG44</v>
          </cell>
          <cell r="E2306" t="str">
            <v>화물1담당</v>
          </cell>
          <cell r="F2306" t="str">
            <v>2653</v>
          </cell>
          <cell r="G2306" t="str">
            <v>2653</v>
          </cell>
          <cell r="H2306" t="str">
            <v>19881031</v>
          </cell>
          <cell r="I2306">
            <v>16253913</v>
          </cell>
        </row>
        <row r="2307">
          <cell r="A2307" t="str">
            <v>8111327</v>
          </cell>
          <cell r="B2307" t="str">
            <v>김　대　식</v>
          </cell>
          <cell r="C2307" t="str">
            <v>8111327김　대　식</v>
          </cell>
          <cell r="D2307" t="str">
            <v>CG44</v>
          </cell>
          <cell r="E2307" t="str">
            <v>화물1담당</v>
          </cell>
          <cell r="F2307" t="str">
            <v>2653</v>
          </cell>
          <cell r="G2307" t="str">
            <v>2653</v>
          </cell>
          <cell r="H2307" t="str">
            <v>19811101</v>
          </cell>
          <cell r="I2307">
            <v>39019715</v>
          </cell>
        </row>
        <row r="2308">
          <cell r="A2308" t="str">
            <v>9510366</v>
          </cell>
          <cell r="B2308" t="str">
            <v>김　동　인</v>
          </cell>
          <cell r="C2308" t="str">
            <v>9510366김　동　인</v>
          </cell>
          <cell r="D2308" t="str">
            <v>CG44</v>
          </cell>
          <cell r="E2308" t="str">
            <v>화물1담당</v>
          </cell>
          <cell r="F2308" t="str">
            <v>2653</v>
          </cell>
          <cell r="G2308" t="str">
            <v>2653</v>
          </cell>
          <cell r="H2308" t="str">
            <v>19950301</v>
          </cell>
          <cell r="I2308">
            <v>5386551</v>
          </cell>
        </row>
        <row r="2309">
          <cell r="A2309" t="str">
            <v>9010618</v>
          </cell>
          <cell r="B2309" t="str">
            <v>김　선　영</v>
          </cell>
          <cell r="C2309" t="str">
            <v>9010618김　선　영</v>
          </cell>
          <cell r="D2309" t="str">
            <v>CG44</v>
          </cell>
          <cell r="E2309" t="str">
            <v>화물1담당</v>
          </cell>
          <cell r="F2309" t="str">
            <v>2653</v>
          </cell>
          <cell r="G2309" t="str">
            <v>2653</v>
          </cell>
          <cell r="H2309" t="str">
            <v>19900507</v>
          </cell>
          <cell r="I2309">
            <v>16889343</v>
          </cell>
        </row>
        <row r="2310">
          <cell r="A2310" t="str">
            <v>9110970</v>
          </cell>
          <cell r="B2310" t="str">
            <v>김　성　순</v>
          </cell>
          <cell r="C2310" t="str">
            <v>9110970김　성　순</v>
          </cell>
          <cell r="D2310" t="str">
            <v>CG44</v>
          </cell>
          <cell r="E2310" t="str">
            <v>화물1담당</v>
          </cell>
          <cell r="F2310" t="str">
            <v>2653</v>
          </cell>
          <cell r="G2310" t="str">
            <v>2653</v>
          </cell>
          <cell r="H2310" t="str">
            <v>19910701</v>
          </cell>
          <cell r="I2310">
            <v>12122773</v>
          </cell>
        </row>
        <row r="2311">
          <cell r="A2311" t="str">
            <v>9111734</v>
          </cell>
          <cell r="B2311" t="str">
            <v>김　성　환</v>
          </cell>
          <cell r="C2311" t="str">
            <v>9111734김　성　환</v>
          </cell>
          <cell r="D2311" t="str">
            <v>CG44</v>
          </cell>
          <cell r="E2311" t="str">
            <v>화물1담당</v>
          </cell>
          <cell r="F2311" t="str">
            <v>2653</v>
          </cell>
          <cell r="G2311" t="str">
            <v>2653</v>
          </cell>
          <cell r="H2311" t="str">
            <v>19911101</v>
          </cell>
          <cell r="I2311">
            <v>11876351</v>
          </cell>
        </row>
        <row r="2312">
          <cell r="A2312" t="str">
            <v>9411232</v>
          </cell>
          <cell r="B2312" t="str">
            <v>김　수　균</v>
          </cell>
          <cell r="C2312" t="str">
            <v>9411232김　수　균</v>
          </cell>
          <cell r="D2312" t="str">
            <v>CG44</v>
          </cell>
          <cell r="E2312" t="str">
            <v>화물1담당</v>
          </cell>
          <cell r="F2312" t="str">
            <v>2653</v>
          </cell>
          <cell r="G2312" t="str">
            <v>2653</v>
          </cell>
          <cell r="H2312" t="str">
            <v>19940721</v>
          </cell>
          <cell r="I2312">
            <v>6014441</v>
          </cell>
        </row>
        <row r="2313">
          <cell r="A2313" t="str">
            <v>9710853</v>
          </cell>
          <cell r="B2313" t="str">
            <v>김　영　길</v>
          </cell>
          <cell r="C2313" t="str">
            <v>9710853김　영　길</v>
          </cell>
          <cell r="D2313" t="str">
            <v>CG44</v>
          </cell>
          <cell r="E2313" t="str">
            <v>화물1담당</v>
          </cell>
          <cell r="F2313" t="str">
            <v>2653</v>
          </cell>
          <cell r="G2313" t="str">
            <v>2653</v>
          </cell>
          <cell r="H2313" t="str">
            <v>19970516</v>
          </cell>
          <cell r="I2313">
            <v>2938205</v>
          </cell>
        </row>
        <row r="2314">
          <cell r="A2314" t="str">
            <v>8710852</v>
          </cell>
          <cell r="B2314" t="str">
            <v>김　영　택</v>
          </cell>
          <cell r="C2314" t="str">
            <v>8710852김　영　택</v>
          </cell>
          <cell r="D2314" t="str">
            <v>CG44</v>
          </cell>
          <cell r="E2314" t="str">
            <v>화물1담당</v>
          </cell>
          <cell r="F2314" t="str">
            <v>2653</v>
          </cell>
          <cell r="G2314" t="str">
            <v>2653</v>
          </cell>
          <cell r="H2314" t="str">
            <v>19870810</v>
          </cell>
          <cell r="I2314">
            <v>18359464</v>
          </cell>
        </row>
        <row r="2315">
          <cell r="A2315" t="str">
            <v>9012420</v>
          </cell>
          <cell r="B2315" t="str">
            <v>김　용　철</v>
          </cell>
          <cell r="C2315" t="str">
            <v>9012420김　용　철</v>
          </cell>
          <cell r="D2315" t="str">
            <v>CG44</v>
          </cell>
          <cell r="E2315" t="str">
            <v>화물1담당</v>
          </cell>
          <cell r="F2315" t="str">
            <v>2653</v>
          </cell>
          <cell r="G2315" t="str">
            <v>2653</v>
          </cell>
          <cell r="H2315" t="str">
            <v>19900901</v>
          </cell>
          <cell r="I2315">
            <v>13356036</v>
          </cell>
        </row>
        <row r="2316">
          <cell r="A2316" t="str">
            <v>9211770</v>
          </cell>
          <cell r="B2316" t="str">
            <v>김　용　태</v>
          </cell>
          <cell r="C2316" t="str">
            <v>9211770김　용　태</v>
          </cell>
          <cell r="D2316" t="str">
            <v>CG44</v>
          </cell>
          <cell r="E2316" t="str">
            <v>화물1담당</v>
          </cell>
          <cell r="F2316" t="str">
            <v>2653</v>
          </cell>
          <cell r="G2316" t="str">
            <v>2653</v>
          </cell>
          <cell r="H2316" t="str">
            <v>19920801</v>
          </cell>
          <cell r="I2316">
            <v>8774235</v>
          </cell>
        </row>
        <row r="2317">
          <cell r="A2317" t="str">
            <v>8610276</v>
          </cell>
          <cell r="B2317" t="str">
            <v>김　용　현</v>
          </cell>
          <cell r="C2317" t="str">
            <v>8610276김　용　현</v>
          </cell>
          <cell r="D2317" t="str">
            <v>CG44</v>
          </cell>
          <cell r="E2317" t="str">
            <v>화물1담당</v>
          </cell>
          <cell r="F2317" t="str">
            <v>2653</v>
          </cell>
          <cell r="G2317" t="str">
            <v>2653</v>
          </cell>
          <cell r="H2317" t="str">
            <v>19860401</v>
          </cell>
          <cell r="I2317">
            <v>24755033</v>
          </cell>
        </row>
        <row r="2318">
          <cell r="A2318" t="str">
            <v>9210251</v>
          </cell>
          <cell r="B2318" t="str">
            <v>김　은　남</v>
          </cell>
          <cell r="C2318" t="str">
            <v>9210251김　은　남</v>
          </cell>
          <cell r="D2318" t="str">
            <v>CG44</v>
          </cell>
          <cell r="E2318" t="str">
            <v>화물1담당</v>
          </cell>
          <cell r="F2318" t="str">
            <v>2653</v>
          </cell>
          <cell r="G2318" t="str">
            <v>2653</v>
          </cell>
          <cell r="H2318" t="str">
            <v>19920301</v>
          </cell>
          <cell r="I2318">
            <v>10727003</v>
          </cell>
        </row>
        <row r="2319">
          <cell r="A2319" t="str">
            <v>8510231</v>
          </cell>
          <cell r="B2319" t="str">
            <v>김　일　남</v>
          </cell>
          <cell r="C2319" t="str">
            <v>8510231김　일　남</v>
          </cell>
          <cell r="D2319" t="str">
            <v>CG44</v>
          </cell>
          <cell r="E2319" t="str">
            <v>화물1담당</v>
          </cell>
          <cell r="F2319" t="str">
            <v>2653</v>
          </cell>
          <cell r="G2319" t="str">
            <v>2653</v>
          </cell>
          <cell r="H2319" t="str">
            <v>19851011</v>
          </cell>
          <cell r="I2319">
            <v>24765042</v>
          </cell>
        </row>
        <row r="2320">
          <cell r="A2320" t="str">
            <v>9212218</v>
          </cell>
          <cell r="B2320" t="str">
            <v>김　종　만</v>
          </cell>
          <cell r="C2320" t="str">
            <v>9212218김　종　만</v>
          </cell>
          <cell r="D2320" t="str">
            <v>CG44</v>
          </cell>
          <cell r="E2320" t="str">
            <v>화물1담당</v>
          </cell>
          <cell r="F2320" t="str">
            <v>2653</v>
          </cell>
          <cell r="G2320" t="str">
            <v>2653</v>
          </cell>
          <cell r="H2320" t="str">
            <v>19921123</v>
          </cell>
          <cell r="I2320">
            <v>9092375</v>
          </cell>
        </row>
        <row r="2321">
          <cell r="A2321" t="str">
            <v>9010530</v>
          </cell>
          <cell r="B2321" t="str">
            <v>박　선　병</v>
          </cell>
          <cell r="C2321" t="str">
            <v>9010530박　선　병</v>
          </cell>
          <cell r="D2321" t="str">
            <v>CG44</v>
          </cell>
          <cell r="E2321" t="str">
            <v>화물1담당</v>
          </cell>
          <cell r="F2321" t="str">
            <v>2653</v>
          </cell>
          <cell r="G2321" t="str">
            <v>2653</v>
          </cell>
          <cell r="H2321" t="str">
            <v>19890729</v>
          </cell>
          <cell r="I2321">
            <v>14879590</v>
          </cell>
        </row>
        <row r="2322">
          <cell r="A2322" t="str">
            <v>8711414</v>
          </cell>
          <cell r="B2322" t="str">
            <v>박　수　웅</v>
          </cell>
          <cell r="C2322" t="str">
            <v>8711414박　수　웅</v>
          </cell>
          <cell r="D2322" t="str">
            <v>CG44</v>
          </cell>
          <cell r="E2322" t="str">
            <v>화물1담당</v>
          </cell>
          <cell r="F2322" t="str">
            <v>2653</v>
          </cell>
          <cell r="G2322" t="str">
            <v>2653</v>
          </cell>
          <cell r="H2322" t="str">
            <v>19871101</v>
          </cell>
          <cell r="I2322">
            <v>20517648</v>
          </cell>
        </row>
        <row r="2323">
          <cell r="A2323" t="str">
            <v>9511334</v>
          </cell>
          <cell r="B2323" t="str">
            <v>박　연　규</v>
          </cell>
          <cell r="C2323" t="str">
            <v>9511334박　연　규</v>
          </cell>
          <cell r="D2323" t="str">
            <v>CG44</v>
          </cell>
          <cell r="E2323" t="str">
            <v>화물1담당</v>
          </cell>
          <cell r="F2323" t="str">
            <v>2653</v>
          </cell>
          <cell r="G2323" t="str">
            <v>2653</v>
          </cell>
          <cell r="H2323" t="str">
            <v>19950801</v>
          </cell>
          <cell r="I2323">
            <v>5033478</v>
          </cell>
        </row>
        <row r="2324">
          <cell r="A2324" t="str">
            <v>9411276</v>
          </cell>
          <cell r="B2324" t="str">
            <v>박　종　태</v>
          </cell>
          <cell r="C2324" t="str">
            <v>9411276박　종　태</v>
          </cell>
          <cell r="D2324" t="str">
            <v>CG44</v>
          </cell>
          <cell r="E2324" t="str">
            <v>화물1담당</v>
          </cell>
          <cell r="F2324" t="str">
            <v>2653</v>
          </cell>
          <cell r="G2324" t="str">
            <v>2653</v>
          </cell>
          <cell r="H2324" t="str">
            <v>19940721</v>
          </cell>
          <cell r="I2324">
            <v>6207373</v>
          </cell>
        </row>
        <row r="2325">
          <cell r="A2325" t="str">
            <v>8910270</v>
          </cell>
          <cell r="B2325" t="str">
            <v>박　흥　선</v>
          </cell>
          <cell r="C2325" t="str">
            <v>8910270박　흥　선</v>
          </cell>
          <cell r="D2325" t="str">
            <v>CG44</v>
          </cell>
          <cell r="E2325" t="str">
            <v>화물1담당</v>
          </cell>
          <cell r="F2325" t="str">
            <v>2653</v>
          </cell>
          <cell r="G2325" t="str">
            <v>2653</v>
          </cell>
          <cell r="H2325" t="str">
            <v>19880908</v>
          </cell>
          <cell r="I2325">
            <v>15878543</v>
          </cell>
        </row>
        <row r="2326">
          <cell r="A2326" t="str">
            <v>9111420</v>
          </cell>
          <cell r="B2326" t="str">
            <v>박　희　도</v>
          </cell>
          <cell r="C2326" t="str">
            <v>9111420박　희　도</v>
          </cell>
          <cell r="D2326" t="str">
            <v>CG44</v>
          </cell>
          <cell r="E2326" t="str">
            <v>화물1담당</v>
          </cell>
          <cell r="F2326" t="str">
            <v>2653</v>
          </cell>
          <cell r="G2326" t="str">
            <v>2653</v>
          </cell>
          <cell r="H2326" t="str">
            <v>19910901</v>
          </cell>
          <cell r="I2326">
            <v>11249036</v>
          </cell>
        </row>
        <row r="2327">
          <cell r="A2327" t="str">
            <v>9411838</v>
          </cell>
          <cell r="B2327" t="str">
            <v>방　효　근</v>
          </cell>
          <cell r="C2327" t="str">
            <v>9411838방　효　근</v>
          </cell>
          <cell r="D2327" t="str">
            <v>CG44</v>
          </cell>
          <cell r="E2327" t="str">
            <v>화물1담당</v>
          </cell>
          <cell r="F2327" t="str">
            <v>2653</v>
          </cell>
          <cell r="G2327" t="str">
            <v>2653</v>
          </cell>
          <cell r="H2327" t="str">
            <v>19940915</v>
          </cell>
          <cell r="I2327">
            <v>6662524</v>
          </cell>
        </row>
        <row r="2328">
          <cell r="A2328" t="str">
            <v>9612426</v>
          </cell>
          <cell r="B2328" t="str">
            <v>배　만　성</v>
          </cell>
          <cell r="C2328" t="str">
            <v>9612426배　만　성</v>
          </cell>
          <cell r="D2328" t="str">
            <v>CG44</v>
          </cell>
          <cell r="E2328" t="str">
            <v>화물1담당</v>
          </cell>
          <cell r="F2328" t="str">
            <v>2653</v>
          </cell>
          <cell r="G2328" t="str">
            <v>2653</v>
          </cell>
          <cell r="H2328" t="str">
            <v>19960916</v>
          </cell>
          <cell r="I2328">
            <v>3751117</v>
          </cell>
        </row>
        <row r="2329">
          <cell r="A2329" t="str">
            <v>9610560</v>
          </cell>
          <cell r="B2329" t="str">
            <v>손　덕　철</v>
          </cell>
          <cell r="C2329" t="str">
            <v>9610560손　덕　철</v>
          </cell>
          <cell r="D2329" t="str">
            <v>CG44</v>
          </cell>
          <cell r="E2329" t="str">
            <v>화물1담당</v>
          </cell>
          <cell r="F2329" t="str">
            <v>2653</v>
          </cell>
          <cell r="G2329" t="str">
            <v>2653</v>
          </cell>
          <cell r="H2329" t="str">
            <v>19960601</v>
          </cell>
          <cell r="I2329">
            <v>4184760</v>
          </cell>
        </row>
        <row r="2330">
          <cell r="A2330" t="str">
            <v>8410408</v>
          </cell>
          <cell r="B2330" t="str">
            <v>손　병　수</v>
          </cell>
          <cell r="C2330" t="str">
            <v>8410408손　병　수</v>
          </cell>
          <cell r="D2330" t="str">
            <v>CG44</v>
          </cell>
          <cell r="E2330" t="str">
            <v>화물1담당</v>
          </cell>
          <cell r="F2330" t="str">
            <v>2653</v>
          </cell>
          <cell r="G2330" t="str">
            <v>2653</v>
          </cell>
          <cell r="H2330" t="str">
            <v>19841116</v>
          </cell>
          <cell r="I2330">
            <v>25003278</v>
          </cell>
        </row>
        <row r="2331">
          <cell r="A2331" t="str">
            <v>8610074</v>
          </cell>
          <cell r="B2331" t="str">
            <v>송　성　재</v>
          </cell>
          <cell r="C2331" t="str">
            <v>8610074송　성　재</v>
          </cell>
          <cell r="D2331" t="str">
            <v>CG44</v>
          </cell>
          <cell r="E2331" t="str">
            <v>화물1담당</v>
          </cell>
          <cell r="F2331" t="str">
            <v>2653</v>
          </cell>
          <cell r="G2331" t="str">
            <v>2653</v>
          </cell>
          <cell r="H2331" t="str">
            <v>19860130</v>
          </cell>
          <cell r="I2331">
            <v>24426120</v>
          </cell>
        </row>
        <row r="2332">
          <cell r="A2332" t="str">
            <v>9612663</v>
          </cell>
          <cell r="B2332" t="str">
            <v>신　승　철</v>
          </cell>
          <cell r="C2332" t="str">
            <v>9612663신　승　철</v>
          </cell>
          <cell r="D2332" t="str">
            <v>CG44</v>
          </cell>
          <cell r="E2332" t="str">
            <v>화물1담당</v>
          </cell>
          <cell r="F2332" t="str">
            <v>2653</v>
          </cell>
          <cell r="G2332" t="str">
            <v>2653</v>
          </cell>
          <cell r="H2332" t="str">
            <v>19961201</v>
          </cell>
          <cell r="I2332">
            <v>3408536</v>
          </cell>
        </row>
        <row r="2333">
          <cell r="A2333" t="str">
            <v>9212512</v>
          </cell>
          <cell r="B2333" t="str">
            <v>양　성　하</v>
          </cell>
          <cell r="C2333" t="str">
            <v>9212512양　성　하</v>
          </cell>
          <cell r="D2333" t="str">
            <v>CG44</v>
          </cell>
          <cell r="E2333" t="str">
            <v>화물1담당</v>
          </cell>
          <cell r="F2333" t="str">
            <v>2653</v>
          </cell>
          <cell r="G2333" t="str">
            <v>2653</v>
          </cell>
          <cell r="H2333" t="str">
            <v>19921221</v>
          </cell>
          <cell r="I2333">
            <v>9106489</v>
          </cell>
        </row>
        <row r="2334">
          <cell r="A2334" t="str">
            <v>8910707</v>
          </cell>
          <cell r="B2334" t="str">
            <v>양　우　식</v>
          </cell>
          <cell r="C2334" t="str">
            <v>8910707양　우　식</v>
          </cell>
          <cell r="D2334" t="str">
            <v>CG44</v>
          </cell>
          <cell r="E2334" t="str">
            <v>화물1담당</v>
          </cell>
          <cell r="F2334" t="str">
            <v>2653</v>
          </cell>
          <cell r="G2334" t="str">
            <v>2653</v>
          </cell>
          <cell r="H2334" t="str">
            <v>19881031</v>
          </cell>
          <cell r="I2334">
            <v>19775538</v>
          </cell>
        </row>
        <row r="2335">
          <cell r="A2335" t="str">
            <v>9110711</v>
          </cell>
          <cell r="B2335" t="str">
            <v>옥　광　환</v>
          </cell>
          <cell r="C2335" t="str">
            <v>9110711옥　광　환</v>
          </cell>
          <cell r="D2335" t="str">
            <v>CG44</v>
          </cell>
          <cell r="E2335" t="str">
            <v>화물1담당</v>
          </cell>
          <cell r="F2335" t="str">
            <v>2653</v>
          </cell>
          <cell r="G2335" t="str">
            <v>2653</v>
          </cell>
          <cell r="H2335" t="str">
            <v>19910601</v>
          </cell>
          <cell r="I2335">
            <v>12102853</v>
          </cell>
        </row>
        <row r="2336">
          <cell r="A2336" t="str">
            <v>9410174</v>
          </cell>
          <cell r="B2336" t="str">
            <v>유　재　화</v>
          </cell>
          <cell r="C2336" t="str">
            <v>9410174유　재　화</v>
          </cell>
          <cell r="D2336" t="str">
            <v>CG44</v>
          </cell>
          <cell r="E2336" t="str">
            <v>화물1담당</v>
          </cell>
          <cell r="F2336" t="str">
            <v>2653</v>
          </cell>
          <cell r="G2336" t="str">
            <v>2653</v>
          </cell>
          <cell r="H2336" t="str">
            <v>19940216</v>
          </cell>
          <cell r="I2336">
            <v>7459723</v>
          </cell>
        </row>
        <row r="2337">
          <cell r="A2337" t="str">
            <v>8911181</v>
          </cell>
          <cell r="B2337" t="str">
            <v>이　경　운</v>
          </cell>
          <cell r="C2337" t="str">
            <v>8911181이　경　운</v>
          </cell>
          <cell r="D2337" t="str">
            <v>CG44</v>
          </cell>
          <cell r="E2337" t="str">
            <v>화물1담당</v>
          </cell>
          <cell r="F2337" t="str">
            <v>2653</v>
          </cell>
          <cell r="G2337" t="str">
            <v>2653</v>
          </cell>
          <cell r="H2337" t="str">
            <v>19891211</v>
          </cell>
          <cell r="I2337">
            <v>17724583</v>
          </cell>
        </row>
        <row r="2338">
          <cell r="A2338" t="str">
            <v>8410307</v>
          </cell>
          <cell r="B2338" t="str">
            <v>이　수　형</v>
          </cell>
          <cell r="C2338" t="str">
            <v>8410307이　수　형</v>
          </cell>
          <cell r="D2338" t="str">
            <v>CG44</v>
          </cell>
          <cell r="E2338" t="str">
            <v>화물1담당</v>
          </cell>
          <cell r="F2338" t="str">
            <v>2653</v>
          </cell>
          <cell r="G2338" t="str">
            <v>2653</v>
          </cell>
          <cell r="H2338" t="str">
            <v>19840716</v>
          </cell>
          <cell r="I2338">
            <v>29655358</v>
          </cell>
        </row>
        <row r="2339">
          <cell r="A2339" t="str">
            <v>9411895</v>
          </cell>
          <cell r="B2339" t="str">
            <v>이　재　혁</v>
          </cell>
          <cell r="C2339" t="str">
            <v>9411895이　재　혁</v>
          </cell>
          <cell r="D2339" t="str">
            <v>CG44</v>
          </cell>
          <cell r="E2339" t="str">
            <v>화물1담당</v>
          </cell>
          <cell r="F2339" t="str">
            <v>2653</v>
          </cell>
          <cell r="G2339" t="str">
            <v>2653</v>
          </cell>
          <cell r="H2339" t="str">
            <v>19940915</v>
          </cell>
          <cell r="I2339">
            <v>6186971</v>
          </cell>
        </row>
        <row r="2340">
          <cell r="A2340" t="str">
            <v>9012666</v>
          </cell>
          <cell r="B2340" t="str">
            <v>이　준　호</v>
          </cell>
          <cell r="C2340" t="str">
            <v>9012666이　준　호</v>
          </cell>
          <cell r="D2340" t="str">
            <v>CG44</v>
          </cell>
          <cell r="E2340" t="str">
            <v>화물1담당</v>
          </cell>
          <cell r="F2340" t="str">
            <v>2653</v>
          </cell>
          <cell r="G2340" t="str">
            <v>2653</v>
          </cell>
          <cell r="H2340" t="str">
            <v>19901228</v>
          </cell>
          <cell r="I2340">
            <v>13060767</v>
          </cell>
        </row>
        <row r="2341">
          <cell r="A2341" t="str">
            <v>7810345</v>
          </cell>
          <cell r="B2341" t="str">
            <v>이　항　　</v>
          </cell>
          <cell r="C2341" t="str">
            <v>7810345이　항　　</v>
          </cell>
          <cell r="D2341" t="str">
            <v>CG44</v>
          </cell>
          <cell r="E2341" t="str">
            <v>화물1담당</v>
          </cell>
          <cell r="F2341" t="str">
            <v>2653</v>
          </cell>
          <cell r="G2341" t="str">
            <v>2653</v>
          </cell>
          <cell r="H2341" t="str">
            <v>19781208</v>
          </cell>
          <cell r="I2341">
            <v>44541526</v>
          </cell>
        </row>
        <row r="2342">
          <cell r="A2342" t="str">
            <v>9550394</v>
          </cell>
          <cell r="B2342" t="str">
            <v>이　혜　진</v>
          </cell>
          <cell r="C2342" t="str">
            <v>9550394이　혜　진</v>
          </cell>
          <cell r="D2342" t="str">
            <v>CG44</v>
          </cell>
          <cell r="E2342" t="str">
            <v>화물1담당</v>
          </cell>
          <cell r="F2342" t="str">
            <v>2653</v>
          </cell>
          <cell r="G2342" t="str">
            <v>2653</v>
          </cell>
          <cell r="H2342" t="str">
            <v>19950916</v>
          </cell>
          <cell r="I2342">
            <v>4815591</v>
          </cell>
        </row>
        <row r="2343">
          <cell r="A2343" t="str">
            <v>9410747</v>
          </cell>
          <cell r="B2343" t="str">
            <v>이　흥　근</v>
          </cell>
          <cell r="C2343" t="str">
            <v>9410747이　흥　근</v>
          </cell>
          <cell r="D2343" t="str">
            <v>CG44</v>
          </cell>
          <cell r="E2343" t="str">
            <v>화물1담당</v>
          </cell>
          <cell r="F2343" t="str">
            <v>2653</v>
          </cell>
          <cell r="G2343" t="str">
            <v>2653</v>
          </cell>
          <cell r="H2343" t="str">
            <v>19940601</v>
          </cell>
          <cell r="I2343">
            <v>6587839</v>
          </cell>
        </row>
        <row r="2344">
          <cell r="A2344" t="str">
            <v>9711246</v>
          </cell>
          <cell r="B2344" t="str">
            <v>임　민　택</v>
          </cell>
          <cell r="C2344" t="str">
            <v>9711246임　민　택</v>
          </cell>
          <cell r="D2344" t="str">
            <v>CG44</v>
          </cell>
          <cell r="E2344" t="str">
            <v>화물1담당</v>
          </cell>
          <cell r="F2344" t="str">
            <v>2653</v>
          </cell>
          <cell r="G2344" t="str">
            <v>2653</v>
          </cell>
          <cell r="H2344" t="str">
            <v>19970710</v>
          </cell>
          <cell r="I2344">
            <v>2794697</v>
          </cell>
        </row>
        <row r="2345">
          <cell r="A2345" t="str">
            <v>9612281</v>
          </cell>
          <cell r="B2345" t="str">
            <v>임　석　재</v>
          </cell>
          <cell r="C2345" t="str">
            <v>9612281임　석　재</v>
          </cell>
          <cell r="D2345" t="str">
            <v>CG44</v>
          </cell>
          <cell r="E2345" t="str">
            <v>화물1담당</v>
          </cell>
          <cell r="F2345" t="str">
            <v>2653</v>
          </cell>
          <cell r="G2345" t="str">
            <v>2653</v>
          </cell>
          <cell r="H2345" t="str">
            <v>19960901</v>
          </cell>
          <cell r="I2345">
            <v>3743946</v>
          </cell>
        </row>
        <row r="2346">
          <cell r="A2346" t="str">
            <v>9160312</v>
          </cell>
          <cell r="B2346" t="str">
            <v>임　윤　숙</v>
          </cell>
          <cell r="C2346" t="str">
            <v>9160312임　윤　숙</v>
          </cell>
          <cell r="D2346" t="str">
            <v>CG44</v>
          </cell>
          <cell r="E2346" t="str">
            <v>화물1담당</v>
          </cell>
          <cell r="F2346" t="str">
            <v>2653</v>
          </cell>
          <cell r="G2346" t="str">
            <v>2653</v>
          </cell>
          <cell r="H2346" t="str">
            <v>19911101</v>
          </cell>
          <cell r="I2346">
            <v>10053079</v>
          </cell>
        </row>
        <row r="2347">
          <cell r="A2347" t="str">
            <v>9307528</v>
          </cell>
          <cell r="B2347" t="str">
            <v>임　창　호</v>
          </cell>
          <cell r="C2347" t="str">
            <v>9307528임　창　호</v>
          </cell>
          <cell r="D2347" t="str">
            <v>CG44</v>
          </cell>
          <cell r="E2347" t="str">
            <v>화물1담당</v>
          </cell>
          <cell r="F2347" t="str">
            <v>2653</v>
          </cell>
          <cell r="G2347" t="str">
            <v>2653</v>
          </cell>
          <cell r="H2347" t="str">
            <v>19931101</v>
          </cell>
          <cell r="I2347">
            <v>6927225</v>
          </cell>
        </row>
        <row r="2348">
          <cell r="A2348" t="str">
            <v>8110506</v>
          </cell>
          <cell r="B2348" t="str">
            <v>장　영　근</v>
          </cell>
          <cell r="C2348" t="str">
            <v>8110506장　영　근</v>
          </cell>
          <cell r="D2348" t="str">
            <v>CG44</v>
          </cell>
          <cell r="E2348" t="str">
            <v>화물1담당</v>
          </cell>
          <cell r="F2348" t="str">
            <v>2653</v>
          </cell>
          <cell r="G2348" t="str">
            <v>2653</v>
          </cell>
          <cell r="H2348" t="str">
            <v>19810301</v>
          </cell>
          <cell r="I2348">
            <v>37247388</v>
          </cell>
        </row>
        <row r="2349">
          <cell r="A2349" t="str">
            <v>8951106</v>
          </cell>
          <cell r="B2349" t="str">
            <v>전　정　민</v>
          </cell>
          <cell r="C2349" t="str">
            <v>8951106전　정　민</v>
          </cell>
          <cell r="D2349" t="str">
            <v>CG44</v>
          </cell>
          <cell r="E2349" t="str">
            <v>화물1담당</v>
          </cell>
          <cell r="F2349" t="str">
            <v>2653</v>
          </cell>
          <cell r="G2349" t="str">
            <v>2653</v>
          </cell>
          <cell r="H2349" t="str">
            <v>19891216</v>
          </cell>
          <cell r="I2349">
            <v>9986881</v>
          </cell>
        </row>
        <row r="2350">
          <cell r="A2350" t="str">
            <v>8650530</v>
          </cell>
          <cell r="B2350" t="str">
            <v>전　혜　주</v>
          </cell>
          <cell r="C2350" t="str">
            <v>8650530전　혜　주</v>
          </cell>
          <cell r="D2350" t="str">
            <v>CG44</v>
          </cell>
          <cell r="E2350" t="str">
            <v>화물1담당</v>
          </cell>
          <cell r="F2350" t="str">
            <v>2653</v>
          </cell>
          <cell r="G2350" t="str">
            <v>2653</v>
          </cell>
          <cell r="H2350" t="str">
            <v>19860616</v>
          </cell>
          <cell r="I2350">
            <v>22454555</v>
          </cell>
        </row>
        <row r="2351">
          <cell r="A2351" t="str">
            <v>8110574</v>
          </cell>
          <cell r="B2351" t="str">
            <v>정　해　갑</v>
          </cell>
          <cell r="C2351" t="str">
            <v>8110574정　해　갑</v>
          </cell>
          <cell r="D2351" t="str">
            <v>CG44</v>
          </cell>
          <cell r="E2351" t="str">
            <v>화물1담당</v>
          </cell>
          <cell r="F2351" t="str">
            <v>2653</v>
          </cell>
          <cell r="G2351" t="e">
            <v>#N/A</v>
          </cell>
          <cell r="H2351" t="str">
            <v>19810301</v>
          </cell>
          <cell r="I2351">
            <v>37867431</v>
          </cell>
          <cell r="J2351" t="str">
            <v>4 월</v>
          </cell>
          <cell r="K2351">
            <v>43187863</v>
          </cell>
        </row>
        <row r="2352">
          <cell r="A2352" t="str">
            <v>8110574</v>
          </cell>
          <cell r="B2352" t="str">
            <v>정　해　갑</v>
          </cell>
          <cell r="C2352" t="str">
            <v>8110574정　해　갑</v>
          </cell>
          <cell r="D2352" t="str">
            <v>CG44</v>
          </cell>
          <cell r="E2352" t="str">
            <v>화물1담당</v>
          </cell>
          <cell r="F2352" t="str">
            <v>2653</v>
          </cell>
          <cell r="G2352" t="e">
            <v>#N/A</v>
          </cell>
          <cell r="H2352" t="str">
            <v>19810301</v>
          </cell>
          <cell r="J2352" t="str">
            <v>7 월</v>
          </cell>
          <cell r="K2352">
            <v>1552525</v>
          </cell>
        </row>
        <row r="2353">
          <cell r="A2353" t="str">
            <v>9511470</v>
          </cell>
          <cell r="B2353" t="str">
            <v>조　용　석</v>
          </cell>
          <cell r="C2353" t="str">
            <v>9511470조　용　석</v>
          </cell>
          <cell r="D2353" t="str">
            <v>CG44</v>
          </cell>
          <cell r="E2353" t="str">
            <v>화물1담당</v>
          </cell>
          <cell r="F2353" t="str">
            <v>2653</v>
          </cell>
          <cell r="G2353" t="str">
            <v>2653</v>
          </cell>
          <cell r="H2353" t="str">
            <v>19951023</v>
          </cell>
          <cell r="I2353">
            <v>4752197</v>
          </cell>
        </row>
        <row r="2354">
          <cell r="A2354" t="str">
            <v>9410477</v>
          </cell>
          <cell r="B2354" t="str">
            <v>조　창　근</v>
          </cell>
          <cell r="C2354" t="str">
            <v>9410477조　창　근</v>
          </cell>
          <cell r="D2354" t="str">
            <v>CG44</v>
          </cell>
          <cell r="E2354" t="str">
            <v>화물1담당</v>
          </cell>
          <cell r="F2354" t="str">
            <v>2653</v>
          </cell>
          <cell r="G2354" t="str">
            <v>2653</v>
          </cell>
          <cell r="H2354" t="str">
            <v>19940416</v>
          </cell>
          <cell r="I2354">
            <v>6630346</v>
          </cell>
        </row>
        <row r="2355">
          <cell r="A2355" t="str">
            <v>9411568</v>
          </cell>
          <cell r="B2355" t="str">
            <v>주　정　훈</v>
          </cell>
          <cell r="C2355" t="str">
            <v>9411568주　정　훈</v>
          </cell>
          <cell r="D2355" t="str">
            <v>CG44</v>
          </cell>
          <cell r="E2355" t="str">
            <v>화물1담당</v>
          </cell>
          <cell r="F2355" t="str">
            <v>2653</v>
          </cell>
          <cell r="G2355" t="str">
            <v>2653</v>
          </cell>
          <cell r="H2355" t="str">
            <v>19940901</v>
          </cell>
          <cell r="I2355">
            <v>7326091</v>
          </cell>
        </row>
        <row r="2356">
          <cell r="A2356" t="str">
            <v>9112026</v>
          </cell>
          <cell r="B2356" t="str">
            <v>지　진　식</v>
          </cell>
          <cell r="C2356" t="str">
            <v>9112026지　진　식</v>
          </cell>
          <cell r="D2356" t="str">
            <v>CG44</v>
          </cell>
          <cell r="E2356" t="str">
            <v>화물1담당</v>
          </cell>
          <cell r="F2356" t="str">
            <v>2653</v>
          </cell>
          <cell r="G2356" t="str">
            <v>2653</v>
          </cell>
          <cell r="H2356" t="str">
            <v>19911202</v>
          </cell>
          <cell r="I2356">
            <v>11404061</v>
          </cell>
        </row>
        <row r="2357">
          <cell r="A2357" t="str">
            <v>9410152</v>
          </cell>
          <cell r="B2357" t="str">
            <v>지　태　일</v>
          </cell>
          <cell r="C2357" t="str">
            <v>9410152지　태　일</v>
          </cell>
          <cell r="D2357" t="str">
            <v>CG44</v>
          </cell>
          <cell r="E2357" t="str">
            <v>화물1담당</v>
          </cell>
          <cell r="F2357" t="str">
            <v>2653</v>
          </cell>
          <cell r="G2357" t="str">
            <v>2653</v>
          </cell>
          <cell r="H2357" t="str">
            <v>19940216</v>
          </cell>
          <cell r="I2357">
            <v>7614160</v>
          </cell>
        </row>
        <row r="2358">
          <cell r="A2358" t="str">
            <v>8210114</v>
          </cell>
          <cell r="B2358" t="str">
            <v>차　인　한</v>
          </cell>
          <cell r="C2358" t="str">
            <v>8210114차　인　한</v>
          </cell>
          <cell r="D2358" t="str">
            <v>CG44</v>
          </cell>
          <cell r="E2358" t="str">
            <v>화물1담당</v>
          </cell>
          <cell r="F2358" t="str">
            <v>2653</v>
          </cell>
          <cell r="G2358" t="str">
            <v>2653</v>
          </cell>
          <cell r="H2358" t="str">
            <v>19820823</v>
          </cell>
          <cell r="I2358">
            <v>27947047</v>
          </cell>
        </row>
        <row r="2359">
          <cell r="A2359" t="str">
            <v>8310238</v>
          </cell>
          <cell r="B2359" t="str">
            <v>최　광　수</v>
          </cell>
          <cell r="C2359" t="str">
            <v>8310238최　광　수</v>
          </cell>
          <cell r="D2359" t="str">
            <v>CG44</v>
          </cell>
          <cell r="E2359" t="str">
            <v>화물1담당</v>
          </cell>
          <cell r="F2359" t="str">
            <v>2653</v>
          </cell>
          <cell r="G2359" t="str">
            <v>2653</v>
          </cell>
          <cell r="H2359" t="str">
            <v>19830901</v>
          </cell>
          <cell r="I2359">
            <v>30225538</v>
          </cell>
        </row>
        <row r="2360">
          <cell r="A2360" t="str">
            <v>8111248</v>
          </cell>
          <cell r="B2360" t="str">
            <v>최　달　규</v>
          </cell>
          <cell r="C2360" t="str">
            <v>8111248최　달　규</v>
          </cell>
          <cell r="D2360" t="str">
            <v>CG44</v>
          </cell>
          <cell r="E2360" t="str">
            <v>화물1담당</v>
          </cell>
          <cell r="F2360" t="str">
            <v>2653</v>
          </cell>
          <cell r="G2360" t="str">
            <v>2653</v>
          </cell>
          <cell r="H2360" t="str">
            <v>19811101</v>
          </cell>
          <cell r="I2360">
            <v>35735466</v>
          </cell>
        </row>
        <row r="2361">
          <cell r="A2361" t="str">
            <v>9012071</v>
          </cell>
          <cell r="B2361" t="str">
            <v>최　병　인</v>
          </cell>
          <cell r="C2361" t="str">
            <v>9012071최　병　인</v>
          </cell>
          <cell r="D2361" t="str">
            <v>CG44</v>
          </cell>
          <cell r="E2361" t="str">
            <v>화물1담당</v>
          </cell>
          <cell r="F2361" t="str">
            <v>2653</v>
          </cell>
          <cell r="G2361" t="str">
            <v>2653</v>
          </cell>
          <cell r="H2361" t="str">
            <v>19900625</v>
          </cell>
          <cell r="I2361">
            <v>13850594</v>
          </cell>
        </row>
        <row r="2362">
          <cell r="A2362" t="str">
            <v>8811202</v>
          </cell>
          <cell r="B2362" t="str">
            <v>최　성　복</v>
          </cell>
          <cell r="C2362" t="str">
            <v>8811202최　성　복</v>
          </cell>
          <cell r="D2362" t="str">
            <v>CG44</v>
          </cell>
          <cell r="E2362" t="str">
            <v>화물1담당</v>
          </cell>
          <cell r="F2362" t="str">
            <v>2653</v>
          </cell>
          <cell r="G2362" t="str">
            <v>2653</v>
          </cell>
          <cell r="H2362" t="str">
            <v>19880905</v>
          </cell>
          <cell r="I2362">
            <v>21493030</v>
          </cell>
        </row>
        <row r="2363">
          <cell r="A2363" t="str">
            <v>8310093</v>
          </cell>
          <cell r="B2363" t="str">
            <v>최　영　근</v>
          </cell>
          <cell r="C2363" t="str">
            <v>8310093최　영　근</v>
          </cell>
          <cell r="D2363" t="str">
            <v>CG44</v>
          </cell>
          <cell r="E2363" t="str">
            <v>화물1담당</v>
          </cell>
          <cell r="F2363" t="str">
            <v>2653</v>
          </cell>
          <cell r="G2363" t="str">
            <v>2653</v>
          </cell>
          <cell r="H2363" t="str">
            <v>19830501</v>
          </cell>
          <cell r="I2363">
            <v>34844925</v>
          </cell>
        </row>
        <row r="2364">
          <cell r="A2364" t="str">
            <v>9610492</v>
          </cell>
          <cell r="B2364" t="str">
            <v>최　오　훈</v>
          </cell>
          <cell r="C2364" t="str">
            <v>9610492최　오　훈</v>
          </cell>
          <cell r="D2364" t="str">
            <v>CG44</v>
          </cell>
          <cell r="E2364" t="str">
            <v>화물1담당</v>
          </cell>
          <cell r="F2364" t="str">
            <v>2653</v>
          </cell>
          <cell r="G2364" t="str">
            <v>2653</v>
          </cell>
          <cell r="H2364" t="str">
            <v>19960601</v>
          </cell>
          <cell r="I2364">
            <v>3904351</v>
          </cell>
        </row>
        <row r="2365">
          <cell r="A2365" t="str">
            <v>8610243</v>
          </cell>
          <cell r="B2365" t="str">
            <v>최　장　락</v>
          </cell>
          <cell r="C2365" t="str">
            <v>8610243최　장　락</v>
          </cell>
          <cell r="D2365" t="str">
            <v>CG44</v>
          </cell>
          <cell r="E2365" t="str">
            <v>화물1담당</v>
          </cell>
          <cell r="F2365" t="str">
            <v>2653</v>
          </cell>
          <cell r="G2365" t="str">
            <v>2653</v>
          </cell>
          <cell r="H2365" t="str">
            <v>19860401</v>
          </cell>
          <cell r="I2365">
            <v>24261231</v>
          </cell>
        </row>
        <row r="2366">
          <cell r="A2366" t="str">
            <v>9510131</v>
          </cell>
          <cell r="B2366" t="str">
            <v>최　철　환</v>
          </cell>
          <cell r="C2366" t="str">
            <v>9510131최　철　환</v>
          </cell>
          <cell r="D2366" t="str">
            <v>CG44</v>
          </cell>
          <cell r="E2366" t="str">
            <v>화물1담당</v>
          </cell>
          <cell r="F2366" t="str">
            <v>2653</v>
          </cell>
          <cell r="G2366" t="e">
            <v>#N/A</v>
          </cell>
          <cell r="H2366" t="str">
            <v>19950101</v>
          </cell>
          <cell r="I2366">
            <v>5724575</v>
          </cell>
          <cell r="J2366" t="str">
            <v>5 월</v>
          </cell>
          <cell r="K2366">
            <v>6287379</v>
          </cell>
        </row>
        <row r="2367">
          <cell r="A2367" t="str">
            <v>9011035</v>
          </cell>
          <cell r="B2367" t="str">
            <v>한　재　섭</v>
          </cell>
          <cell r="C2367" t="str">
            <v>9011035한　재　섭</v>
          </cell>
          <cell r="D2367" t="str">
            <v>CG44</v>
          </cell>
          <cell r="E2367" t="str">
            <v>화물1담당</v>
          </cell>
          <cell r="F2367" t="str">
            <v>2653</v>
          </cell>
          <cell r="G2367" t="str">
            <v>2653</v>
          </cell>
          <cell r="H2367" t="str">
            <v>19890822</v>
          </cell>
          <cell r="I2367">
            <v>15248555</v>
          </cell>
        </row>
        <row r="2368">
          <cell r="A2368" t="str">
            <v>9511863</v>
          </cell>
          <cell r="B2368" t="str">
            <v>한　종　헌</v>
          </cell>
          <cell r="C2368" t="str">
            <v>9511863한　종　헌</v>
          </cell>
          <cell r="D2368" t="str">
            <v>CG44</v>
          </cell>
          <cell r="E2368" t="str">
            <v>화물1담당</v>
          </cell>
          <cell r="F2368" t="str">
            <v>2653</v>
          </cell>
          <cell r="G2368" t="str">
            <v>2653</v>
          </cell>
          <cell r="H2368" t="str">
            <v>19951201</v>
          </cell>
          <cell r="I2368">
            <v>4721282</v>
          </cell>
        </row>
        <row r="2369">
          <cell r="A2369" t="str">
            <v>9710651</v>
          </cell>
          <cell r="B2369" t="str">
            <v>황　욱　상</v>
          </cell>
          <cell r="C2369" t="str">
            <v>9710651황　욱　상</v>
          </cell>
          <cell r="D2369" t="str">
            <v>CG44</v>
          </cell>
          <cell r="E2369" t="str">
            <v>화물1담당</v>
          </cell>
          <cell r="F2369" t="str">
            <v>2653</v>
          </cell>
          <cell r="G2369" t="str">
            <v>2653</v>
          </cell>
          <cell r="H2369" t="str">
            <v>19970317</v>
          </cell>
          <cell r="I2369">
            <v>3000527</v>
          </cell>
        </row>
        <row r="2370">
          <cell r="A2370" t="str">
            <v>9711674</v>
          </cell>
          <cell r="B2370" t="str">
            <v>강　수　만</v>
          </cell>
          <cell r="C2370" t="str">
            <v>9711674강　수　만</v>
          </cell>
          <cell r="D2370" t="str">
            <v>CG46</v>
          </cell>
          <cell r="E2370" t="str">
            <v>화물1담당</v>
          </cell>
          <cell r="F2370" t="str">
            <v>2653</v>
          </cell>
          <cell r="G2370" t="e">
            <v>#N/A</v>
          </cell>
          <cell r="H2370" t="str">
            <v>19970901</v>
          </cell>
          <cell r="I2370">
            <v>2518209</v>
          </cell>
          <cell r="J2370" t="str">
            <v>7 월</v>
          </cell>
          <cell r="K2370">
            <v>2983540</v>
          </cell>
        </row>
        <row r="2371">
          <cell r="A2371" t="str">
            <v>8410050</v>
          </cell>
          <cell r="B2371" t="str">
            <v>강　순　태</v>
          </cell>
          <cell r="C2371" t="str">
            <v>8410050강　순　태</v>
          </cell>
          <cell r="D2371" t="str">
            <v>CG46</v>
          </cell>
          <cell r="E2371" t="str">
            <v>화물1담당</v>
          </cell>
          <cell r="F2371" t="str">
            <v>2653</v>
          </cell>
          <cell r="G2371" t="str">
            <v>2653</v>
          </cell>
          <cell r="H2371" t="str">
            <v>19840303</v>
          </cell>
          <cell r="I2371">
            <v>26789968</v>
          </cell>
        </row>
        <row r="2372">
          <cell r="A2372" t="str">
            <v>9111418</v>
          </cell>
          <cell r="B2372" t="str">
            <v>강　영　철</v>
          </cell>
          <cell r="C2372" t="str">
            <v>9111418강　영　철</v>
          </cell>
          <cell r="D2372" t="str">
            <v>CG46</v>
          </cell>
          <cell r="E2372" t="str">
            <v>화물1담당</v>
          </cell>
          <cell r="F2372" t="str">
            <v>2653</v>
          </cell>
          <cell r="G2372" t="str">
            <v>2653</v>
          </cell>
          <cell r="H2372" t="str">
            <v>19910901</v>
          </cell>
          <cell r="I2372">
            <v>10338100</v>
          </cell>
        </row>
        <row r="2373">
          <cell r="A2373" t="str">
            <v>8910303</v>
          </cell>
          <cell r="B2373" t="str">
            <v>고　성　원</v>
          </cell>
          <cell r="C2373" t="str">
            <v>8910303고　성　원</v>
          </cell>
          <cell r="D2373" t="str">
            <v>CG46</v>
          </cell>
          <cell r="E2373" t="str">
            <v>화물1담당</v>
          </cell>
          <cell r="F2373" t="str">
            <v>2653</v>
          </cell>
          <cell r="G2373" t="str">
            <v>2653</v>
          </cell>
          <cell r="H2373" t="str">
            <v>19880908</v>
          </cell>
          <cell r="I2373">
            <v>17309687</v>
          </cell>
        </row>
        <row r="2374">
          <cell r="A2374" t="str">
            <v>9612808</v>
          </cell>
          <cell r="B2374" t="str">
            <v>고　승　환</v>
          </cell>
          <cell r="C2374" t="str">
            <v>9612808고　승　환</v>
          </cell>
          <cell r="D2374" t="str">
            <v>CG46</v>
          </cell>
          <cell r="E2374" t="str">
            <v>화물1담당</v>
          </cell>
          <cell r="F2374" t="str">
            <v>2653</v>
          </cell>
          <cell r="G2374" t="str">
            <v>2653</v>
          </cell>
          <cell r="H2374" t="str">
            <v>19961201</v>
          </cell>
          <cell r="I2374">
            <v>3452382</v>
          </cell>
        </row>
        <row r="2375">
          <cell r="A2375" t="str">
            <v>9410668</v>
          </cell>
          <cell r="B2375" t="str">
            <v>권　진　수</v>
          </cell>
          <cell r="C2375" t="str">
            <v>9410668권　진　수</v>
          </cell>
          <cell r="D2375" t="str">
            <v>CG46</v>
          </cell>
          <cell r="E2375" t="str">
            <v>화물1담당</v>
          </cell>
          <cell r="F2375" t="str">
            <v>2653</v>
          </cell>
          <cell r="G2375" t="str">
            <v>2653</v>
          </cell>
          <cell r="H2375" t="str">
            <v>19940601</v>
          </cell>
          <cell r="I2375">
            <v>6635228</v>
          </cell>
        </row>
        <row r="2376">
          <cell r="A2376" t="str">
            <v>9711742</v>
          </cell>
          <cell r="B2376" t="str">
            <v>김　균　태</v>
          </cell>
          <cell r="C2376" t="str">
            <v>9711742김　균　태</v>
          </cell>
          <cell r="D2376" t="str">
            <v>CG46</v>
          </cell>
          <cell r="E2376" t="str">
            <v>화물1담당</v>
          </cell>
          <cell r="F2376" t="str">
            <v>2653</v>
          </cell>
          <cell r="G2376" t="str">
            <v>2653</v>
          </cell>
          <cell r="H2376" t="str">
            <v>19970901</v>
          </cell>
          <cell r="I2376">
            <v>2491856</v>
          </cell>
        </row>
        <row r="2377">
          <cell r="A2377" t="str">
            <v>9511402</v>
          </cell>
          <cell r="B2377" t="str">
            <v>김　기　대</v>
          </cell>
          <cell r="C2377" t="str">
            <v>9511402김　기　대</v>
          </cell>
          <cell r="D2377" t="str">
            <v>CG46</v>
          </cell>
          <cell r="E2377" t="str">
            <v>화물1담당</v>
          </cell>
          <cell r="F2377" t="str">
            <v>2653</v>
          </cell>
          <cell r="G2377" t="str">
            <v>2653</v>
          </cell>
          <cell r="H2377" t="str">
            <v>19950901</v>
          </cell>
          <cell r="I2377">
            <v>5430986</v>
          </cell>
        </row>
        <row r="2378">
          <cell r="A2378" t="str">
            <v>9610672</v>
          </cell>
          <cell r="B2378" t="str">
            <v>김　기　호</v>
          </cell>
          <cell r="C2378" t="str">
            <v>9610672김　기　호</v>
          </cell>
          <cell r="D2378" t="str">
            <v>CG46</v>
          </cell>
          <cell r="E2378" t="str">
            <v>화물1담당</v>
          </cell>
          <cell r="F2378" t="str">
            <v>2653</v>
          </cell>
          <cell r="G2378" t="str">
            <v>2653</v>
          </cell>
          <cell r="H2378" t="str">
            <v>19960601</v>
          </cell>
          <cell r="I2378">
            <v>4147577</v>
          </cell>
        </row>
        <row r="2379">
          <cell r="A2379" t="str">
            <v>9712484</v>
          </cell>
          <cell r="B2379" t="str">
            <v>김　명　석</v>
          </cell>
          <cell r="C2379" t="str">
            <v>9712484김　명　석</v>
          </cell>
          <cell r="D2379" t="str">
            <v>CG46</v>
          </cell>
          <cell r="E2379" t="str">
            <v>화물1담당</v>
          </cell>
          <cell r="F2379" t="str">
            <v>2653</v>
          </cell>
          <cell r="G2379" t="str">
            <v>2653</v>
          </cell>
          <cell r="H2379" t="str">
            <v>19971124</v>
          </cell>
          <cell r="I2379">
            <v>2494044</v>
          </cell>
        </row>
        <row r="2380">
          <cell r="A2380" t="str">
            <v>9110968</v>
          </cell>
          <cell r="B2380" t="str">
            <v>김　봉　수</v>
          </cell>
          <cell r="C2380" t="str">
            <v>9110968김　봉　수</v>
          </cell>
          <cell r="D2380" t="str">
            <v>CG46</v>
          </cell>
          <cell r="E2380" t="str">
            <v>화물1담당</v>
          </cell>
          <cell r="F2380" t="str">
            <v>2653</v>
          </cell>
          <cell r="G2380" t="str">
            <v>2653</v>
          </cell>
          <cell r="H2380" t="str">
            <v>19910701</v>
          </cell>
          <cell r="I2380">
            <v>12688984</v>
          </cell>
        </row>
        <row r="2381">
          <cell r="A2381" t="str">
            <v>9111194</v>
          </cell>
          <cell r="B2381" t="str">
            <v>김　선　학</v>
          </cell>
          <cell r="C2381" t="str">
            <v>9111194김　선　학</v>
          </cell>
          <cell r="D2381" t="str">
            <v>CG46</v>
          </cell>
          <cell r="E2381" t="str">
            <v>화물1담당</v>
          </cell>
          <cell r="F2381" t="str">
            <v>2653</v>
          </cell>
          <cell r="G2381" t="str">
            <v>2653</v>
          </cell>
          <cell r="H2381" t="str">
            <v>19910725</v>
          </cell>
          <cell r="I2381">
            <v>11809046</v>
          </cell>
        </row>
        <row r="2382">
          <cell r="A2382" t="str">
            <v>9010517</v>
          </cell>
          <cell r="B2382" t="str">
            <v>김　영　욱</v>
          </cell>
          <cell r="C2382" t="str">
            <v>9010517김　영　욱</v>
          </cell>
          <cell r="D2382" t="str">
            <v>CG46</v>
          </cell>
          <cell r="E2382" t="str">
            <v>화물1담당</v>
          </cell>
          <cell r="F2382" t="str">
            <v>2653</v>
          </cell>
          <cell r="G2382" t="str">
            <v>2653</v>
          </cell>
          <cell r="H2382" t="str">
            <v>19890729</v>
          </cell>
          <cell r="I2382">
            <v>14960954</v>
          </cell>
        </row>
        <row r="2383">
          <cell r="A2383" t="str">
            <v>8410116</v>
          </cell>
          <cell r="B2383" t="str">
            <v>김　영　택</v>
          </cell>
          <cell r="C2383" t="str">
            <v>8410116김　영　택</v>
          </cell>
          <cell r="D2383" t="str">
            <v>CG46</v>
          </cell>
          <cell r="E2383" t="str">
            <v>화물1담당</v>
          </cell>
          <cell r="F2383" t="str">
            <v>2653</v>
          </cell>
          <cell r="G2383" t="str">
            <v>2653</v>
          </cell>
          <cell r="H2383" t="str">
            <v>19840402</v>
          </cell>
          <cell r="I2383">
            <v>24181092</v>
          </cell>
        </row>
        <row r="2384">
          <cell r="A2384" t="str">
            <v>8910527</v>
          </cell>
          <cell r="B2384" t="str">
            <v>김　오　권</v>
          </cell>
          <cell r="C2384" t="str">
            <v>8910527김　오　권</v>
          </cell>
          <cell r="D2384" t="str">
            <v>CG46</v>
          </cell>
          <cell r="E2384" t="str">
            <v>화물1담당</v>
          </cell>
          <cell r="F2384" t="str">
            <v>2653</v>
          </cell>
          <cell r="G2384" t="str">
            <v>2653</v>
          </cell>
          <cell r="H2384" t="str">
            <v>19881031</v>
          </cell>
          <cell r="I2384">
            <v>15996080</v>
          </cell>
        </row>
        <row r="2385">
          <cell r="A2385" t="str">
            <v>8710841</v>
          </cell>
          <cell r="B2385" t="str">
            <v>김　태　훈</v>
          </cell>
          <cell r="C2385" t="str">
            <v>8710841김　태　훈</v>
          </cell>
          <cell r="D2385" t="str">
            <v>CG46</v>
          </cell>
          <cell r="E2385" t="str">
            <v>화물1담당</v>
          </cell>
          <cell r="F2385" t="str">
            <v>2653</v>
          </cell>
          <cell r="G2385" t="str">
            <v>2653</v>
          </cell>
          <cell r="H2385" t="str">
            <v>19870810</v>
          </cell>
          <cell r="I2385">
            <v>21233600</v>
          </cell>
        </row>
        <row r="2386">
          <cell r="A2386" t="str">
            <v>8110484</v>
          </cell>
          <cell r="B2386" t="str">
            <v>김　학　렬</v>
          </cell>
          <cell r="C2386" t="str">
            <v>8110484김　학　렬</v>
          </cell>
          <cell r="D2386" t="str">
            <v>CG46</v>
          </cell>
          <cell r="E2386" t="str">
            <v>화물1담당</v>
          </cell>
          <cell r="F2386" t="str">
            <v>2653</v>
          </cell>
          <cell r="G2386" t="str">
            <v>2653</v>
          </cell>
          <cell r="H2386" t="str">
            <v>19810301</v>
          </cell>
          <cell r="I2386">
            <v>47885602</v>
          </cell>
        </row>
        <row r="2387">
          <cell r="A2387" t="str">
            <v>8110901</v>
          </cell>
          <cell r="B2387" t="str">
            <v>김　홍　철</v>
          </cell>
          <cell r="C2387" t="str">
            <v>8110901김　홍　철</v>
          </cell>
          <cell r="D2387" t="str">
            <v>CG46</v>
          </cell>
          <cell r="E2387" t="str">
            <v>화물1담당</v>
          </cell>
          <cell r="F2387" t="str">
            <v>2653</v>
          </cell>
          <cell r="G2387" t="str">
            <v>2653</v>
          </cell>
          <cell r="H2387" t="str">
            <v>19810401</v>
          </cell>
          <cell r="I2387">
            <v>36686620</v>
          </cell>
        </row>
        <row r="2388">
          <cell r="A2388" t="str">
            <v>8510016</v>
          </cell>
          <cell r="B2388" t="str">
            <v>민　영　열</v>
          </cell>
          <cell r="C2388" t="str">
            <v>8510016민　영　열</v>
          </cell>
          <cell r="D2388" t="str">
            <v>CG46</v>
          </cell>
          <cell r="E2388" t="str">
            <v>화물1담당</v>
          </cell>
          <cell r="F2388" t="str">
            <v>2653</v>
          </cell>
          <cell r="G2388" t="str">
            <v>2653</v>
          </cell>
          <cell r="H2388" t="str">
            <v>19850215</v>
          </cell>
          <cell r="I2388">
            <v>27616957</v>
          </cell>
        </row>
        <row r="2389">
          <cell r="A2389" t="str">
            <v>9012521</v>
          </cell>
          <cell r="B2389" t="str">
            <v>박　기　준</v>
          </cell>
          <cell r="C2389" t="str">
            <v>9012521박　기　준</v>
          </cell>
          <cell r="D2389" t="str">
            <v>CG46</v>
          </cell>
          <cell r="E2389" t="str">
            <v>화물1담당</v>
          </cell>
          <cell r="F2389" t="str">
            <v>2653</v>
          </cell>
          <cell r="G2389" t="str">
            <v>2653</v>
          </cell>
          <cell r="H2389" t="str">
            <v>19901105</v>
          </cell>
          <cell r="I2389">
            <v>13047817</v>
          </cell>
        </row>
        <row r="2390">
          <cell r="A2390" t="str">
            <v>9012431</v>
          </cell>
          <cell r="B2390" t="str">
            <v>박　상　근</v>
          </cell>
          <cell r="C2390" t="str">
            <v>9012431박　상　근</v>
          </cell>
          <cell r="D2390" t="str">
            <v>CG46</v>
          </cell>
          <cell r="E2390" t="str">
            <v>화물1담당</v>
          </cell>
          <cell r="F2390" t="str">
            <v>2653</v>
          </cell>
          <cell r="G2390" t="str">
            <v>2653</v>
          </cell>
          <cell r="H2390" t="str">
            <v>19900901</v>
          </cell>
          <cell r="I2390">
            <v>14037824</v>
          </cell>
        </row>
        <row r="2391">
          <cell r="A2391" t="str">
            <v>9712348</v>
          </cell>
          <cell r="B2391" t="str">
            <v>박　성　원</v>
          </cell>
          <cell r="C2391" t="str">
            <v>9712348박　성　원</v>
          </cell>
          <cell r="D2391" t="str">
            <v>CG46</v>
          </cell>
          <cell r="E2391" t="str">
            <v>화물1담당</v>
          </cell>
          <cell r="F2391" t="str">
            <v>2653</v>
          </cell>
          <cell r="G2391" t="str">
            <v>2653</v>
          </cell>
          <cell r="H2391" t="str">
            <v>19971110</v>
          </cell>
          <cell r="I2391">
            <v>2235795</v>
          </cell>
        </row>
        <row r="2392">
          <cell r="A2392" t="str">
            <v>7810064</v>
          </cell>
          <cell r="B2392" t="str">
            <v>박　재　호</v>
          </cell>
          <cell r="C2392" t="str">
            <v>7810064박　재　호</v>
          </cell>
          <cell r="D2392" t="str">
            <v>CG46</v>
          </cell>
          <cell r="E2392" t="str">
            <v>화물1담당</v>
          </cell>
          <cell r="F2392" t="str">
            <v>2653</v>
          </cell>
          <cell r="G2392" t="str">
            <v>2653</v>
          </cell>
          <cell r="H2392" t="str">
            <v>19780301</v>
          </cell>
          <cell r="I2392">
            <v>47261968</v>
          </cell>
        </row>
        <row r="2393">
          <cell r="A2393" t="str">
            <v>9111284</v>
          </cell>
          <cell r="B2393" t="str">
            <v>박　정　열</v>
          </cell>
          <cell r="C2393" t="str">
            <v>9111284박　정　열</v>
          </cell>
          <cell r="D2393" t="str">
            <v>CG46</v>
          </cell>
          <cell r="E2393" t="str">
            <v>화물1담당</v>
          </cell>
          <cell r="F2393" t="str">
            <v>2653</v>
          </cell>
          <cell r="G2393" t="str">
            <v>2653</v>
          </cell>
          <cell r="H2393" t="str">
            <v>19910725</v>
          </cell>
          <cell r="I2393">
            <v>11718900</v>
          </cell>
        </row>
        <row r="2394">
          <cell r="A2394" t="str">
            <v>9511986</v>
          </cell>
          <cell r="B2394" t="str">
            <v>박　정　한</v>
          </cell>
          <cell r="C2394" t="str">
            <v>9511986박　정　한</v>
          </cell>
          <cell r="D2394" t="str">
            <v>CG46</v>
          </cell>
          <cell r="E2394" t="str">
            <v>화물1담당</v>
          </cell>
          <cell r="F2394" t="str">
            <v>2653</v>
          </cell>
          <cell r="G2394" t="str">
            <v>2653</v>
          </cell>
          <cell r="H2394" t="str">
            <v>19951201</v>
          </cell>
          <cell r="I2394">
            <v>4717973</v>
          </cell>
        </row>
        <row r="2395">
          <cell r="A2395" t="str">
            <v>8910235</v>
          </cell>
          <cell r="B2395" t="str">
            <v>박　정　환</v>
          </cell>
          <cell r="C2395" t="str">
            <v>8910235박　정　환</v>
          </cell>
          <cell r="D2395" t="str">
            <v>CG46</v>
          </cell>
          <cell r="E2395" t="str">
            <v>화물1담당</v>
          </cell>
          <cell r="F2395" t="str">
            <v>2653</v>
          </cell>
          <cell r="G2395" t="str">
            <v>2653</v>
          </cell>
          <cell r="H2395" t="str">
            <v>19880908</v>
          </cell>
          <cell r="I2395">
            <v>18378139</v>
          </cell>
        </row>
        <row r="2396">
          <cell r="A2396" t="str">
            <v>9612202</v>
          </cell>
          <cell r="B2396" t="str">
            <v>부　성　호</v>
          </cell>
          <cell r="C2396" t="str">
            <v>9612202부　성　호</v>
          </cell>
          <cell r="D2396" t="str">
            <v>CG46</v>
          </cell>
          <cell r="E2396" t="str">
            <v>화물1담당</v>
          </cell>
          <cell r="F2396" t="str">
            <v>2653</v>
          </cell>
          <cell r="G2396" t="str">
            <v>2653</v>
          </cell>
          <cell r="H2396" t="str">
            <v>19960901</v>
          </cell>
          <cell r="I2396">
            <v>3838964</v>
          </cell>
        </row>
        <row r="2397">
          <cell r="A2397" t="str">
            <v>9712214</v>
          </cell>
          <cell r="B2397" t="str">
            <v>서　우　석</v>
          </cell>
          <cell r="C2397" t="str">
            <v>9712214서　우　석</v>
          </cell>
          <cell r="D2397" t="str">
            <v>CG46</v>
          </cell>
          <cell r="E2397" t="str">
            <v>화물1담당</v>
          </cell>
          <cell r="F2397" t="str">
            <v>2653</v>
          </cell>
          <cell r="G2397" t="str">
            <v>2653</v>
          </cell>
          <cell r="H2397" t="str">
            <v>19971101</v>
          </cell>
          <cell r="I2397">
            <v>2362490</v>
          </cell>
        </row>
        <row r="2398">
          <cell r="A2398" t="str">
            <v>9712438</v>
          </cell>
          <cell r="B2398" t="str">
            <v>송　용　훈</v>
          </cell>
          <cell r="C2398" t="str">
            <v>9712438송　용　훈</v>
          </cell>
          <cell r="D2398" t="str">
            <v>CG46</v>
          </cell>
          <cell r="E2398" t="str">
            <v>화물1담당</v>
          </cell>
          <cell r="F2398" t="str">
            <v>2653</v>
          </cell>
          <cell r="G2398" t="str">
            <v>2653</v>
          </cell>
          <cell r="H2398" t="str">
            <v>19971124</v>
          </cell>
          <cell r="I2398">
            <v>2454344</v>
          </cell>
        </row>
        <row r="2399">
          <cell r="A2399" t="str">
            <v>8811360</v>
          </cell>
          <cell r="B2399" t="str">
            <v>신　태　호</v>
          </cell>
          <cell r="C2399" t="str">
            <v>8811360신　태　호</v>
          </cell>
          <cell r="D2399" t="str">
            <v>CG46</v>
          </cell>
          <cell r="E2399" t="str">
            <v>화물1담당</v>
          </cell>
          <cell r="F2399" t="str">
            <v>2653</v>
          </cell>
          <cell r="G2399" t="str">
            <v>2653</v>
          </cell>
          <cell r="H2399" t="str">
            <v>19880905</v>
          </cell>
          <cell r="I2399">
            <v>17563800</v>
          </cell>
        </row>
        <row r="2400">
          <cell r="A2400" t="str">
            <v>8610096</v>
          </cell>
          <cell r="B2400" t="str">
            <v>안　희　권</v>
          </cell>
          <cell r="C2400" t="str">
            <v>8610096안　희　권</v>
          </cell>
          <cell r="D2400" t="str">
            <v>CG46</v>
          </cell>
          <cell r="E2400" t="str">
            <v>화물1담당</v>
          </cell>
          <cell r="F2400" t="str">
            <v>2653</v>
          </cell>
          <cell r="G2400" t="str">
            <v>2653</v>
          </cell>
          <cell r="H2400" t="str">
            <v>19991101</v>
          </cell>
          <cell r="I2400">
            <v>305997</v>
          </cell>
        </row>
        <row r="2401">
          <cell r="A2401" t="str">
            <v>9410207</v>
          </cell>
          <cell r="B2401" t="str">
            <v>양　하　열</v>
          </cell>
          <cell r="C2401" t="str">
            <v>9410207양　하　열</v>
          </cell>
          <cell r="D2401" t="str">
            <v>CG46</v>
          </cell>
          <cell r="E2401" t="str">
            <v>화물1담당</v>
          </cell>
          <cell r="F2401" t="str">
            <v>2653</v>
          </cell>
          <cell r="G2401" t="str">
            <v>2653</v>
          </cell>
          <cell r="H2401" t="str">
            <v>19940216</v>
          </cell>
          <cell r="I2401">
            <v>6789494</v>
          </cell>
        </row>
        <row r="2402">
          <cell r="A2402" t="str">
            <v>9511200</v>
          </cell>
          <cell r="B2402" t="str">
            <v>우　광　진</v>
          </cell>
          <cell r="C2402" t="str">
            <v>9511200우　광　진</v>
          </cell>
          <cell r="D2402" t="str">
            <v>CG46</v>
          </cell>
          <cell r="E2402" t="str">
            <v>화물1담당</v>
          </cell>
          <cell r="F2402" t="str">
            <v>2653</v>
          </cell>
          <cell r="G2402" t="str">
            <v>2330</v>
          </cell>
          <cell r="H2402" t="str">
            <v>19950801</v>
          </cell>
          <cell r="I2402">
            <v>5277576</v>
          </cell>
        </row>
        <row r="2403">
          <cell r="A2403" t="str">
            <v>8811551</v>
          </cell>
          <cell r="B2403" t="str">
            <v>유　영　국</v>
          </cell>
          <cell r="C2403" t="str">
            <v>8811551유　영　국</v>
          </cell>
          <cell r="D2403" t="str">
            <v>CG46</v>
          </cell>
          <cell r="E2403" t="str">
            <v>화물1담당</v>
          </cell>
          <cell r="F2403" t="str">
            <v>2653</v>
          </cell>
          <cell r="G2403" t="str">
            <v>2653</v>
          </cell>
          <cell r="H2403" t="str">
            <v>19881001</v>
          </cell>
          <cell r="I2403">
            <v>16751876</v>
          </cell>
        </row>
        <row r="2404">
          <cell r="A2404" t="str">
            <v>8310104</v>
          </cell>
          <cell r="B2404" t="str">
            <v>유　영　남</v>
          </cell>
          <cell r="C2404" t="str">
            <v>8310104유　영　남</v>
          </cell>
          <cell r="D2404" t="str">
            <v>CG46</v>
          </cell>
          <cell r="E2404" t="str">
            <v>화물1담당</v>
          </cell>
          <cell r="F2404" t="str">
            <v>2653</v>
          </cell>
          <cell r="G2404" t="str">
            <v>2653</v>
          </cell>
          <cell r="H2404" t="str">
            <v>19830501</v>
          </cell>
          <cell r="I2404">
            <v>34985213</v>
          </cell>
        </row>
        <row r="2405">
          <cell r="A2405" t="str">
            <v>8110754</v>
          </cell>
          <cell r="B2405" t="str">
            <v>윤　봉　기</v>
          </cell>
          <cell r="C2405" t="str">
            <v>8110754윤　봉　기</v>
          </cell>
          <cell r="D2405" t="str">
            <v>CG46</v>
          </cell>
          <cell r="E2405" t="str">
            <v>화물1담당</v>
          </cell>
          <cell r="F2405" t="str">
            <v>2653</v>
          </cell>
          <cell r="G2405" t="str">
            <v>2653</v>
          </cell>
          <cell r="H2405" t="str">
            <v>19810401</v>
          </cell>
          <cell r="I2405">
            <v>39076422</v>
          </cell>
        </row>
        <row r="2406">
          <cell r="A2406" t="str">
            <v>9511907</v>
          </cell>
          <cell r="B2406" t="str">
            <v>윤　종　호</v>
          </cell>
          <cell r="C2406" t="str">
            <v>9511907윤　종　호</v>
          </cell>
          <cell r="D2406" t="str">
            <v>CG46</v>
          </cell>
          <cell r="E2406" t="str">
            <v>화물1담당</v>
          </cell>
          <cell r="F2406" t="str">
            <v>2653</v>
          </cell>
          <cell r="G2406" t="str">
            <v>2653</v>
          </cell>
          <cell r="H2406" t="str">
            <v>19951201</v>
          </cell>
          <cell r="I2406">
            <v>4683170</v>
          </cell>
        </row>
        <row r="2407">
          <cell r="A2407" t="str">
            <v>8711032</v>
          </cell>
          <cell r="B2407" t="str">
            <v>이　삼　근</v>
          </cell>
          <cell r="C2407" t="str">
            <v>8711032이　삼　근</v>
          </cell>
          <cell r="D2407" t="str">
            <v>CG46</v>
          </cell>
          <cell r="E2407" t="str">
            <v>화물1담당</v>
          </cell>
          <cell r="F2407" t="str">
            <v>2653</v>
          </cell>
          <cell r="G2407" t="str">
            <v>2653</v>
          </cell>
          <cell r="H2407" t="str">
            <v>19870918</v>
          </cell>
          <cell r="I2407">
            <v>22644646</v>
          </cell>
        </row>
        <row r="2408">
          <cell r="A2408" t="str">
            <v>9412165</v>
          </cell>
          <cell r="B2408" t="str">
            <v>이　선　기</v>
          </cell>
          <cell r="C2408" t="str">
            <v>9412165이　선　기</v>
          </cell>
          <cell r="D2408" t="str">
            <v>CG46</v>
          </cell>
          <cell r="E2408" t="str">
            <v>화물1담당</v>
          </cell>
          <cell r="F2408" t="str">
            <v>2653</v>
          </cell>
          <cell r="G2408" t="str">
            <v>2653</v>
          </cell>
          <cell r="H2408" t="str">
            <v>19941101</v>
          </cell>
          <cell r="I2408">
            <v>5904806</v>
          </cell>
        </row>
        <row r="2409">
          <cell r="A2409" t="str">
            <v>9712315</v>
          </cell>
          <cell r="B2409" t="str">
            <v>이　승　민</v>
          </cell>
          <cell r="C2409" t="str">
            <v>9712315이　승　민</v>
          </cell>
          <cell r="D2409" t="str">
            <v>CG46</v>
          </cell>
          <cell r="E2409" t="str">
            <v>화물1담당</v>
          </cell>
          <cell r="F2409" t="str">
            <v>2653</v>
          </cell>
          <cell r="G2409" t="str">
            <v>2653</v>
          </cell>
          <cell r="H2409" t="str">
            <v>19971110</v>
          </cell>
          <cell r="I2409">
            <v>2409985</v>
          </cell>
        </row>
        <row r="2410">
          <cell r="A2410" t="str">
            <v>8911236</v>
          </cell>
          <cell r="B2410" t="str">
            <v>이　승　복</v>
          </cell>
          <cell r="C2410" t="str">
            <v>8911236이　승　복</v>
          </cell>
          <cell r="D2410" t="str">
            <v>CG46</v>
          </cell>
          <cell r="E2410" t="str">
            <v>화물1담당</v>
          </cell>
          <cell r="F2410" t="str">
            <v>2653</v>
          </cell>
          <cell r="G2410" t="str">
            <v>2653</v>
          </cell>
          <cell r="H2410" t="str">
            <v>19891211</v>
          </cell>
          <cell r="I2410">
            <v>15012458</v>
          </cell>
        </row>
        <row r="2411">
          <cell r="A2411" t="str">
            <v>9610457</v>
          </cell>
          <cell r="B2411" t="str">
            <v>이　재　욱</v>
          </cell>
          <cell r="C2411" t="str">
            <v>9610457이　재　욱</v>
          </cell>
          <cell r="D2411" t="str">
            <v>CG46</v>
          </cell>
          <cell r="E2411" t="str">
            <v>화물1담당</v>
          </cell>
          <cell r="F2411" t="str">
            <v>2653</v>
          </cell>
          <cell r="G2411" t="str">
            <v>2653</v>
          </cell>
          <cell r="H2411" t="str">
            <v>19960601</v>
          </cell>
          <cell r="I2411">
            <v>3985871</v>
          </cell>
        </row>
        <row r="2412">
          <cell r="A2412" t="str">
            <v>9612731</v>
          </cell>
          <cell r="B2412" t="str">
            <v>이　종　선</v>
          </cell>
          <cell r="C2412" t="str">
            <v>9612731이　종　선</v>
          </cell>
          <cell r="D2412" t="str">
            <v>CG46</v>
          </cell>
          <cell r="E2412" t="str">
            <v>화물1담당</v>
          </cell>
          <cell r="F2412" t="str">
            <v>2653</v>
          </cell>
          <cell r="G2412" t="str">
            <v>2653</v>
          </cell>
          <cell r="H2412" t="str">
            <v>19961201</v>
          </cell>
          <cell r="I2412">
            <v>3472187</v>
          </cell>
        </row>
        <row r="2413">
          <cell r="A2413" t="str">
            <v>9311297</v>
          </cell>
          <cell r="B2413" t="str">
            <v>이　충　근</v>
          </cell>
          <cell r="C2413" t="str">
            <v>9311297이　충　근</v>
          </cell>
          <cell r="D2413" t="str">
            <v>CG46</v>
          </cell>
          <cell r="E2413" t="str">
            <v>화물1담당</v>
          </cell>
          <cell r="F2413" t="str">
            <v>2653</v>
          </cell>
          <cell r="G2413" t="str">
            <v>2653</v>
          </cell>
          <cell r="H2413" t="str">
            <v>19930916</v>
          </cell>
          <cell r="I2413">
            <v>7259178</v>
          </cell>
        </row>
        <row r="2414">
          <cell r="A2414" t="str">
            <v>9012407</v>
          </cell>
          <cell r="B2414" t="str">
            <v>이　충　현</v>
          </cell>
          <cell r="C2414" t="str">
            <v>9012407이　충　현</v>
          </cell>
          <cell r="D2414" t="str">
            <v>CG46</v>
          </cell>
          <cell r="E2414" t="str">
            <v>화물1담당</v>
          </cell>
          <cell r="F2414" t="str">
            <v>2653</v>
          </cell>
          <cell r="G2414" t="str">
            <v>2653</v>
          </cell>
          <cell r="H2414" t="str">
            <v>19900901</v>
          </cell>
          <cell r="I2414">
            <v>12051124</v>
          </cell>
        </row>
        <row r="2415">
          <cell r="A2415" t="str">
            <v>8711425</v>
          </cell>
          <cell r="B2415" t="str">
            <v>임　광　순</v>
          </cell>
          <cell r="C2415" t="str">
            <v>8711425임　광　순</v>
          </cell>
          <cell r="D2415" t="str">
            <v>CG46</v>
          </cell>
          <cell r="E2415" t="str">
            <v>화물1담당</v>
          </cell>
          <cell r="F2415" t="str">
            <v>2653</v>
          </cell>
          <cell r="G2415" t="e">
            <v>#N/A</v>
          </cell>
          <cell r="H2415" t="str">
            <v>19871101</v>
          </cell>
          <cell r="I2415">
            <v>20486549</v>
          </cell>
          <cell r="J2415" t="str">
            <v>6 월</v>
          </cell>
          <cell r="K2415">
            <v>24518941</v>
          </cell>
        </row>
        <row r="2416">
          <cell r="A2416" t="str">
            <v>8711425</v>
          </cell>
          <cell r="B2416" t="str">
            <v>임　광　순</v>
          </cell>
          <cell r="C2416" t="str">
            <v>8711425임　광　순</v>
          </cell>
          <cell r="D2416" t="str">
            <v>CG46</v>
          </cell>
          <cell r="E2416" t="str">
            <v>화물1담당</v>
          </cell>
          <cell r="F2416" t="str">
            <v>2653</v>
          </cell>
          <cell r="G2416" t="e">
            <v>#N/A</v>
          </cell>
          <cell r="H2416" t="str">
            <v>19871101</v>
          </cell>
          <cell r="J2416" t="str">
            <v>7 월</v>
          </cell>
          <cell r="K2416">
            <v>1320267</v>
          </cell>
        </row>
        <row r="2417">
          <cell r="A2417" t="str">
            <v>9411287</v>
          </cell>
          <cell r="B2417" t="str">
            <v>임　성　우</v>
          </cell>
          <cell r="C2417" t="str">
            <v>9411287임　성　우</v>
          </cell>
          <cell r="D2417" t="str">
            <v>CG46</v>
          </cell>
          <cell r="E2417" t="str">
            <v>화물1담당</v>
          </cell>
          <cell r="F2417" t="str">
            <v>2653</v>
          </cell>
          <cell r="G2417" t="str">
            <v>2653</v>
          </cell>
          <cell r="H2417" t="str">
            <v>19940721</v>
          </cell>
          <cell r="I2417">
            <v>6310616</v>
          </cell>
        </row>
        <row r="2418">
          <cell r="A2418" t="str">
            <v>9511920</v>
          </cell>
          <cell r="B2418" t="str">
            <v>장　정　만</v>
          </cell>
          <cell r="C2418" t="str">
            <v>9511920장　정　만</v>
          </cell>
          <cell r="D2418" t="str">
            <v>CG46</v>
          </cell>
          <cell r="E2418" t="str">
            <v>화물1담당</v>
          </cell>
          <cell r="F2418" t="str">
            <v>2653</v>
          </cell>
          <cell r="G2418" t="str">
            <v>2653</v>
          </cell>
          <cell r="H2418" t="str">
            <v>19951201</v>
          </cell>
          <cell r="I2418">
            <v>4549692</v>
          </cell>
        </row>
        <row r="2419">
          <cell r="A2419" t="str">
            <v>9410387</v>
          </cell>
          <cell r="B2419" t="str">
            <v>정　병　주</v>
          </cell>
          <cell r="C2419" t="str">
            <v>9410387정　병　주</v>
          </cell>
          <cell r="D2419" t="str">
            <v>CG46</v>
          </cell>
          <cell r="E2419" t="str">
            <v>화물1담당</v>
          </cell>
          <cell r="F2419" t="str">
            <v>2653</v>
          </cell>
          <cell r="G2419" t="str">
            <v>2653</v>
          </cell>
          <cell r="H2419" t="str">
            <v>19940416</v>
          </cell>
          <cell r="I2419">
            <v>6769423</v>
          </cell>
        </row>
        <row r="2420">
          <cell r="A2420" t="str">
            <v>9010664</v>
          </cell>
          <cell r="B2420" t="str">
            <v>정　병　호</v>
          </cell>
          <cell r="C2420" t="str">
            <v>9010664정　병　호</v>
          </cell>
          <cell r="D2420" t="str">
            <v>CG46</v>
          </cell>
          <cell r="E2420" t="str">
            <v>화물1담당</v>
          </cell>
          <cell r="F2420" t="str">
            <v>2653</v>
          </cell>
          <cell r="G2420" t="str">
            <v>2653</v>
          </cell>
          <cell r="H2420" t="str">
            <v>19900507</v>
          </cell>
          <cell r="I2420">
            <v>17600498</v>
          </cell>
        </row>
        <row r="2421">
          <cell r="A2421" t="str">
            <v>9412108</v>
          </cell>
          <cell r="B2421" t="str">
            <v>조　명　훈</v>
          </cell>
          <cell r="C2421" t="str">
            <v>9412108조　명　훈</v>
          </cell>
          <cell r="D2421" t="str">
            <v>CG46</v>
          </cell>
          <cell r="E2421" t="str">
            <v>화물1담당</v>
          </cell>
          <cell r="F2421" t="str">
            <v>2653</v>
          </cell>
          <cell r="G2421" t="str">
            <v>2653</v>
          </cell>
          <cell r="H2421" t="str">
            <v>19941101</v>
          </cell>
          <cell r="I2421">
            <v>6164996</v>
          </cell>
        </row>
        <row r="2422">
          <cell r="A2422" t="str">
            <v>8811191</v>
          </cell>
          <cell r="B2422" t="str">
            <v>조　왕　구</v>
          </cell>
          <cell r="C2422" t="str">
            <v>8811191조　왕　구</v>
          </cell>
          <cell r="D2422" t="str">
            <v>CG46</v>
          </cell>
          <cell r="E2422" t="str">
            <v>화물1담당</v>
          </cell>
          <cell r="F2422" t="str">
            <v>2653</v>
          </cell>
          <cell r="G2422" t="str">
            <v>2653</v>
          </cell>
          <cell r="H2422" t="str">
            <v>19880905</v>
          </cell>
          <cell r="I2422">
            <v>20481324</v>
          </cell>
        </row>
        <row r="2423">
          <cell r="A2423" t="str">
            <v>8610208</v>
          </cell>
          <cell r="B2423" t="str">
            <v>최　형　호</v>
          </cell>
          <cell r="C2423" t="str">
            <v>8610208최　형　호</v>
          </cell>
          <cell r="D2423" t="str">
            <v>CG46</v>
          </cell>
          <cell r="E2423" t="str">
            <v>화물1담당</v>
          </cell>
          <cell r="F2423" t="str">
            <v>2653</v>
          </cell>
          <cell r="G2423" t="str">
            <v>2653</v>
          </cell>
          <cell r="H2423" t="str">
            <v>19860401</v>
          </cell>
          <cell r="I2423">
            <v>25398238</v>
          </cell>
        </row>
        <row r="2424">
          <cell r="A2424" t="str">
            <v>7400204</v>
          </cell>
          <cell r="B2424" t="str">
            <v>이　병　기</v>
          </cell>
          <cell r="C2424" t="str">
            <v>7400204이　병　기</v>
          </cell>
          <cell r="D2424" t="str">
            <v>CD30</v>
          </cell>
          <cell r="E2424" t="str">
            <v>화물2담당</v>
          </cell>
          <cell r="F2424" t="str">
            <v>2654</v>
          </cell>
          <cell r="G2424" t="str">
            <v>2654</v>
          </cell>
          <cell r="H2424" t="str">
            <v>19981001</v>
          </cell>
          <cell r="I2424">
            <v>3005946</v>
          </cell>
        </row>
        <row r="2425">
          <cell r="A2425" t="str">
            <v>8210024</v>
          </cell>
          <cell r="B2425" t="str">
            <v>기　노　상</v>
          </cell>
          <cell r="C2425" t="str">
            <v>8210024기　노　상</v>
          </cell>
          <cell r="D2425" t="str">
            <v>CG42</v>
          </cell>
          <cell r="E2425" t="str">
            <v>화물2담당</v>
          </cell>
          <cell r="F2425" t="str">
            <v>2654</v>
          </cell>
          <cell r="G2425" t="str">
            <v>2654</v>
          </cell>
          <cell r="H2425" t="str">
            <v>19820210</v>
          </cell>
          <cell r="I2425">
            <v>35267935</v>
          </cell>
        </row>
        <row r="2426">
          <cell r="A2426" t="str">
            <v>8110440</v>
          </cell>
          <cell r="B2426" t="str">
            <v>윤　기　원</v>
          </cell>
          <cell r="C2426" t="str">
            <v>8110440윤　기　원</v>
          </cell>
          <cell r="D2426" t="str">
            <v>CG44</v>
          </cell>
          <cell r="E2426" t="str">
            <v>화물2담당</v>
          </cell>
          <cell r="F2426" t="str">
            <v>2654</v>
          </cell>
          <cell r="G2426" t="str">
            <v>2654</v>
          </cell>
          <cell r="H2426" t="str">
            <v>19810301</v>
          </cell>
          <cell r="I2426">
            <v>36606433</v>
          </cell>
        </row>
        <row r="2427">
          <cell r="A2427" t="str">
            <v>8111002</v>
          </cell>
          <cell r="B2427" t="str">
            <v>최　용　규</v>
          </cell>
          <cell r="C2427" t="str">
            <v>8111002최　용　규</v>
          </cell>
          <cell r="D2427" t="str">
            <v>CG50</v>
          </cell>
          <cell r="E2427" t="str">
            <v>화물2담당</v>
          </cell>
          <cell r="F2427" t="str">
            <v>2654</v>
          </cell>
          <cell r="G2427" t="str">
            <v>2420</v>
          </cell>
          <cell r="H2427" t="str">
            <v>19810401</v>
          </cell>
          <cell r="I2427">
            <v>55096382</v>
          </cell>
        </row>
        <row r="2428">
          <cell r="A2428" t="str">
            <v>8710198</v>
          </cell>
          <cell r="B2428" t="str">
            <v>홍　진　경</v>
          </cell>
          <cell r="C2428" t="str">
            <v>8710198홍　진　경</v>
          </cell>
          <cell r="D2428" t="str">
            <v>CG50</v>
          </cell>
          <cell r="E2428" t="str">
            <v>화물2담당</v>
          </cell>
          <cell r="F2428" t="str">
            <v>2654</v>
          </cell>
          <cell r="G2428" t="str">
            <v>2654</v>
          </cell>
          <cell r="H2428" t="str">
            <v>19870121</v>
          </cell>
          <cell r="I2428">
            <v>29870091</v>
          </cell>
        </row>
        <row r="2429">
          <cell r="A2429" t="str">
            <v>9712517</v>
          </cell>
          <cell r="B2429" t="str">
            <v>강　문　준</v>
          </cell>
          <cell r="C2429" t="str">
            <v>9712517강　문　준</v>
          </cell>
          <cell r="D2429" t="str">
            <v>CG52</v>
          </cell>
          <cell r="E2429" t="str">
            <v>화물2담당</v>
          </cell>
          <cell r="F2429" t="str">
            <v>2654</v>
          </cell>
          <cell r="G2429" t="str">
            <v>2654</v>
          </cell>
          <cell r="H2429" t="str">
            <v>19971124</v>
          </cell>
          <cell r="I2429">
            <v>2382049</v>
          </cell>
        </row>
        <row r="2430">
          <cell r="A2430" t="str">
            <v>9510748</v>
          </cell>
          <cell r="B2430" t="str">
            <v>강　범　수</v>
          </cell>
          <cell r="C2430" t="str">
            <v>9510748강　범　수</v>
          </cell>
          <cell r="D2430" t="str">
            <v>CG52</v>
          </cell>
          <cell r="E2430" t="str">
            <v>화물2담당</v>
          </cell>
          <cell r="F2430" t="str">
            <v>2654</v>
          </cell>
          <cell r="G2430" t="str">
            <v>2654</v>
          </cell>
          <cell r="H2430" t="str">
            <v>19950501</v>
          </cell>
          <cell r="I2430">
            <v>5221621</v>
          </cell>
        </row>
        <row r="2431">
          <cell r="A2431" t="str">
            <v>8610344</v>
          </cell>
          <cell r="B2431" t="str">
            <v>강　창　모</v>
          </cell>
          <cell r="C2431" t="str">
            <v>8610344강　창　모</v>
          </cell>
          <cell r="D2431" t="str">
            <v>CG52</v>
          </cell>
          <cell r="E2431" t="str">
            <v>화물2담당</v>
          </cell>
          <cell r="F2431" t="str">
            <v>2654</v>
          </cell>
          <cell r="G2431" t="str">
            <v>2654</v>
          </cell>
          <cell r="H2431" t="str">
            <v>19860428</v>
          </cell>
          <cell r="I2431">
            <v>23190850</v>
          </cell>
        </row>
        <row r="2432">
          <cell r="A2432" t="str">
            <v>9212038</v>
          </cell>
          <cell r="B2432" t="str">
            <v>고　석　렬</v>
          </cell>
          <cell r="C2432" t="str">
            <v>9212038고　석　렬</v>
          </cell>
          <cell r="D2432" t="str">
            <v>CG52</v>
          </cell>
          <cell r="E2432" t="str">
            <v>화물2담당</v>
          </cell>
          <cell r="F2432" t="str">
            <v>2654</v>
          </cell>
          <cell r="G2432" t="str">
            <v>2654</v>
          </cell>
          <cell r="H2432" t="str">
            <v>19921008</v>
          </cell>
          <cell r="I2432">
            <v>8563483</v>
          </cell>
        </row>
        <row r="2433">
          <cell r="A2433" t="str">
            <v>8610827</v>
          </cell>
          <cell r="B2433" t="str">
            <v>고　정　호</v>
          </cell>
          <cell r="C2433" t="str">
            <v>8610827고　정　호</v>
          </cell>
          <cell r="D2433" t="str">
            <v>CG52</v>
          </cell>
          <cell r="E2433" t="str">
            <v>화물2담당</v>
          </cell>
          <cell r="F2433" t="str">
            <v>2654</v>
          </cell>
          <cell r="G2433" t="str">
            <v>2654</v>
          </cell>
          <cell r="H2433" t="str">
            <v>19860911</v>
          </cell>
          <cell r="I2433">
            <v>19842873</v>
          </cell>
        </row>
        <row r="2434">
          <cell r="A2434" t="str">
            <v>9612505</v>
          </cell>
          <cell r="B2434" t="str">
            <v>구　본　명</v>
          </cell>
          <cell r="C2434" t="str">
            <v>9612505구　본　명</v>
          </cell>
          <cell r="D2434" t="str">
            <v>CG52</v>
          </cell>
          <cell r="E2434" t="str">
            <v>화물2담당</v>
          </cell>
          <cell r="F2434" t="str">
            <v>2654</v>
          </cell>
          <cell r="G2434" t="e">
            <v>#N/A</v>
          </cell>
          <cell r="H2434" t="str">
            <v>19961101</v>
          </cell>
          <cell r="I2434">
            <v>3575389</v>
          </cell>
          <cell r="J2434" t="str">
            <v>3 월</v>
          </cell>
          <cell r="K2434">
            <v>3768524</v>
          </cell>
        </row>
        <row r="2435">
          <cell r="A2435" t="str">
            <v>9210194</v>
          </cell>
          <cell r="B2435" t="str">
            <v>구　회　영</v>
          </cell>
          <cell r="C2435" t="str">
            <v>9210194구　회　영</v>
          </cell>
          <cell r="D2435" t="str">
            <v>CG52</v>
          </cell>
          <cell r="E2435" t="str">
            <v>화물2담당</v>
          </cell>
          <cell r="F2435" t="str">
            <v>2654</v>
          </cell>
          <cell r="G2435" t="str">
            <v>2654</v>
          </cell>
          <cell r="H2435" t="str">
            <v>19920301</v>
          </cell>
          <cell r="I2435">
            <v>10305843</v>
          </cell>
        </row>
        <row r="2436">
          <cell r="A2436" t="str">
            <v>8910371</v>
          </cell>
          <cell r="B2436" t="str">
            <v>권　혁　록</v>
          </cell>
          <cell r="C2436" t="str">
            <v>8910371권　혁　록</v>
          </cell>
          <cell r="D2436" t="str">
            <v>CG52</v>
          </cell>
          <cell r="E2436" t="str">
            <v>화물2담당</v>
          </cell>
          <cell r="F2436" t="str">
            <v>2654</v>
          </cell>
          <cell r="G2436" t="str">
            <v>2654</v>
          </cell>
          <cell r="H2436" t="str">
            <v>19880915</v>
          </cell>
          <cell r="I2436">
            <v>15807048</v>
          </cell>
        </row>
        <row r="2437">
          <cell r="A2437" t="str">
            <v>8110348</v>
          </cell>
          <cell r="B2437" t="str">
            <v>기　우　연</v>
          </cell>
          <cell r="C2437" t="str">
            <v>8110348기　우　연</v>
          </cell>
          <cell r="D2437" t="str">
            <v>CG52</v>
          </cell>
          <cell r="E2437" t="str">
            <v>화물2담당</v>
          </cell>
          <cell r="F2437" t="str">
            <v>2654</v>
          </cell>
          <cell r="G2437" t="str">
            <v>2654</v>
          </cell>
          <cell r="H2437" t="str">
            <v>19810301</v>
          </cell>
          <cell r="I2437">
            <v>30168030</v>
          </cell>
        </row>
        <row r="2438">
          <cell r="A2438" t="str">
            <v>9211500</v>
          </cell>
          <cell r="B2438" t="str">
            <v>김　복　연</v>
          </cell>
          <cell r="C2438" t="str">
            <v>9211500김　복　연</v>
          </cell>
          <cell r="D2438" t="str">
            <v>CG52</v>
          </cell>
          <cell r="E2438" t="str">
            <v>화물2담당</v>
          </cell>
          <cell r="F2438" t="str">
            <v>2654</v>
          </cell>
          <cell r="G2438" t="str">
            <v>2654</v>
          </cell>
          <cell r="H2438" t="str">
            <v>19920706</v>
          </cell>
          <cell r="I2438">
            <v>9860564</v>
          </cell>
        </row>
        <row r="2439">
          <cell r="A2439" t="str">
            <v>8110866</v>
          </cell>
          <cell r="B2439" t="str">
            <v>김　상　근</v>
          </cell>
          <cell r="C2439" t="str">
            <v>8110866김　상　근</v>
          </cell>
          <cell r="D2439" t="str">
            <v>CG52</v>
          </cell>
          <cell r="E2439" t="str">
            <v>화물2담당</v>
          </cell>
          <cell r="F2439" t="str">
            <v>2654</v>
          </cell>
          <cell r="G2439" t="str">
            <v>2654</v>
          </cell>
          <cell r="H2439" t="str">
            <v>19810401</v>
          </cell>
          <cell r="I2439">
            <v>40435237</v>
          </cell>
        </row>
        <row r="2440">
          <cell r="A2440" t="str">
            <v>8911203</v>
          </cell>
          <cell r="B2440" t="str">
            <v>김　승　배</v>
          </cell>
          <cell r="C2440" t="str">
            <v>8911203김　승　배</v>
          </cell>
          <cell r="D2440" t="str">
            <v>CG52</v>
          </cell>
          <cell r="E2440" t="str">
            <v>화물2담당</v>
          </cell>
          <cell r="F2440" t="str">
            <v>2654</v>
          </cell>
          <cell r="G2440" t="str">
            <v>2654</v>
          </cell>
          <cell r="H2440" t="str">
            <v>19891211</v>
          </cell>
          <cell r="I2440">
            <v>17406505</v>
          </cell>
        </row>
        <row r="2441">
          <cell r="A2441" t="str">
            <v>7810356</v>
          </cell>
          <cell r="B2441" t="str">
            <v>김　영　섭</v>
          </cell>
          <cell r="C2441" t="str">
            <v>7810356김　영　섭</v>
          </cell>
          <cell r="D2441" t="str">
            <v>CG52</v>
          </cell>
          <cell r="E2441" t="str">
            <v>화물2담당</v>
          </cell>
          <cell r="F2441" t="str">
            <v>2654</v>
          </cell>
          <cell r="G2441" t="str">
            <v>2654</v>
          </cell>
          <cell r="H2441" t="str">
            <v>19781103</v>
          </cell>
          <cell r="I2441">
            <v>37402006</v>
          </cell>
        </row>
        <row r="2442">
          <cell r="A2442" t="str">
            <v>9311826</v>
          </cell>
          <cell r="B2442" t="str">
            <v>김　월　동</v>
          </cell>
          <cell r="C2442" t="str">
            <v>9311826김　월　동</v>
          </cell>
          <cell r="D2442" t="str">
            <v>CG52</v>
          </cell>
          <cell r="E2442" t="str">
            <v>화물2담당</v>
          </cell>
          <cell r="F2442" t="str">
            <v>2654</v>
          </cell>
          <cell r="G2442" t="str">
            <v>2654</v>
          </cell>
          <cell r="H2442" t="str">
            <v>19931108</v>
          </cell>
          <cell r="I2442">
            <v>7798402</v>
          </cell>
        </row>
        <row r="2443">
          <cell r="A2443" t="str">
            <v>8610028</v>
          </cell>
          <cell r="B2443" t="str">
            <v>김　장　섭</v>
          </cell>
          <cell r="C2443" t="str">
            <v>8610028김　장　섭</v>
          </cell>
          <cell r="D2443" t="str">
            <v>CG52</v>
          </cell>
          <cell r="E2443" t="str">
            <v>화물2담당</v>
          </cell>
          <cell r="F2443" t="str">
            <v>2654</v>
          </cell>
          <cell r="G2443" t="str">
            <v>2654</v>
          </cell>
          <cell r="H2443" t="str">
            <v>19860130</v>
          </cell>
          <cell r="I2443">
            <v>23003695</v>
          </cell>
        </row>
        <row r="2444">
          <cell r="A2444" t="str">
            <v>8710828</v>
          </cell>
          <cell r="B2444" t="str">
            <v>김　정　한</v>
          </cell>
          <cell r="C2444" t="str">
            <v>8710828김　정　한</v>
          </cell>
          <cell r="D2444" t="str">
            <v>CG52</v>
          </cell>
          <cell r="E2444" t="str">
            <v>화물2담당</v>
          </cell>
          <cell r="F2444" t="str">
            <v>2654</v>
          </cell>
          <cell r="G2444" t="str">
            <v>2654</v>
          </cell>
          <cell r="H2444" t="str">
            <v>19870810</v>
          </cell>
          <cell r="I2444">
            <v>21373311</v>
          </cell>
        </row>
        <row r="2445">
          <cell r="A2445" t="str">
            <v>8110978</v>
          </cell>
          <cell r="B2445" t="str">
            <v>김　종　길</v>
          </cell>
          <cell r="C2445" t="str">
            <v>8110978김　종　길</v>
          </cell>
          <cell r="D2445" t="str">
            <v>CG52</v>
          </cell>
          <cell r="E2445" t="str">
            <v>화물2담당</v>
          </cell>
          <cell r="F2445" t="str">
            <v>2654</v>
          </cell>
          <cell r="G2445" t="str">
            <v>2654</v>
          </cell>
          <cell r="H2445" t="str">
            <v>19810401</v>
          </cell>
          <cell r="I2445">
            <v>39788451</v>
          </cell>
        </row>
        <row r="2446">
          <cell r="A2446" t="str">
            <v>8111261</v>
          </cell>
          <cell r="B2446" t="str">
            <v>김　종　원</v>
          </cell>
          <cell r="C2446" t="str">
            <v>8111261김　종　원</v>
          </cell>
          <cell r="D2446" t="str">
            <v>CG52</v>
          </cell>
          <cell r="E2446" t="str">
            <v>화물2담당</v>
          </cell>
          <cell r="F2446" t="str">
            <v>2654</v>
          </cell>
          <cell r="G2446" t="str">
            <v>2654</v>
          </cell>
          <cell r="H2446" t="str">
            <v>19811101</v>
          </cell>
          <cell r="I2446">
            <v>32755317</v>
          </cell>
        </row>
        <row r="2447">
          <cell r="A2447" t="str">
            <v>8111160</v>
          </cell>
          <cell r="B2447" t="str">
            <v>김　진　문</v>
          </cell>
          <cell r="C2447" t="str">
            <v>8111160김　진　문</v>
          </cell>
          <cell r="D2447" t="str">
            <v>CG52</v>
          </cell>
          <cell r="E2447" t="str">
            <v>화물2담당</v>
          </cell>
          <cell r="F2447" t="str">
            <v>2654</v>
          </cell>
          <cell r="G2447" t="str">
            <v>2654</v>
          </cell>
          <cell r="H2447" t="str">
            <v>19811101</v>
          </cell>
          <cell r="I2447">
            <v>33436783</v>
          </cell>
        </row>
        <row r="2448">
          <cell r="A2448" t="str">
            <v>9511356</v>
          </cell>
          <cell r="B2448" t="str">
            <v>김　창　신</v>
          </cell>
          <cell r="C2448" t="str">
            <v>9511356김　창　신</v>
          </cell>
          <cell r="D2448" t="str">
            <v>CG52</v>
          </cell>
          <cell r="E2448" t="str">
            <v>화물2담당</v>
          </cell>
          <cell r="F2448" t="str">
            <v>2654</v>
          </cell>
          <cell r="G2448" t="e">
            <v>#N/A</v>
          </cell>
          <cell r="H2448" t="str">
            <v>19950801</v>
          </cell>
          <cell r="I2448">
            <v>5004449</v>
          </cell>
          <cell r="J2448" t="str">
            <v>7 월</v>
          </cell>
          <cell r="K2448">
            <v>6270149</v>
          </cell>
        </row>
        <row r="2449">
          <cell r="A2449" t="str">
            <v>8111474</v>
          </cell>
          <cell r="B2449" t="str">
            <v>김　태　석</v>
          </cell>
          <cell r="C2449" t="str">
            <v>8111474김　태　석</v>
          </cell>
          <cell r="D2449" t="str">
            <v>CG52</v>
          </cell>
          <cell r="E2449" t="str">
            <v>화물2담당</v>
          </cell>
          <cell r="F2449" t="str">
            <v>2654</v>
          </cell>
          <cell r="G2449" t="str">
            <v>2654</v>
          </cell>
          <cell r="H2449" t="str">
            <v>19811101</v>
          </cell>
          <cell r="I2449">
            <v>33159680</v>
          </cell>
        </row>
        <row r="2450">
          <cell r="A2450" t="str">
            <v>9010607</v>
          </cell>
          <cell r="B2450" t="str">
            <v>김　학　실</v>
          </cell>
          <cell r="C2450" t="str">
            <v>9010607김　학　실</v>
          </cell>
          <cell r="D2450" t="str">
            <v>CG52</v>
          </cell>
          <cell r="E2450" t="str">
            <v>화물2담당</v>
          </cell>
          <cell r="F2450" t="str">
            <v>2654</v>
          </cell>
          <cell r="G2450" t="str">
            <v>2654</v>
          </cell>
          <cell r="H2450" t="str">
            <v>19900507</v>
          </cell>
          <cell r="I2450">
            <v>16656105</v>
          </cell>
        </row>
        <row r="2451">
          <cell r="A2451" t="str">
            <v>9510974</v>
          </cell>
          <cell r="B2451" t="str">
            <v>남　경　일</v>
          </cell>
          <cell r="C2451" t="str">
            <v>9510974남　경　일</v>
          </cell>
          <cell r="D2451" t="str">
            <v>CG52</v>
          </cell>
          <cell r="E2451" t="str">
            <v>화물2담당</v>
          </cell>
          <cell r="F2451" t="str">
            <v>2654</v>
          </cell>
          <cell r="G2451" t="str">
            <v>2654</v>
          </cell>
          <cell r="H2451" t="str">
            <v>19950626</v>
          </cell>
          <cell r="I2451">
            <v>5186154</v>
          </cell>
        </row>
        <row r="2452">
          <cell r="A2452" t="str">
            <v>8610041</v>
          </cell>
          <cell r="B2452" t="str">
            <v>남　효　우</v>
          </cell>
          <cell r="C2452" t="str">
            <v>8610041남　효　우</v>
          </cell>
          <cell r="D2452" t="str">
            <v>CG52</v>
          </cell>
          <cell r="E2452" t="str">
            <v>화물2담당</v>
          </cell>
          <cell r="F2452" t="str">
            <v>2654</v>
          </cell>
          <cell r="G2452" t="str">
            <v>2654</v>
          </cell>
          <cell r="H2452" t="str">
            <v>19860130</v>
          </cell>
          <cell r="I2452">
            <v>25349843</v>
          </cell>
        </row>
        <row r="2453">
          <cell r="A2453" t="str">
            <v>8510275</v>
          </cell>
          <cell r="B2453" t="str">
            <v>도　인　현</v>
          </cell>
          <cell r="C2453" t="str">
            <v>8510275도　인　현</v>
          </cell>
          <cell r="D2453" t="str">
            <v>CG52</v>
          </cell>
          <cell r="E2453" t="str">
            <v>화물2담당</v>
          </cell>
          <cell r="F2453" t="str">
            <v>2654</v>
          </cell>
          <cell r="G2453" t="str">
            <v>2330</v>
          </cell>
          <cell r="H2453" t="str">
            <v>19851028</v>
          </cell>
          <cell r="I2453">
            <v>22864747</v>
          </cell>
        </row>
        <row r="2454">
          <cell r="A2454" t="str">
            <v>9410714</v>
          </cell>
          <cell r="B2454" t="str">
            <v>박　근　수</v>
          </cell>
          <cell r="C2454" t="str">
            <v>9410714박　근　수</v>
          </cell>
          <cell r="D2454" t="str">
            <v>CG52</v>
          </cell>
          <cell r="E2454" t="str">
            <v>화물2담당</v>
          </cell>
          <cell r="F2454" t="str">
            <v>2654</v>
          </cell>
          <cell r="G2454" t="str">
            <v>2654</v>
          </cell>
          <cell r="H2454" t="str">
            <v>19940601</v>
          </cell>
          <cell r="I2454">
            <v>6449182</v>
          </cell>
        </row>
        <row r="2455">
          <cell r="A2455" t="str">
            <v>9610255</v>
          </cell>
          <cell r="B2455" t="str">
            <v>박　정　규</v>
          </cell>
          <cell r="C2455" t="str">
            <v>9610255박　정　규</v>
          </cell>
          <cell r="D2455" t="str">
            <v>CG52</v>
          </cell>
          <cell r="E2455" t="str">
            <v>화물2담당</v>
          </cell>
          <cell r="F2455" t="str">
            <v>2654</v>
          </cell>
          <cell r="G2455" t="str">
            <v>2654</v>
          </cell>
          <cell r="H2455" t="str">
            <v>19960601</v>
          </cell>
          <cell r="I2455">
            <v>4141753</v>
          </cell>
        </row>
        <row r="2456">
          <cell r="A2456" t="str">
            <v>9310983</v>
          </cell>
          <cell r="B2456" t="str">
            <v>박　정　식</v>
          </cell>
          <cell r="C2456" t="str">
            <v>9310983박　정　식</v>
          </cell>
          <cell r="D2456" t="str">
            <v>CG52</v>
          </cell>
          <cell r="E2456" t="str">
            <v>화물2담당</v>
          </cell>
          <cell r="F2456" t="str">
            <v>2654</v>
          </cell>
          <cell r="G2456" t="str">
            <v>2654</v>
          </cell>
          <cell r="H2456" t="str">
            <v>19930812</v>
          </cell>
          <cell r="I2456">
            <v>8268905</v>
          </cell>
        </row>
        <row r="2457">
          <cell r="A2457" t="str">
            <v>9612246</v>
          </cell>
          <cell r="B2457" t="str">
            <v>박　종　식</v>
          </cell>
          <cell r="C2457" t="str">
            <v>9612246박　종　식</v>
          </cell>
          <cell r="D2457" t="str">
            <v>CG52</v>
          </cell>
          <cell r="E2457" t="str">
            <v>화물2담당</v>
          </cell>
          <cell r="F2457" t="str">
            <v>2654</v>
          </cell>
          <cell r="G2457" t="str">
            <v>2654</v>
          </cell>
          <cell r="H2457" t="str">
            <v>19960901</v>
          </cell>
          <cell r="I2457">
            <v>3712945</v>
          </cell>
        </row>
        <row r="2458">
          <cell r="A2458" t="str">
            <v>8811268</v>
          </cell>
          <cell r="B2458" t="str">
            <v>박　춘　민</v>
          </cell>
          <cell r="C2458" t="str">
            <v>8811268박　춘　민</v>
          </cell>
          <cell r="D2458" t="str">
            <v>CG52</v>
          </cell>
          <cell r="E2458" t="str">
            <v>화물2담당</v>
          </cell>
          <cell r="F2458" t="str">
            <v>2654</v>
          </cell>
          <cell r="G2458" t="str">
            <v>2654</v>
          </cell>
          <cell r="H2458" t="str">
            <v>19880905</v>
          </cell>
          <cell r="I2458">
            <v>21336317</v>
          </cell>
        </row>
        <row r="2459">
          <cell r="A2459" t="str">
            <v>8110923</v>
          </cell>
          <cell r="B2459" t="str">
            <v>박　태　규</v>
          </cell>
          <cell r="C2459" t="str">
            <v>8110923박　태　규</v>
          </cell>
          <cell r="D2459" t="str">
            <v>CG52</v>
          </cell>
          <cell r="E2459" t="str">
            <v>화물2담당</v>
          </cell>
          <cell r="F2459" t="str">
            <v>2654</v>
          </cell>
          <cell r="G2459" t="str">
            <v>2654</v>
          </cell>
          <cell r="H2459" t="str">
            <v>19810401</v>
          </cell>
          <cell r="I2459">
            <v>40052555</v>
          </cell>
        </row>
        <row r="2460">
          <cell r="A2460" t="str">
            <v>9103746</v>
          </cell>
          <cell r="B2460" t="str">
            <v>박　형　철</v>
          </cell>
          <cell r="C2460" t="str">
            <v>9103746박　형　철</v>
          </cell>
          <cell r="D2460" t="str">
            <v>CG52</v>
          </cell>
          <cell r="E2460" t="str">
            <v>화물2담당</v>
          </cell>
          <cell r="F2460" t="str">
            <v>2654</v>
          </cell>
          <cell r="G2460" t="str">
            <v>2654</v>
          </cell>
          <cell r="H2460" t="str">
            <v>19910910</v>
          </cell>
          <cell r="I2460">
            <v>9664264</v>
          </cell>
        </row>
        <row r="2461">
          <cell r="A2461" t="str">
            <v>9311207</v>
          </cell>
          <cell r="B2461" t="str">
            <v>박　훈　호</v>
          </cell>
          <cell r="C2461" t="str">
            <v>9311207박　훈　호</v>
          </cell>
          <cell r="D2461" t="str">
            <v>CG52</v>
          </cell>
          <cell r="E2461" t="str">
            <v>화물2담당</v>
          </cell>
          <cell r="F2461" t="str">
            <v>2654</v>
          </cell>
          <cell r="G2461" t="str">
            <v>2654</v>
          </cell>
          <cell r="H2461" t="str">
            <v>19930906</v>
          </cell>
          <cell r="I2461">
            <v>7630120</v>
          </cell>
        </row>
        <row r="2462">
          <cell r="A2462" t="str">
            <v>8510128</v>
          </cell>
          <cell r="B2462" t="str">
            <v>배　병　현</v>
          </cell>
          <cell r="C2462" t="str">
            <v>8510128배　병　현</v>
          </cell>
          <cell r="D2462" t="str">
            <v>CG52</v>
          </cell>
          <cell r="E2462" t="str">
            <v>화물2담당</v>
          </cell>
          <cell r="F2462" t="str">
            <v>2654</v>
          </cell>
          <cell r="G2462" t="str">
            <v>2654</v>
          </cell>
          <cell r="H2462" t="str">
            <v>19850528</v>
          </cell>
          <cell r="I2462">
            <v>25827599</v>
          </cell>
        </row>
        <row r="2463">
          <cell r="A2463" t="str">
            <v>8811663</v>
          </cell>
          <cell r="B2463" t="str">
            <v>백　남　숭</v>
          </cell>
          <cell r="C2463" t="str">
            <v>8811663백　남　숭</v>
          </cell>
          <cell r="D2463" t="str">
            <v>CG52</v>
          </cell>
          <cell r="E2463" t="str">
            <v>화물2담당</v>
          </cell>
          <cell r="F2463" t="str">
            <v>2654</v>
          </cell>
          <cell r="G2463" t="str">
            <v>2654</v>
          </cell>
          <cell r="H2463" t="str">
            <v>19881018</v>
          </cell>
          <cell r="I2463">
            <v>19551551</v>
          </cell>
        </row>
        <row r="2464">
          <cell r="A2464" t="str">
            <v>9210508</v>
          </cell>
          <cell r="B2464" t="str">
            <v>변　관　식</v>
          </cell>
          <cell r="C2464" t="str">
            <v>9210508변　관　식</v>
          </cell>
          <cell r="D2464" t="str">
            <v>CG52</v>
          </cell>
          <cell r="E2464" t="str">
            <v>화물2담당</v>
          </cell>
          <cell r="F2464" t="str">
            <v>2654</v>
          </cell>
          <cell r="G2464" t="str">
            <v>2654</v>
          </cell>
          <cell r="H2464" t="str">
            <v>19920215</v>
          </cell>
          <cell r="I2464">
            <v>15502062</v>
          </cell>
        </row>
        <row r="2465">
          <cell r="A2465" t="str">
            <v>9511738</v>
          </cell>
          <cell r="B2465" t="str">
            <v>서　민　구</v>
          </cell>
          <cell r="C2465" t="str">
            <v>9511738서　민　구</v>
          </cell>
          <cell r="D2465" t="str">
            <v>CG52</v>
          </cell>
          <cell r="E2465" t="str">
            <v>화물2담당</v>
          </cell>
          <cell r="F2465" t="str">
            <v>2654</v>
          </cell>
          <cell r="G2465" t="str">
            <v>2654</v>
          </cell>
          <cell r="H2465" t="str">
            <v>19951201</v>
          </cell>
          <cell r="I2465">
            <v>4610908</v>
          </cell>
        </row>
        <row r="2466">
          <cell r="A2466" t="str">
            <v>8604516</v>
          </cell>
          <cell r="B2466" t="str">
            <v>성　덕　제</v>
          </cell>
          <cell r="C2466" t="str">
            <v>8604516성　덕　제</v>
          </cell>
          <cell r="D2466" t="str">
            <v>CG52</v>
          </cell>
          <cell r="E2466" t="str">
            <v>화물2담당</v>
          </cell>
          <cell r="F2466" t="str">
            <v>2654</v>
          </cell>
          <cell r="G2466" t="str">
            <v>2654</v>
          </cell>
          <cell r="H2466" t="str">
            <v>19861020</v>
          </cell>
          <cell r="I2466">
            <v>17786194</v>
          </cell>
        </row>
        <row r="2467">
          <cell r="A2467" t="str">
            <v>9511018</v>
          </cell>
          <cell r="B2467" t="str">
            <v>손　경　배</v>
          </cell>
          <cell r="C2467" t="str">
            <v>9511018손　경　배</v>
          </cell>
          <cell r="D2467" t="str">
            <v>CG52</v>
          </cell>
          <cell r="E2467" t="str">
            <v>화물2담당</v>
          </cell>
          <cell r="F2467" t="str">
            <v>2654</v>
          </cell>
          <cell r="G2467" t="str">
            <v>2654</v>
          </cell>
          <cell r="H2467" t="str">
            <v>19950626</v>
          </cell>
          <cell r="I2467">
            <v>4935696</v>
          </cell>
        </row>
        <row r="2468">
          <cell r="A2468" t="str">
            <v>8710830</v>
          </cell>
          <cell r="B2468" t="str">
            <v>손　기　한</v>
          </cell>
          <cell r="C2468" t="str">
            <v>8710830손　기　한</v>
          </cell>
          <cell r="D2468" t="str">
            <v>CG52</v>
          </cell>
          <cell r="E2468" t="str">
            <v>화물2담당</v>
          </cell>
          <cell r="F2468" t="str">
            <v>2654</v>
          </cell>
          <cell r="G2468" t="str">
            <v>2654</v>
          </cell>
          <cell r="H2468" t="str">
            <v>19870810</v>
          </cell>
          <cell r="I2468">
            <v>19606400</v>
          </cell>
        </row>
        <row r="2469">
          <cell r="A2469" t="str">
            <v>9610481</v>
          </cell>
          <cell r="B2469" t="str">
            <v>송　기　방</v>
          </cell>
          <cell r="C2469" t="str">
            <v>9610481송　기　방</v>
          </cell>
          <cell r="D2469" t="str">
            <v>CG52</v>
          </cell>
          <cell r="E2469" t="str">
            <v>화물2담당</v>
          </cell>
          <cell r="F2469" t="str">
            <v>2654</v>
          </cell>
          <cell r="G2469" t="str">
            <v>2654</v>
          </cell>
          <cell r="H2469" t="str">
            <v>19960601</v>
          </cell>
          <cell r="I2469">
            <v>4004839</v>
          </cell>
        </row>
        <row r="2470">
          <cell r="A2470" t="str">
            <v>9310645</v>
          </cell>
          <cell r="B2470" t="str">
            <v>신　광　우</v>
          </cell>
          <cell r="C2470" t="str">
            <v>9310645신　광　우</v>
          </cell>
          <cell r="D2470" t="str">
            <v>CG52</v>
          </cell>
          <cell r="E2470" t="str">
            <v>화물2담당</v>
          </cell>
          <cell r="F2470" t="str">
            <v>2654</v>
          </cell>
          <cell r="G2470" t="str">
            <v>2654</v>
          </cell>
          <cell r="H2470" t="str">
            <v>19930705</v>
          </cell>
          <cell r="I2470">
            <v>7342326</v>
          </cell>
        </row>
        <row r="2471">
          <cell r="A2471" t="str">
            <v>7810446</v>
          </cell>
          <cell r="B2471" t="str">
            <v>신　상　균</v>
          </cell>
          <cell r="C2471" t="str">
            <v>7810446신　상　균</v>
          </cell>
          <cell r="D2471" t="str">
            <v>CG52</v>
          </cell>
          <cell r="E2471" t="str">
            <v>화물2담당</v>
          </cell>
          <cell r="F2471" t="str">
            <v>2654</v>
          </cell>
          <cell r="G2471" t="str">
            <v>2653</v>
          </cell>
          <cell r="H2471" t="str">
            <v>19780101</v>
          </cell>
          <cell r="I2471">
            <v>50717326</v>
          </cell>
        </row>
        <row r="2472">
          <cell r="A2472" t="str">
            <v>9712607</v>
          </cell>
          <cell r="B2472" t="str">
            <v>신　재　순</v>
          </cell>
          <cell r="C2472" t="str">
            <v>9712607신　재　순</v>
          </cell>
          <cell r="D2472" t="str">
            <v>CG52</v>
          </cell>
          <cell r="E2472" t="str">
            <v>화물2담당</v>
          </cell>
          <cell r="F2472" t="str">
            <v>2654</v>
          </cell>
          <cell r="G2472" t="str">
            <v>2654</v>
          </cell>
          <cell r="H2472" t="str">
            <v>19971201</v>
          </cell>
          <cell r="I2472">
            <v>2338131</v>
          </cell>
        </row>
        <row r="2473">
          <cell r="A2473" t="str">
            <v>8410296</v>
          </cell>
          <cell r="B2473" t="str">
            <v>안　종　덕</v>
          </cell>
          <cell r="C2473" t="str">
            <v>8410296안　종　덕</v>
          </cell>
          <cell r="D2473" t="str">
            <v>CG52</v>
          </cell>
          <cell r="E2473" t="str">
            <v>화물2담당</v>
          </cell>
          <cell r="F2473" t="str">
            <v>2654</v>
          </cell>
          <cell r="G2473" t="str">
            <v>2654</v>
          </cell>
          <cell r="H2473" t="str">
            <v>19840716</v>
          </cell>
          <cell r="I2473">
            <v>25788155</v>
          </cell>
        </row>
        <row r="2474">
          <cell r="A2474" t="str">
            <v>9010980</v>
          </cell>
          <cell r="B2474" t="str">
            <v>오　상　민</v>
          </cell>
          <cell r="C2474" t="str">
            <v>9010980오　상　민</v>
          </cell>
          <cell r="D2474" t="str">
            <v>CG52</v>
          </cell>
          <cell r="E2474" t="str">
            <v>화물2담당</v>
          </cell>
          <cell r="F2474" t="str">
            <v>2654</v>
          </cell>
          <cell r="G2474" t="str">
            <v>2654</v>
          </cell>
          <cell r="H2474" t="str">
            <v>19890822</v>
          </cell>
          <cell r="I2474">
            <v>14732236</v>
          </cell>
        </row>
        <row r="2475">
          <cell r="A2475" t="str">
            <v>9011970</v>
          </cell>
          <cell r="B2475" t="str">
            <v>오　세　충</v>
          </cell>
          <cell r="C2475" t="str">
            <v>9011970오　세　충</v>
          </cell>
          <cell r="D2475" t="str">
            <v>CG52</v>
          </cell>
          <cell r="E2475" t="str">
            <v>화물2담당</v>
          </cell>
          <cell r="F2475" t="str">
            <v>2654</v>
          </cell>
          <cell r="G2475" t="str">
            <v>2654</v>
          </cell>
          <cell r="H2475" t="str">
            <v>19891122</v>
          </cell>
          <cell r="I2475">
            <v>14311068</v>
          </cell>
        </row>
        <row r="2476">
          <cell r="A2476" t="str">
            <v>9711303</v>
          </cell>
          <cell r="B2476" t="str">
            <v>우　성　태</v>
          </cell>
          <cell r="C2476" t="str">
            <v>9711303우　성　태</v>
          </cell>
          <cell r="D2476" t="str">
            <v>CG52</v>
          </cell>
          <cell r="E2476" t="str">
            <v>화물2담당</v>
          </cell>
          <cell r="F2476" t="str">
            <v>2654</v>
          </cell>
          <cell r="G2476" t="str">
            <v>2654</v>
          </cell>
          <cell r="H2476" t="str">
            <v>19970710</v>
          </cell>
          <cell r="I2476">
            <v>2728919</v>
          </cell>
        </row>
        <row r="2477">
          <cell r="A2477" t="str">
            <v>8110416</v>
          </cell>
          <cell r="B2477" t="str">
            <v>원　승　상</v>
          </cell>
          <cell r="C2477" t="str">
            <v>8110416원　승　상</v>
          </cell>
          <cell r="D2477" t="str">
            <v>CG52</v>
          </cell>
          <cell r="E2477" t="str">
            <v>화물2담당</v>
          </cell>
          <cell r="F2477" t="str">
            <v>2654</v>
          </cell>
          <cell r="G2477" t="str">
            <v>2654</v>
          </cell>
          <cell r="H2477" t="str">
            <v>19810301</v>
          </cell>
          <cell r="I2477">
            <v>33402717</v>
          </cell>
        </row>
        <row r="2478">
          <cell r="A2478" t="str">
            <v>8811180</v>
          </cell>
          <cell r="B2478" t="str">
            <v>유　문　수</v>
          </cell>
          <cell r="C2478" t="str">
            <v>8811180유　문　수</v>
          </cell>
          <cell r="D2478" t="str">
            <v>CG52</v>
          </cell>
          <cell r="E2478" t="str">
            <v>화물2담당</v>
          </cell>
          <cell r="F2478" t="str">
            <v>2654</v>
          </cell>
          <cell r="G2478" t="str">
            <v>2654</v>
          </cell>
          <cell r="H2478" t="str">
            <v>19880905</v>
          </cell>
          <cell r="I2478">
            <v>19983681</v>
          </cell>
        </row>
        <row r="2479">
          <cell r="A2479" t="str">
            <v>9411142</v>
          </cell>
          <cell r="B2479" t="str">
            <v>윤　관　숙</v>
          </cell>
          <cell r="C2479" t="str">
            <v>9411142윤　관　숙</v>
          </cell>
          <cell r="D2479" t="str">
            <v>CG52</v>
          </cell>
          <cell r="E2479" t="str">
            <v>화물2담당</v>
          </cell>
          <cell r="F2479" t="str">
            <v>2654</v>
          </cell>
          <cell r="G2479" t="str">
            <v>2654</v>
          </cell>
          <cell r="H2479" t="str">
            <v>19940616</v>
          </cell>
          <cell r="I2479">
            <v>6932986</v>
          </cell>
        </row>
        <row r="2480">
          <cell r="A2480" t="str">
            <v>9612685</v>
          </cell>
          <cell r="B2480" t="str">
            <v>윤　광　진</v>
          </cell>
          <cell r="C2480" t="str">
            <v>9612685윤　광　진</v>
          </cell>
          <cell r="D2480" t="str">
            <v>CG52</v>
          </cell>
          <cell r="E2480" t="str">
            <v>화물2담당</v>
          </cell>
          <cell r="F2480" t="str">
            <v>2654</v>
          </cell>
          <cell r="G2480" t="e">
            <v>#N/A</v>
          </cell>
          <cell r="H2480" t="str">
            <v>19961201</v>
          </cell>
          <cell r="I2480">
            <v>3377379</v>
          </cell>
          <cell r="J2480" t="str">
            <v>9 월</v>
          </cell>
          <cell r="K2480">
            <v>4802344</v>
          </cell>
        </row>
        <row r="2481">
          <cell r="A2481" t="str">
            <v>9712045</v>
          </cell>
          <cell r="B2481" t="str">
            <v>윤　두　영</v>
          </cell>
          <cell r="C2481" t="str">
            <v>9712045윤　두　영</v>
          </cell>
          <cell r="D2481" t="str">
            <v>CG52</v>
          </cell>
          <cell r="E2481" t="str">
            <v>화물2담당</v>
          </cell>
          <cell r="F2481" t="str">
            <v>2654</v>
          </cell>
          <cell r="G2481" t="str">
            <v>2654</v>
          </cell>
          <cell r="H2481" t="str">
            <v>19971023</v>
          </cell>
          <cell r="I2481">
            <v>2387320</v>
          </cell>
        </row>
        <row r="2482">
          <cell r="A2482" t="str">
            <v>9311523</v>
          </cell>
          <cell r="B2482" t="str">
            <v>윤　춘　배</v>
          </cell>
          <cell r="C2482" t="str">
            <v>9311523윤　춘　배</v>
          </cell>
          <cell r="D2482" t="str">
            <v>CG52</v>
          </cell>
          <cell r="E2482" t="str">
            <v>화물2담당</v>
          </cell>
          <cell r="F2482" t="str">
            <v>2654</v>
          </cell>
          <cell r="G2482" t="str">
            <v>2654</v>
          </cell>
          <cell r="H2482" t="str">
            <v>19930922</v>
          </cell>
          <cell r="I2482">
            <v>8124208</v>
          </cell>
        </row>
        <row r="2483">
          <cell r="A2483" t="str">
            <v>8110170</v>
          </cell>
          <cell r="B2483" t="str">
            <v>이　덕　태</v>
          </cell>
          <cell r="C2483" t="str">
            <v>8110170이　덕　태</v>
          </cell>
          <cell r="D2483" t="str">
            <v>CG52</v>
          </cell>
          <cell r="E2483" t="str">
            <v>화물2담당</v>
          </cell>
          <cell r="F2483" t="str">
            <v>2654</v>
          </cell>
          <cell r="G2483" t="str">
            <v>2654</v>
          </cell>
          <cell r="H2483" t="str">
            <v>19810301</v>
          </cell>
          <cell r="I2483">
            <v>31848500</v>
          </cell>
        </row>
        <row r="2484">
          <cell r="A2484" t="str">
            <v>8910483</v>
          </cell>
          <cell r="B2484" t="str">
            <v>이　명　석</v>
          </cell>
          <cell r="C2484" t="str">
            <v>8910483이　명　석</v>
          </cell>
          <cell r="D2484" t="str">
            <v>CG52</v>
          </cell>
          <cell r="E2484" t="str">
            <v>화물2담당</v>
          </cell>
          <cell r="F2484" t="str">
            <v>2654</v>
          </cell>
          <cell r="G2484" t="str">
            <v>2654</v>
          </cell>
          <cell r="H2484" t="str">
            <v>19881031</v>
          </cell>
          <cell r="I2484">
            <v>16722441</v>
          </cell>
        </row>
        <row r="2485">
          <cell r="A2485" t="str">
            <v>9711448</v>
          </cell>
          <cell r="B2485" t="str">
            <v>이　석　배</v>
          </cell>
          <cell r="C2485" t="str">
            <v>9711448이　석　배</v>
          </cell>
          <cell r="D2485" t="str">
            <v>CG52</v>
          </cell>
          <cell r="E2485" t="str">
            <v>화물2담당</v>
          </cell>
          <cell r="F2485" t="str">
            <v>2654</v>
          </cell>
          <cell r="G2485" t="str">
            <v>2654</v>
          </cell>
          <cell r="H2485" t="str">
            <v>19970818</v>
          </cell>
          <cell r="I2485">
            <v>2599819</v>
          </cell>
        </row>
        <row r="2486">
          <cell r="A2486" t="str">
            <v>8410263</v>
          </cell>
          <cell r="B2486" t="str">
            <v>이　원　종</v>
          </cell>
          <cell r="C2486" t="str">
            <v>8410263이　원　종</v>
          </cell>
          <cell r="D2486" t="str">
            <v>CG52</v>
          </cell>
          <cell r="E2486" t="str">
            <v>화물2담당</v>
          </cell>
          <cell r="F2486" t="str">
            <v>2654</v>
          </cell>
          <cell r="G2486" t="str">
            <v>2654</v>
          </cell>
          <cell r="H2486" t="str">
            <v>19840702</v>
          </cell>
          <cell r="I2486">
            <v>25707696</v>
          </cell>
        </row>
        <row r="2487">
          <cell r="A2487" t="str">
            <v>9610143</v>
          </cell>
          <cell r="B2487" t="str">
            <v>이　은　형</v>
          </cell>
          <cell r="C2487" t="str">
            <v>9610143이　은　형</v>
          </cell>
          <cell r="D2487" t="str">
            <v>CG52</v>
          </cell>
          <cell r="E2487" t="str">
            <v>화물2담당</v>
          </cell>
          <cell r="F2487" t="str">
            <v>2654</v>
          </cell>
          <cell r="G2487" t="str">
            <v>2330</v>
          </cell>
          <cell r="H2487" t="str">
            <v>19960401</v>
          </cell>
          <cell r="I2487">
            <v>4080013</v>
          </cell>
        </row>
        <row r="2488">
          <cell r="A2488" t="str">
            <v>8910437</v>
          </cell>
          <cell r="B2488" t="str">
            <v>이　주　봉</v>
          </cell>
          <cell r="C2488" t="str">
            <v>8910437이　주　봉</v>
          </cell>
          <cell r="D2488" t="str">
            <v>CG52</v>
          </cell>
          <cell r="E2488" t="str">
            <v>화물2담당</v>
          </cell>
          <cell r="F2488" t="str">
            <v>2654</v>
          </cell>
          <cell r="G2488" t="str">
            <v>2654</v>
          </cell>
          <cell r="H2488" t="str">
            <v>19880908</v>
          </cell>
          <cell r="I2488">
            <v>15670007</v>
          </cell>
        </row>
        <row r="2489">
          <cell r="A2489" t="str">
            <v>9700650</v>
          </cell>
          <cell r="B2489" t="str">
            <v>이　지　수</v>
          </cell>
          <cell r="C2489" t="str">
            <v>9700650이　지　수</v>
          </cell>
          <cell r="D2489" t="str">
            <v>CG52</v>
          </cell>
          <cell r="E2489" t="str">
            <v>화물2담당</v>
          </cell>
          <cell r="F2489" t="str">
            <v>2654</v>
          </cell>
          <cell r="G2489" t="str">
            <v>2654</v>
          </cell>
          <cell r="H2489" t="str">
            <v>19970421</v>
          </cell>
          <cell r="I2489">
            <v>2925849</v>
          </cell>
        </row>
        <row r="2490">
          <cell r="A2490" t="str">
            <v>9110362</v>
          </cell>
          <cell r="B2490" t="str">
            <v>이　해　창</v>
          </cell>
          <cell r="C2490" t="str">
            <v>9110362이　해　창</v>
          </cell>
          <cell r="D2490" t="str">
            <v>CG52</v>
          </cell>
          <cell r="E2490" t="str">
            <v>화물2담당</v>
          </cell>
          <cell r="F2490" t="str">
            <v>2654</v>
          </cell>
          <cell r="G2490" t="str">
            <v>2654</v>
          </cell>
          <cell r="H2490" t="str">
            <v>19910415</v>
          </cell>
          <cell r="I2490">
            <v>10613937</v>
          </cell>
        </row>
        <row r="2491">
          <cell r="A2491" t="str">
            <v>8510130</v>
          </cell>
          <cell r="B2491" t="str">
            <v>임　건　빈</v>
          </cell>
          <cell r="C2491" t="str">
            <v>8510130임　건　빈</v>
          </cell>
          <cell r="D2491" t="str">
            <v>CG52</v>
          </cell>
          <cell r="E2491" t="str">
            <v>화물2담당</v>
          </cell>
          <cell r="F2491" t="str">
            <v>2654</v>
          </cell>
          <cell r="G2491" t="str">
            <v>2654</v>
          </cell>
          <cell r="H2491" t="str">
            <v>19850528</v>
          </cell>
          <cell r="I2491">
            <v>21756119</v>
          </cell>
        </row>
        <row r="2492">
          <cell r="A2492" t="str">
            <v>8110822</v>
          </cell>
          <cell r="B2492" t="str">
            <v>임　수　구</v>
          </cell>
          <cell r="C2492" t="str">
            <v>8110822임　수　구</v>
          </cell>
          <cell r="D2492" t="str">
            <v>CG52</v>
          </cell>
          <cell r="E2492" t="str">
            <v>화물2담당</v>
          </cell>
          <cell r="F2492" t="str">
            <v>2654</v>
          </cell>
          <cell r="G2492" t="str">
            <v>2654</v>
          </cell>
          <cell r="H2492" t="str">
            <v>19810401</v>
          </cell>
          <cell r="I2492">
            <v>35958069</v>
          </cell>
        </row>
        <row r="2493">
          <cell r="A2493" t="str">
            <v>9311760</v>
          </cell>
          <cell r="B2493" t="str">
            <v>임　영　구</v>
          </cell>
          <cell r="C2493" t="str">
            <v>9311760임　영　구</v>
          </cell>
          <cell r="D2493" t="str">
            <v>CG52</v>
          </cell>
          <cell r="E2493" t="str">
            <v>화물2담당</v>
          </cell>
          <cell r="F2493" t="str">
            <v>2654</v>
          </cell>
          <cell r="G2493" t="str">
            <v>2654</v>
          </cell>
          <cell r="H2493" t="str">
            <v>19931108</v>
          </cell>
          <cell r="I2493">
            <v>8103645</v>
          </cell>
        </row>
        <row r="2494">
          <cell r="A2494" t="str">
            <v>8310227</v>
          </cell>
          <cell r="B2494" t="str">
            <v>임　오　순</v>
          </cell>
          <cell r="C2494" t="str">
            <v>8310227임　오　순</v>
          </cell>
          <cell r="D2494" t="str">
            <v>CG52</v>
          </cell>
          <cell r="E2494" t="str">
            <v>화물2담당</v>
          </cell>
          <cell r="F2494" t="str">
            <v>2654</v>
          </cell>
          <cell r="G2494" t="str">
            <v>2654</v>
          </cell>
          <cell r="H2494" t="str">
            <v>19830901</v>
          </cell>
          <cell r="I2494">
            <v>28348314</v>
          </cell>
        </row>
        <row r="2495">
          <cell r="A2495" t="str">
            <v>9403830</v>
          </cell>
          <cell r="B2495" t="str">
            <v>전　공　민</v>
          </cell>
          <cell r="C2495" t="str">
            <v>9403830전　공　민</v>
          </cell>
          <cell r="D2495" t="str">
            <v>CG52</v>
          </cell>
          <cell r="E2495" t="str">
            <v>화물2담당</v>
          </cell>
          <cell r="F2495" t="str">
            <v>2654</v>
          </cell>
          <cell r="G2495" t="str">
            <v>2654</v>
          </cell>
          <cell r="H2495" t="str">
            <v>19940616</v>
          </cell>
          <cell r="I2495">
            <v>6411138</v>
          </cell>
        </row>
        <row r="2496">
          <cell r="A2496" t="str">
            <v>9210306</v>
          </cell>
          <cell r="B2496" t="str">
            <v>전　병　구</v>
          </cell>
          <cell r="C2496" t="str">
            <v>9210306전　병　구</v>
          </cell>
          <cell r="D2496" t="str">
            <v>CG52</v>
          </cell>
          <cell r="E2496" t="str">
            <v>화물2담당</v>
          </cell>
          <cell r="F2496" t="str">
            <v>2654</v>
          </cell>
          <cell r="G2496" t="str">
            <v>2654</v>
          </cell>
          <cell r="H2496" t="str">
            <v>19920301</v>
          </cell>
          <cell r="I2496">
            <v>9968969</v>
          </cell>
        </row>
        <row r="2497">
          <cell r="A2497" t="str">
            <v>9011981</v>
          </cell>
          <cell r="B2497" t="str">
            <v>전　성　훈</v>
          </cell>
          <cell r="C2497" t="str">
            <v>9011981전　성　훈</v>
          </cell>
          <cell r="D2497" t="str">
            <v>CG52</v>
          </cell>
          <cell r="E2497" t="str">
            <v>화물2담당</v>
          </cell>
          <cell r="F2497" t="str">
            <v>2654</v>
          </cell>
          <cell r="G2497" t="str">
            <v>2654</v>
          </cell>
          <cell r="H2497" t="str">
            <v>19891122</v>
          </cell>
          <cell r="I2497">
            <v>14730380</v>
          </cell>
        </row>
        <row r="2498">
          <cell r="A2498" t="str">
            <v>8910516</v>
          </cell>
          <cell r="B2498" t="str">
            <v>정　옥　천</v>
          </cell>
          <cell r="C2498" t="str">
            <v>8910516정　옥　천</v>
          </cell>
          <cell r="D2498" t="str">
            <v>CG52</v>
          </cell>
          <cell r="E2498" t="str">
            <v>화물2담당</v>
          </cell>
          <cell r="F2498" t="str">
            <v>2654</v>
          </cell>
          <cell r="G2498" t="str">
            <v>2654</v>
          </cell>
          <cell r="H2498" t="str">
            <v>19881031</v>
          </cell>
          <cell r="I2498">
            <v>16540273</v>
          </cell>
        </row>
        <row r="2499">
          <cell r="A2499" t="str">
            <v>9310533</v>
          </cell>
          <cell r="B2499" t="str">
            <v>정　행　관</v>
          </cell>
          <cell r="C2499" t="str">
            <v>9310533정　행　관</v>
          </cell>
          <cell r="D2499" t="str">
            <v>CG52</v>
          </cell>
          <cell r="E2499" t="str">
            <v>화물2담당</v>
          </cell>
          <cell r="F2499" t="str">
            <v>2654</v>
          </cell>
          <cell r="G2499" t="str">
            <v>2654</v>
          </cell>
          <cell r="H2499" t="str">
            <v>19930607</v>
          </cell>
          <cell r="I2499">
            <v>8578549</v>
          </cell>
        </row>
        <row r="2500">
          <cell r="A2500" t="str">
            <v>8910257</v>
          </cell>
          <cell r="B2500" t="str">
            <v>조　성　배</v>
          </cell>
          <cell r="C2500" t="str">
            <v>8910257조　성　배</v>
          </cell>
          <cell r="D2500" t="str">
            <v>CG52</v>
          </cell>
          <cell r="E2500" t="str">
            <v>화물2담당</v>
          </cell>
          <cell r="F2500" t="str">
            <v>2654</v>
          </cell>
          <cell r="G2500" t="str">
            <v>2654</v>
          </cell>
          <cell r="H2500" t="str">
            <v>19880908</v>
          </cell>
          <cell r="I2500">
            <v>17236343</v>
          </cell>
        </row>
        <row r="2501">
          <cell r="A2501" t="str">
            <v>8711144</v>
          </cell>
          <cell r="B2501" t="str">
            <v>조　영　복</v>
          </cell>
          <cell r="C2501" t="str">
            <v>8711144조　영　복</v>
          </cell>
          <cell r="D2501" t="str">
            <v>CG52</v>
          </cell>
          <cell r="E2501" t="str">
            <v>화물2담당</v>
          </cell>
          <cell r="F2501" t="str">
            <v>2654</v>
          </cell>
          <cell r="G2501" t="str">
            <v>2654</v>
          </cell>
          <cell r="H2501" t="str">
            <v>19870928</v>
          </cell>
          <cell r="I2501">
            <v>19473366</v>
          </cell>
          <cell r="J2501" t="str">
            <v>5 월</v>
          </cell>
          <cell r="K2501">
            <v>20377337</v>
          </cell>
        </row>
        <row r="2502">
          <cell r="A2502" t="str">
            <v>8210068</v>
          </cell>
          <cell r="B2502" t="str">
            <v>주　흥　석</v>
          </cell>
          <cell r="C2502" t="str">
            <v>8210068주　흥　석</v>
          </cell>
          <cell r="D2502" t="str">
            <v>CG52</v>
          </cell>
          <cell r="E2502" t="str">
            <v>화물2담당</v>
          </cell>
          <cell r="F2502" t="str">
            <v>2654</v>
          </cell>
          <cell r="G2502" t="str">
            <v>2654</v>
          </cell>
          <cell r="H2502" t="str">
            <v>19820816</v>
          </cell>
          <cell r="I2502">
            <v>30747156</v>
          </cell>
        </row>
        <row r="2503">
          <cell r="A2503" t="str">
            <v>9311556</v>
          </cell>
          <cell r="B2503" t="str">
            <v>지　동　진</v>
          </cell>
          <cell r="C2503" t="str">
            <v>9311556지　동　진</v>
          </cell>
          <cell r="D2503" t="str">
            <v>CG52</v>
          </cell>
          <cell r="E2503" t="str">
            <v>화물2담당</v>
          </cell>
          <cell r="F2503" t="str">
            <v>2654</v>
          </cell>
          <cell r="G2503" t="str">
            <v>2654</v>
          </cell>
          <cell r="H2503" t="str">
            <v>19930922</v>
          </cell>
          <cell r="I2503">
            <v>7862169</v>
          </cell>
        </row>
        <row r="2504">
          <cell r="A2504" t="str">
            <v>9301713</v>
          </cell>
          <cell r="B2504" t="str">
            <v>천　기　량</v>
          </cell>
          <cell r="C2504" t="str">
            <v>9301713천　기　량</v>
          </cell>
          <cell r="D2504" t="str">
            <v>CG52</v>
          </cell>
          <cell r="E2504" t="str">
            <v>화물2담당</v>
          </cell>
          <cell r="F2504" t="str">
            <v>2654</v>
          </cell>
          <cell r="G2504" t="str">
            <v>2654</v>
          </cell>
          <cell r="H2504" t="str">
            <v>19930401</v>
          </cell>
          <cell r="I2504">
            <v>8408955</v>
          </cell>
        </row>
        <row r="2505">
          <cell r="A2505" t="str">
            <v>8910617</v>
          </cell>
          <cell r="B2505" t="str">
            <v>천　용　열</v>
          </cell>
          <cell r="C2505" t="str">
            <v>8910617천　용　열</v>
          </cell>
          <cell r="D2505" t="str">
            <v>CG52</v>
          </cell>
          <cell r="E2505" t="str">
            <v>화물2담당</v>
          </cell>
          <cell r="F2505" t="str">
            <v>2654</v>
          </cell>
          <cell r="G2505" t="str">
            <v>2654</v>
          </cell>
          <cell r="H2505" t="str">
            <v>19881031</v>
          </cell>
          <cell r="I2505">
            <v>16710780</v>
          </cell>
        </row>
        <row r="2506">
          <cell r="A2506" t="str">
            <v>9511997</v>
          </cell>
          <cell r="B2506" t="str">
            <v>천　호　언</v>
          </cell>
          <cell r="C2506" t="str">
            <v>9511997천　호　언</v>
          </cell>
          <cell r="D2506" t="str">
            <v>CG52</v>
          </cell>
          <cell r="E2506" t="str">
            <v>화물2담당</v>
          </cell>
          <cell r="F2506" t="str">
            <v>2654</v>
          </cell>
          <cell r="G2506" t="str">
            <v>2654</v>
          </cell>
          <cell r="H2506" t="str">
            <v>19951201</v>
          </cell>
          <cell r="I2506">
            <v>4598335</v>
          </cell>
        </row>
        <row r="2507">
          <cell r="A2507" t="str">
            <v>9410400</v>
          </cell>
          <cell r="B2507" t="str">
            <v>최　계　환</v>
          </cell>
          <cell r="C2507" t="str">
            <v>9410400최　계　환</v>
          </cell>
          <cell r="D2507" t="str">
            <v>CG52</v>
          </cell>
          <cell r="E2507" t="str">
            <v>화물2담당</v>
          </cell>
          <cell r="F2507" t="str">
            <v>2654</v>
          </cell>
          <cell r="G2507" t="str">
            <v>2654</v>
          </cell>
          <cell r="H2507" t="str">
            <v>19940416</v>
          </cell>
          <cell r="I2507">
            <v>6562513</v>
          </cell>
        </row>
        <row r="2508">
          <cell r="A2508" t="str">
            <v>8811538</v>
          </cell>
          <cell r="B2508" t="str">
            <v>최　문　희</v>
          </cell>
          <cell r="C2508" t="str">
            <v>8811538최　문　희</v>
          </cell>
          <cell r="D2508" t="str">
            <v>CG52</v>
          </cell>
          <cell r="E2508" t="str">
            <v>화물2담당</v>
          </cell>
          <cell r="F2508" t="str">
            <v>2654</v>
          </cell>
          <cell r="G2508" t="str">
            <v>2654</v>
          </cell>
          <cell r="H2508" t="str">
            <v>19880714</v>
          </cell>
          <cell r="I2508">
            <v>16891129</v>
          </cell>
        </row>
        <row r="2509">
          <cell r="A2509" t="str">
            <v>9110193</v>
          </cell>
          <cell r="B2509" t="str">
            <v>최　보　영</v>
          </cell>
          <cell r="C2509" t="str">
            <v>9110193최　보　영</v>
          </cell>
          <cell r="D2509" t="str">
            <v>CG52</v>
          </cell>
          <cell r="E2509" t="str">
            <v>화물2담당</v>
          </cell>
          <cell r="F2509" t="str">
            <v>2654</v>
          </cell>
          <cell r="G2509" t="str">
            <v>2654</v>
          </cell>
          <cell r="H2509" t="str">
            <v>19910415</v>
          </cell>
          <cell r="I2509">
            <v>12169800</v>
          </cell>
        </row>
        <row r="2510">
          <cell r="A2510" t="str">
            <v>9311681</v>
          </cell>
          <cell r="B2510" t="str">
            <v>최　성　원</v>
          </cell>
          <cell r="C2510" t="str">
            <v>9311681최　성　원</v>
          </cell>
          <cell r="D2510" t="str">
            <v>CG52</v>
          </cell>
          <cell r="E2510" t="str">
            <v>화물2담당</v>
          </cell>
          <cell r="F2510" t="str">
            <v>2654</v>
          </cell>
          <cell r="G2510" t="str">
            <v>2654</v>
          </cell>
          <cell r="H2510" t="str">
            <v>19931001</v>
          </cell>
          <cell r="I2510">
            <v>8026799</v>
          </cell>
        </row>
        <row r="2511">
          <cell r="A2511" t="str">
            <v>8910325</v>
          </cell>
          <cell r="B2511" t="str">
            <v>최　영　순</v>
          </cell>
          <cell r="C2511" t="str">
            <v>8910325최　영　순</v>
          </cell>
          <cell r="D2511" t="str">
            <v>CG52</v>
          </cell>
          <cell r="E2511" t="str">
            <v>화물2담당</v>
          </cell>
          <cell r="F2511" t="str">
            <v>2654</v>
          </cell>
          <cell r="G2511" t="str">
            <v>2654</v>
          </cell>
          <cell r="H2511" t="str">
            <v>19880915</v>
          </cell>
          <cell r="I2511">
            <v>15676774</v>
          </cell>
        </row>
        <row r="2512">
          <cell r="A2512" t="str">
            <v>9311850</v>
          </cell>
          <cell r="B2512" t="str">
            <v>최　장　진</v>
          </cell>
          <cell r="C2512" t="str">
            <v>9311850최　장　진</v>
          </cell>
          <cell r="D2512" t="str">
            <v>CG52</v>
          </cell>
          <cell r="E2512" t="str">
            <v>화물2담당</v>
          </cell>
          <cell r="F2512" t="str">
            <v>2654</v>
          </cell>
          <cell r="G2512" t="str">
            <v>2654</v>
          </cell>
          <cell r="H2512" t="str">
            <v>19931108</v>
          </cell>
          <cell r="I2512">
            <v>7087649</v>
          </cell>
        </row>
        <row r="2513">
          <cell r="A2513" t="str">
            <v>8610636</v>
          </cell>
          <cell r="B2513" t="str">
            <v>최　장　호</v>
          </cell>
          <cell r="C2513" t="str">
            <v>8610636최　장　호</v>
          </cell>
          <cell r="D2513" t="str">
            <v>CG52</v>
          </cell>
          <cell r="E2513" t="str">
            <v>화물2담당</v>
          </cell>
          <cell r="F2513" t="str">
            <v>2654</v>
          </cell>
          <cell r="G2513" t="str">
            <v>2654</v>
          </cell>
          <cell r="H2513" t="str">
            <v>19860823</v>
          </cell>
          <cell r="I2513">
            <v>21509204</v>
          </cell>
        </row>
        <row r="2514">
          <cell r="A2514" t="str">
            <v>8110214</v>
          </cell>
          <cell r="B2514" t="str">
            <v>최　형　서</v>
          </cell>
          <cell r="C2514" t="str">
            <v>8110214최　형　서</v>
          </cell>
          <cell r="D2514" t="str">
            <v>CG52</v>
          </cell>
          <cell r="E2514" t="str">
            <v>화물2담당</v>
          </cell>
          <cell r="F2514" t="str">
            <v>2654</v>
          </cell>
          <cell r="G2514" t="str">
            <v>2654</v>
          </cell>
          <cell r="H2514" t="str">
            <v>19810301</v>
          </cell>
          <cell r="I2514">
            <v>47015913</v>
          </cell>
        </row>
        <row r="2515">
          <cell r="A2515" t="str">
            <v>9411715</v>
          </cell>
          <cell r="B2515" t="str">
            <v>한　상　길</v>
          </cell>
          <cell r="C2515" t="str">
            <v>9411715한　상　길</v>
          </cell>
          <cell r="D2515" t="str">
            <v>CG52</v>
          </cell>
          <cell r="E2515" t="str">
            <v>화물2담당</v>
          </cell>
          <cell r="F2515" t="str">
            <v>2654</v>
          </cell>
          <cell r="G2515" t="str">
            <v>2654</v>
          </cell>
          <cell r="H2515" t="str">
            <v>19940901</v>
          </cell>
          <cell r="I2515">
            <v>6865872</v>
          </cell>
        </row>
        <row r="2516">
          <cell r="A2516" t="str">
            <v>8710907</v>
          </cell>
          <cell r="B2516" t="str">
            <v>강　세　환</v>
          </cell>
          <cell r="C2516" t="str">
            <v>8710907강　세　환</v>
          </cell>
          <cell r="D2516" t="str">
            <v>CG54</v>
          </cell>
          <cell r="E2516" t="str">
            <v>화물2담당</v>
          </cell>
          <cell r="F2516" t="str">
            <v>2654</v>
          </cell>
          <cell r="G2516" t="str">
            <v>2654</v>
          </cell>
          <cell r="H2516" t="str">
            <v>19870901</v>
          </cell>
          <cell r="I2516">
            <v>21853118</v>
          </cell>
        </row>
        <row r="2517">
          <cell r="A2517" t="str">
            <v>9412277</v>
          </cell>
          <cell r="B2517" t="str">
            <v>구　병　석</v>
          </cell>
          <cell r="C2517" t="str">
            <v>9412277구　병　석</v>
          </cell>
          <cell r="D2517" t="str">
            <v>CG54</v>
          </cell>
          <cell r="E2517" t="str">
            <v>화물2담당</v>
          </cell>
          <cell r="F2517" t="str">
            <v>2654</v>
          </cell>
          <cell r="G2517" t="str">
            <v>2654</v>
          </cell>
          <cell r="H2517" t="str">
            <v>19941201</v>
          </cell>
          <cell r="I2517">
            <v>5587455</v>
          </cell>
        </row>
        <row r="2518">
          <cell r="A2518" t="str">
            <v>9510153</v>
          </cell>
          <cell r="B2518" t="str">
            <v>김　광　수</v>
          </cell>
          <cell r="C2518" t="str">
            <v>9510153김　광　수</v>
          </cell>
          <cell r="D2518" t="str">
            <v>CG54</v>
          </cell>
          <cell r="E2518" t="str">
            <v>화물2담당</v>
          </cell>
          <cell r="F2518" t="str">
            <v>2654</v>
          </cell>
          <cell r="G2518" t="str">
            <v>2654</v>
          </cell>
          <cell r="H2518" t="str">
            <v>19950101</v>
          </cell>
          <cell r="I2518">
            <v>5881590</v>
          </cell>
        </row>
        <row r="2519">
          <cell r="A2519" t="str">
            <v>8310330</v>
          </cell>
          <cell r="B2519" t="str">
            <v>김　광　환</v>
          </cell>
          <cell r="C2519" t="str">
            <v>8310330김　광　환</v>
          </cell>
          <cell r="D2519" t="str">
            <v>CG54</v>
          </cell>
          <cell r="E2519" t="str">
            <v>화물2담당</v>
          </cell>
          <cell r="F2519" t="str">
            <v>2654</v>
          </cell>
          <cell r="G2519" t="str">
            <v>2654</v>
          </cell>
          <cell r="H2519" t="str">
            <v>19840101</v>
          </cell>
          <cell r="I2519">
            <v>30163792</v>
          </cell>
        </row>
        <row r="2520">
          <cell r="A2520" t="str">
            <v>9510816</v>
          </cell>
          <cell r="B2520" t="str">
            <v>김　두　환</v>
          </cell>
          <cell r="C2520" t="str">
            <v>9510816김　두　환</v>
          </cell>
          <cell r="D2520" t="str">
            <v>CG54</v>
          </cell>
          <cell r="E2520" t="str">
            <v>화물2담당</v>
          </cell>
          <cell r="F2520" t="str">
            <v>2654</v>
          </cell>
          <cell r="G2520" t="str">
            <v>2654</v>
          </cell>
          <cell r="H2520" t="str">
            <v>19950626</v>
          </cell>
          <cell r="I2520">
            <v>5459792</v>
          </cell>
        </row>
        <row r="2521">
          <cell r="A2521" t="str">
            <v>9111846</v>
          </cell>
          <cell r="B2521" t="str">
            <v>김　양　표</v>
          </cell>
          <cell r="C2521" t="str">
            <v>9111846김　양　표</v>
          </cell>
          <cell r="D2521" t="str">
            <v>CG54</v>
          </cell>
          <cell r="E2521" t="str">
            <v>화물2담당</v>
          </cell>
          <cell r="F2521" t="str">
            <v>2654</v>
          </cell>
          <cell r="G2521" t="str">
            <v>2654</v>
          </cell>
          <cell r="H2521" t="str">
            <v>19911101</v>
          </cell>
          <cell r="I2521">
            <v>11276037</v>
          </cell>
        </row>
        <row r="2522">
          <cell r="A2522" t="str">
            <v>8210158</v>
          </cell>
          <cell r="B2522" t="str">
            <v>김　영　선</v>
          </cell>
          <cell r="C2522" t="str">
            <v>8210158김　영　선</v>
          </cell>
          <cell r="D2522" t="str">
            <v>CG54</v>
          </cell>
          <cell r="E2522" t="str">
            <v>화물2담당</v>
          </cell>
          <cell r="F2522" t="str">
            <v>2654</v>
          </cell>
          <cell r="G2522" t="str">
            <v>2654</v>
          </cell>
          <cell r="H2522" t="str">
            <v>19820910</v>
          </cell>
          <cell r="I2522">
            <v>29346007</v>
          </cell>
        </row>
        <row r="2523">
          <cell r="A2523" t="str">
            <v>8910685</v>
          </cell>
          <cell r="B2523" t="str">
            <v>김　용　표</v>
          </cell>
          <cell r="C2523" t="str">
            <v>8910685김　용　표</v>
          </cell>
          <cell r="D2523" t="str">
            <v>CG54</v>
          </cell>
          <cell r="E2523" t="str">
            <v>화물2담당</v>
          </cell>
          <cell r="F2523" t="str">
            <v>2654</v>
          </cell>
          <cell r="G2523" t="str">
            <v>2654</v>
          </cell>
          <cell r="H2523" t="str">
            <v>19881031</v>
          </cell>
          <cell r="I2523">
            <v>15585188</v>
          </cell>
        </row>
        <row r="2524">
          <cell r="A2524" t="str">
            <v>9012374</v>
          </cell>
          <cell r="B2524" t="str">
            <v>김　윤　회</v>
          </cell>
          <cell r="C2524" t="str">
            <v>9012374김　윤　회</v>
          </cell>
          <cell r="D2524" t="str">
            <v>CG54</v>
          </cell>
          <cell r="E2524" t="str">
            <v>화물2담당</v>
          </cell>
          <cell r="F2524" t="str">
            <v>2654</v>
          </cell>
          <cell r="G2524" t="str">
            <v>2654</v>
          </cell>
          <cell r="H2524" t="str">
            <v>19900901</v>
          </cell>
          <cell r="I2524">
            <v>12575603</v>
          </cell>
        </row>
        <row r="2525">
          <cell r="A2525" t="str">
            <v>8310150</v>
          </cell>
          <cell r="B2525" t="str">
            <v>김　이　수</v>
          </cell>
          <cell r="C2525" t="str">
            <v>8310150김　이　수</v>
          </cell>
          <cell r="D2525" t="str">
            <v>CG54</v>
          </cell>
          <cell r="E2525" t="str">
            <v>화물2담당</v>
          </cell>
          <cell r="F2525" t="str">
            <v>2654</v>
          </cell>
          <cell r="G2525" t="str">
            <v>2654</v>
          </cell>
          <cell r="H2525" t="str">
            <v>19830801</v>
          </cell>
          <cell r="I2525">
            <v>29693958</v>
          </cell>
        </row>
        <row r="2526">
          <cell r="A2526" t="str">
            <v>9410411</v>
          </cell>
          <cell r="B2526" t="str">
            <v>김　재　형</v>
          </cell>
          <cell r="C2526" t="str">
            <v>9410411김　재　형</v>
          </cell>
          <cell r="D2526" t="str">
            <v>CG54</v>
          </cell>
          <cell r="E2526" t="str">
            <v>화물2담당</v>
          </cell>
          <cell r="F2526" t="str">
            <v>2654</v>
          </cell>
          <cell r="G2526" t="str">
            <v>2654</v>
          </cell>
          <cell r="H2526" t="str">
            <v>19940416</v>
          </cell>
          <cell r="I2526">
            <v>7054690</v>
          </cell>
        </row>
        <row r="2527">
          <cell r="A2527" t="str">
            <v>8510264</v>
          </cell>
          <cell r="B2527" t="str">
            <v>김　재　홍</v>
          </cell>
          <cell r="C2527" t="str">
            <v>8510264김　재　홍</v>
          </cell>
          <cell r="D2527" t="str">
            <v>CG54</v>
          </cell>
          <cell r="E2527" t="str">
            <v>화물2담당</v>
          </cell>
          <cell r="F2527" t="str">
            <v>2654</v>
          </cell>
          <cell r="G2527" t="str">
            <v>2654</v>
          </cell>
          <cell r="H2527" t="str">
            <v>19851028</v>
          </cell>
          <cell r="I2527">
            <v>23147981</v>
          </cell>
        </row>
        <row r="2528">
          <cell r="A2528" t="str">
            <v>9412053</v>
          </cell>
          <cell r="B2528" t="str">
            <v>김　정　술</v>
          </cell>
          <cell r="C2528" t="str">
            <v>9412053김　정　술</v>
          </cell>
          <cell r="D2528" t="str">
            <v>CG54</v>
          </cell>
          <cell r="E2528" t="str">
            <v>화물2담당</v>
          </cell>
          <cell r="F2528" t="str">
            <v>2654</v>
          </cell>
          <cell r="G2528" t="str">
            <v>2654</v>
          </cell>
          <cell r="H2528" t="str">
            <v>19941101</v>
          </cell>
          <cell r="I2528">
            <v>5890798</v>
          </cell>
        </row>
        <row r="2529">
          <cell r="A2529" t="str">
            <v>8510185</v>
          </cell>
          <cell r="B2529" t="str">
            <v>김　종　관</v>
          </cell>
          <cell r="C2529" t="str">
            <v>8510185김　종　관</v>
          </cell>
          <cell r="D2529" t="str">
            <v>CG54</v>
          </cell>
          <cell r="E2529" t="str">
            <v>화물2담당</v>
          </cell>
          <cell r="F2529" t="str">
            <v>2654</v>
          </cell>
          <cell r="G2529" t="str">
            <v>2654</v>
          </cell>
          <cell r="H2529" t="str">
            <v>19850901</v>
          </cell>
          <cell r="I2529">
            <v>24753185</v>
          </cell>
        </row>
        <row r="2530">
          <cell r="A2530" t="str">
            <v>9612494</v>
          </cell>
          <cell r="B2530" t="str">
            <v>김　종　권</v>
          </cell>
          <cell r="C2530" t="str">
            <v>9612494김　종　권</v>
          </cell>
          <cell r="D2530" t="str">
            <v>CG54</v>
          </cell>
          <cell r="E2530" t="str">
            <v>화물2담당</v>
          </cell>
          <cell r="F2530" t="str">
            <v>2654</v>
          </cell>
          <cell r="G2530" t="str">
            <v>2654</v>
          </cell>
          <cell r="H2530" t="str">
            <v>19961001</v>
          </cell>
          <cell r="I2530">
            <v>3637957</v>
          </cell>
        </row>
        <row r="2531">
          <cell r="A2531" t="str">
            <v>8110607</v>
          </cell>
          <cell r="B2531" t="str">
            <v>김　종　신</v>
          </cell>
          <cell r="C2531" t="str">
            <v>8110607김　종　신</v>
          </cell>
          <cell r="D2531" t="str">
            <v>CG54</v>
          </cell>
          <cell r="E2531" t="str">
            <v>화물2담당</v>
          </cell>
          <cell r="F2531" t="str">
            <v>2654</v>
          </cell>
          <cell r="G2531" t="str">
            <v>2654</v>
          </cell>
          <cell r="H2531" t="str">
            <v>19810301</v>
          </cell>
          <cell r="I2531">
            <v>34516060</v>
          </cell>
        </row>
        <row r="2532">
          <cell r="A2532" t="str">
            <v>9711336</v>
          </cell>
          <cell r="B2532" t="str">
            <v>김　종　율</v>
          </cell>
          <cell r="C2532" t="str">
            <v>9711336김　종　율</v>
          </cell>
          <cell r="D2532" t="str">
            <v>CG54</v>
          </cell>
          <cell r="E2532" t="str">
            <v>화물2담당</v>
          </cell>
          <cell r="F2532" t="str">
            <v>2654</v>
          </cell>
          <cell r="G2532" t="str">
            <v>2654</v>
          </cell>
          <cell r="H2532" t="str">
            <v>19970710</v>
          </cell>
          <cell r="I2532">
            <v>2710247</v>
          </cell>
        </row>
        <row r="2533">
          <cell r="A2533" t="str">
            <v>9311490</v>
          </cell>
          <cell r="B2533" t="str">
            <v>김　종　현</v>
          </cell>
          <cell r="C2533" t="str">
            <v>9311490김　종　현</v>
          </cell>
          <cell r="D2533" t="str">
            <v>CG54</v>
          </cell>
          <cell r="E2533" t="str">
            <v>화물2담당</v>
          </cell>
          <cell r="F2533" t="str">
            <v>2654</v>
          </cell>
          <cell r="G2533" t="str">
            <v>2654</v>
          </cell>
          <cell r="H2533" t="str">
            <v>19930922</v>
          </cell>
          <cell r="I2533">
            <v>7900796</v>
          </cell>
        </row>
        <row r="2534">
          <cell r="A2534" t="str">
            <v>9212501</v>
          </cell>
          <cell r="B2534" t="str">
            <v>김　창　영</v>
          </cell>
          <cell r="C2534" t="str">
            <v>9212501김　창　영</v>
          </cell>
          <cell r="D2534" t="str">
            <v>CG54</v>
          </cell>
          <cell r="E2534" t="str">
            <v>화물2담당</v>
          </cell>
          <cell r="F2534" t="str">
            <v>2654</v>
          </cell>
          <cell r="G2534" t="str">
            <v>2654</v>
          </cell>
          <cell r="H2534" t="str">
            <v>19921221</v>
          </cell>
          <cell r="I2534">
            <v>8929893</v>
          </cell>
        </row>
        <row r="2535">
          <cell r="A2535" t="str">
            <v>9710730</v>
          </cell>
          <cell r="B2535" t="str">
            <v>김　태　희</v>
          </cell>
          <cell r="C2535" t="str">
            <v>9710730김　태　희</v>
          </cell>
          <cell r="D2535" t="str">
            <v>CG54</v>
          </cell>
          <cell r="E2535" t="str">
            <v>화물2담당</v>
          </cell>
          <cell r="F2535" t="str">
            <v>2654</v>
          </cell>
          <cell r="G2535" t="str">
            <v>2654</v>
          </cell>
          <cell r="H2535" t="str">
            <v>19970317</v>
          </cell>
          <cell r="I2535">
            <v>3296590</v>
          </cell>
        </row>
        <row r="2536">
          <cell r="A2536" t="str">
            <v>8910584</v>
          </cell>
          <cell r="B2536" t="str">
            <v>김　현　재</v>
          </cell>
          <cell r="C2536" t="str">
            <v>8910584김　현　재</v>
          </cell>
          <cell r="D2536" t="str">
            <v>CG54</v>
          </cell>
          <cell r="E2536" t="str">
            <v>화물2담당</v>
          </cell>
          <cell r="F2536" t="str">
            <v>2654</v>
          </cell>
          <cell r="G2536" t="str">
            <v>2654</v>
          </cell>
          <cell r="H2536" t="str">
            <v>19881031</v>
          </cell>
          <cell r="I2536">
            <v>15775343</v>
          </cell>
        </row>
        <row r="2537">
          <cell r="A2537" t="str">
            <v>9160402</v>
          </cell>
          <cell r="B2537" t="str">
            <v>김　혜　윤</v>
          </cell>
          <cell r="C2537" t="str">
            <v>9160402김　혜　윤</v>
          </cell>
          <cell r="D2537" t="str">
            <v>CG54</v>
          </cell>
          <cell r="E2537" t="str">
            <v>화물2담당</v>
          </cell>
          <cell r="F2537" t="str">
            <v>2654</v>
          </cell>
          <cell r="G2537" t="str">
            <v>2654</v>
          </cell>
          <cell r="H2537" t="str">
            <v>19911101</v>
          </cell>
          <cell r="I2537">
            <v>10158173</v>
          </cell>
        </row>
        <row r="2538">
          <cell r="A2538" t="str">
            <v>9112015</v>
          </cell>
          <cell r="B2538" t="str">
            <v>남　근　우</v>
          </cell>
          <cell r="C2538" t="str">
            <v>9112015남　근　우</v>
          </cell>
          <cell r="D2538" t="str">
            <v>CG54</v>
          </cell>
          <cell r="E2538" t="str">
            <v>화물2담당</v>
          </cell>
          <cell r="F2538" t="str">
            <v>2654</v>
          </cell>
          <cell r="G2538" t="str">
            <v>2654</v>
          </cell>
          <cell r="H2538" t="str">
            <v>19911202</v>
          </cell>
          <cell r="I2538">
            <v>9400056</v>
          </cell>
        </row>
        <row r="2539">
          <cell r="A2539" t="str">
            <v>8110585</v>
          </cell>
          <cell r="B2539" t="str">
            <v>노　병　천</v>
          </cell>
          <cell r="C2539" t="str">
            <v>8110585노　병　천</v>
          </cell>
          <cell r="D2539" t="str">
            <v>CG54</v>
          </cell>
          <cell r="E2539" t="str">
            <v>화물2담당</v>
          </cell>
          <cell r="F2539" t="str">
            <v>2654</v>
          </cell>
          <cell r="G2539" t="str">
            <v>2654</v>
          </cell>
          <cell r="H2539" t="str">
            <v>19810301</v>
          </cell>
          <cell r="I2539">
            <v>34531150</v>
          </cell>
        </row>
        <row r="2540">
          <cell r="A2540" t="str">
            <v>8410162</v>
          </cell>
          <cell r="B2540" t="str">
            <v>민　영　래</v>
          </cell>
          <cell r="C2540" t="str">
            <v>8410162민　영　래</v>
          </cell>
          <cell r="D2540" t="str">
            <v>CG54</v>
          </cell>
          <cell r="E2540" t="str">
            <v>화물2담당</v>
          </cell>
          <cell r="F2540" t="str">
            <v>2654</v>
          </cell>
          <cell r="G2540" t="str">
            <v>2654</v>
          </cell>
          <cell r="H2540" t="str">
            <v>19840501</v>
          </cell>
          <cell r="I2540">
            <v>30102510</v>
          </cell>
        </row>
        <row r="2541">
          <cell r="A2541" t="str">
            <v>8611154</v>
          </cell>
          <cell r="B2541" t="str">
            <v>박　경　옥</v>
          </cell>
          <cell r="C2541" t="str">
            <v>8611154박　경　옥</v>
          </cell>
          <cell r="D2541" t="str">
            <v>CG54</v>
          </cell>
          <cell r="E2541" t="str">
            <v>화물2담당</v>
          </cell>
          <cell r="F2541" t="str">
            <v>2654</v>
          </cell>
          <cell r="G2541" t="str">
            <v>2654</v>
          </cell>
          <cell r="H2541" t="str">
            <v>19861226</v>
          </cell>
          <cell r="I2541">
            <v>22360001</v>
          </cell>
        </row>
        <row r="2542">
          <cell r="A2542" t="str">
            <v>9311477</v>
          </cell>
          <cell r="B2542" t="str">
            <v>박　동　근</v>
          </cell>
          <cell r="C2542" t="str">
            <v>9311477박　동　근</v>
          </cell>
          <cell r="D2542" t="str">
            <v>CG54</v>
          </cell>
          <cell r="E2542" t="str">
            <v>화물2담당</v>
          </cell>
          <cell r="F2542" t="str">
            <v>2654</v>
          </cell>
          <cell r="G2542" t="str">
            <v>2654</v>
          </cell>
          <cell r="H2542" t="str">
            <v>19930922</v>
          </cell>
          <cell r="I2542">
            <v>7851103</v>
          </cell>
        </row>
        <row r="2543">
          <cell r="A2543" t="str">
            <v>9712462</v>
          </cell>
          <cell r="B2543" t="str">
            <v>박　선　준</v>
          </cell>
          <cell r="C2543" t="str">
            <v>9712462박　선　준</v>
          </cell>
          <cell r="D2543" t="str">
            <v>CG54</v>
          </cell>
          <cell r="E2543" t="str">
            <v>화물2담당</v>
          </cell>
          <cell r="F2543" t="str">
            <v>2654</v>
          </cell>
          <cell r="G2543" t="str">
            <v>2654</v>
          </cell>
          <cell r="H2543" t="str">
            <v>19971124</v>
          </cell>
          <cell r="I2543">
            <v>2389415</v>
          </cell>
        </row>
        <row r="2544">
          <cell r="A2544" t="str">
            <v>9310768</v>
          </cell>
          <cell r="B2544" t="str">
            <v>박　신　온</v>
          </cell>
          <cell r="C2544" t="str">
            <v>9310768박　신　온</v>
          </cell>
          <cell r="D2544" t="str">
            <v>CG54</v>
          </cell>
          <cell r="E2544" t="str">
            <v>화물2담당</v>
          </cell>
          <cell r="F2544" t="str">
            <v>2654</v>
          </cell>
          <cell r="G2544" t="str">
            <v>2654</v>
          </cell>
          <cell r="H2544" t="str">
            <v>19930801</v>
          </cell>
          <cell r="I2544">
            <v>8313556</v>
          </cell>
        </row>
        <row r="2545">
          <cell r="A2545" t="str">
            <v>9411636</v>
          </cell>
          <cell r="B2545" t="str">
            <v>박　인　수</v>
          </cell>
          <cell r="C2545" t="str">
            <v>9411636박　인　수</v>
          </cell>
          <cell r="D2545" t="str">
            <v>CG54</v>
          </cell>
          <cell r="E2545" t="str">
            <v>화물2담당</v>
          </cell>
          <cell r="F2545" t="str">
            <v>2654</v>
          </cell>
          <cell r="G2545" t="str">
            <v>2654</v>
          </cell>
          <cell r="H2545" t="str">
            <v>19940901</v>
          </cell>
          <cell r="I2545">
            <v>5848150</v>
          </cell>
        </row>
        <row r="2546">
          <cell r="A2546" t="str">
            <v>8811606</v>
          </cell>
          <cell r="B2546" t="str">
            <v>박　인　호</v>
          </cell>
          <cell r="C2546" t="str">
            <v>8811606박　인　호</v>
          </cell>
          <cell r="D2546" t="str">
            <v>CG54</v>
          </cell>
          <cell r="E2546" t="str">
            <v>화물2담당</v>
          </cell>
          <cell r="F2546" t="str">
            <v>2654</v>
          </cell>
          <cell r="G2546" t="str">
            <v>2654</v>
          </cell>
          <cell r="H2546" t="str">
            <v>19880714</v>
          </cell>
          <cell r="I2546">
            <v>19500351</v>
          </cell>
        </row>
        <row r="2547">
          <cell r="A2547" t="str">
            <v>9111745</v>
          </cell>
          <cell r="B2547" t="str">
            <v>박　정　근</v>
          </cell>
          <cell r="C2547" t="str">
            <v>9111745박　정　근</v>
          </cell>
          <cell r="D2547" t="str">
            <v>CG54</v>
          </cell>
          <cell r="E2547" t="str">
            <v>화물2담당</v>
          </cell>
          <cell r="F2547" t="str">
            <v>2654</v>
          </cell>
          <cell r="G2547" t="str">
            <v>2654</v>
          </cell>
          <cell r="H2547" t="str">
            <v>19911101</v>
          </cell>
          <cell r="I2547">
            <v>10748050</v>
          </cell>
        </row>
        <row r="2548">
          <cell r="A2548" t="str">
            <v>8110427</v>
          </cell>
          <cell r="B2548" t="str">
            <v>박　정　상</v>
          </cell>
          <cell r="C2548" t="str">
            <v>8110427박　정　상</v>
          </cell>
          <cell r="D2548" t="str">
            <v>CG54</v>
          </cell>
          <cell r="E2548" t="str">
            <v>화물2담당</v>
          </cell>
          <cell r="F2548" t="str">
            <v>2654</v>
          </cell>
          <cell r="G2548" t="str">
            <v>2654</v>
          </cell>
          <cell r="H2548" t="str">
            <v>19810301</v>
          </cell>
          <cell r="I2548">
            <v>36078170</v>
          </cell>
        </row>
        <row r="2549">
          <cell r="A2549" t="str">
            <v>8910562</v>
          </cell>
          <cell r="B2549" t="str">
            <v>박　종　범</v>
          </cell>
          <cell r="C2549" t="str">
            <v>8910562박　종　범</v>
          </cell>
          <cell r="D2549" t="str">
            <v>CG54</v>
          </cell>
          <cell r="E2549" t="str">
            <v>화물2담당</v>
          </cell>
          <cell r="F2549" t="str">
            <v>2654</v>
          </cell>
          <cell r="G2549" t="str">
            <v>2654</v>
          </cell>
          <cell r="H2549" t="str">
            <v>19881031</v>
          </cell>
          <cell r="I2549">
            <v>16282128</v>
          </cell>
        </row>
        <row r="2550">
          <cell r="A2550" t="str">
            <v>8811270</v>
          </cell>
          <cell r="B2550" t="str">
            <v>박　종　훈</v>
          </cell>
          <cell r="C2550" t="str">
            <v>8811270박　종　훈</v>
          </cell>
          <cell r="D2550" t="str">
            <v>CG54</v>
          </cell>
          <cell r="E2550" t="str">
            <v>화물2담당</v>
          </cell>
          <cell r="F2550" t="str">
            <v>2654</v>
          </cell>
          <cell r="G2550" t="str">
            <v>2654</v>
          </cell>
          <cell r="H2550" t="str">
            <v>19880905</v>
          </cell>
          <cell r="I2550">
            <v>19612246</v>
          </cell>
        </row>
        <row r="2551">
          <cell r="A2551" t="str">
            <v>9511525</v>
          </cell>
          <cell r="B2551" t="str">
            <v>박　태　돈</v>
          </cell>
          <cell r="C2551" t="str">
            <v>9511525박　태　돈</v>
          </cell>
          <cell r="D2551" t="str">
            <v>CG54</v>
          </cell>
          <cell r="E2551" t="str">
            <v>화물2담당</v>
          </cell>
          <cell r="F2551" t="str">
            <v>2654</v>
          </cell>
          <cell r="G2551" t="e">
            <v>#N/A</v>
          </cell>
          <cell r="H2551" t="str">
            <v>19951023</v>
          </cell>
          <cell r="I2551">
            <v>4582689</v>
          </cell>
          <cell r="J2551" t="str">
            <v>3 월</v>
          </cell>
          <cell r="K2551">
            <v>4693849</v>
          </cell>
        </row>
        <row r="2552">
          <cell r="A2552" t="str">
            <v>9512010</v>
          </cell>
          <cell r="B2552" t="str">
            <v>방　용　지</v>
          </cell>
          <cell r="C2552" t="str">
            <v>9512010방　용　지</v>
          </cell>
          <cell r="D2552" t="str">
            <v>CG54</v>
          </cell>
          <cell r="E2552" t="str">
            <v>화물2담당</v>
          </cell>
          <cell r="F2552" t="str">
            <v>2654</v>
          </cell>
          <cell r="G2552" t="str">
            <v>2654</v>
          </cell>
          <cell r="H2552" t="str">
            <v>19951201</v>
          </cell>
          <cell r="I2552">
            <v>4681904</v>
          </cell>
        </row>
        <row r="2553">
          <cell r="A2553" t="str">
            <v>9412290</v>
          </cell>
          <cell r="B2553" t="str">
            <v>백　남　국</v>
          </cell>
          <cell r="C2553" t="str">
            <v>9412290백　남　국</v>
          </cell>
          <cell r="D2553" t="str">
            <v>CG54</v>
          </cell>
          <cell r="E2553" t="str">
            <v>화물2담당</v>
          </cell>
          <cell r="F2553" t="str">
            <v>2654</v>
          </cell>
          <cell r="G2553" t="str">
            <v>2654</v>
          </cell>
          <cell r="H2553" t="str">
            <v>19941201</v>
          </cell>
          <cell r="I2553">
            <v>5847802</v>
          </cell>
        </row>
        <row r="2554">
          <cell r="A2554" t="str">
            <v>8510310</v>
          </cell>
          <cell r="B2554" t="str">
            <v>서　상　영</v>
          </cell>
          <cell r="C2554" t="str">
            <v>8510310서　상　영</v>
          </cell>
          <cell r="D2554" t="str">
            <v>CG54</v>
          </cell>
          <cell r="E2554" t="str">
            <v>화물2담당</v>
          </cell>
          <cell r="F2554" t="str">
            <v>2654</v>
          </cell>
          <cell r="G2554" t="str">
            <v>2654</v>
          </cell>
          <cell r="H2554" t="str">
            <v>19851201</v>
          </cell>
          <cell r="I2554">
            <v>22716507</v>
          </cell>
        </row>
        <row r="2555">
          <cell r="A2555" t="str">
            <v>9010945</v>
          </cell>
          <cell r="B2555" t="str">
            <v>송　국　형</v>
          </cell>
          <cell r="C2555" t="str">
            <v>9010945송　국　형</v>
          </cell>
          <cell r="D2555" t="str">
            <v>CG54</v>
          </cell>
          <cell r="E2555" t="str">
            <v>화물2담당</v>
          </cell>
          <cell r="F2555" t="str">
            <v>2654</v>
          </cell>
          <cell r="G2555" t="str">
            <v>2654</v>
          </cell>
          <cell r="H2555" t="str">
            <v>19890822</v>
          </cell>
          <cell r="I2555">
            <v>14396251</v>
          </cell>
        </row>
        <row r="2556">
          <cell r="A2556" t="str">
            <v>8111057</v>
          </cell>
          <cell r="B2556" t="str">
            <v>신　복　수</v>
          </cell>
          <cell r="C2556" t="str">
            <v>8111057신　복　수</v>
          </cell>
          <cell r="D2556" t="str">
            <v>CG54</v>
          </cell>
          <cell r="E2556" t="str">
            <v>화물2담당</v>
          </cell>
          <cell r="F2556" t="str">
            <v>2654</v>
          </cell>
          <cell r="G2556" t="str">
            <v>2654</v>
          </cell>
          <cell r="H2556" t="str">
            <v>19811020</v>
          </cell>
          <cell r="I2556">
            <v>39312200</v>
          </cell>
        </row>
        <row r="2557">
          <cell r="A2557" t="str">
            <v>8110732</v>
          </cell>
          <cell r="B2557" t="str">
            <v>신　윤　철</v>
          </cell>
          <cell r="C2557" t="str">
            <v>8110732신　윤　철</v>
          </cell>
          <cell r="D2557" t="str">
            <v>CG54</v>
          </cell>
          <cell r="E2557" t="str">
            <v>화물2담당</v>
          </cell>
          <cell r="F2557" t="str">
            <v>2654</v>
          </cell>
          <cell r="G2557" t="str">
            <v>2654</v>
          </cell>
          <cell r="H2557" t="str">
            <v>19810401</v>
          </cell>
          <cell r="I2557">
            <v>35933408</v>
          </cell>
        </row>
        <row r="2558">
          <cell r="A2558" t="str">
            <v>9410602</v>
          </cell>
          <cell r="B2558" t="str">
            <v>안　홍　길</v>
          </cell>
          <cell r="C2558" t="str">
            <v>9410602안　홍　길</v>
          </cell>
          <cell r="D2558" t="str">
            <v>CG54</v>
          </cell>
          <cell r="E2558" t="str">
            <v>화물2담당</v>
          </cell>
          <cell r="F2558" t="str">
            <v>2654</v>
          </cell>
          <cell r="G2558" t="str">
            <v>2654</v>
          </cell>
          <cell r="H2558" t="str">
            <v>19940501</v>
          </cell>
          <cell r="I2558">
            <v>6601877</v>
          </cell>
        </row>
        <row r="2559">
          <cell r="A2559" t="str">
            <v>9360325</v>
          </cell>
          <cell r="B2559" t="str">
            <v>양　미　란</v>
          </cell>
          <cell r="C2559" t="str">
            <v>9360325양　미　란</v>
          </cell>
          <cell r="D2559" t="str">
            <v>CG54</v>
          </cell>
          <cell r="E2559" t="str">
            <v>화물2담당</v>
          </cell>
          <cell r="F2559" t="str">
            <v>2654</v>
          </cell>
          <cell r="G2559" t="str">
            <v>2654</v>
          </cell>
          <cell r="H2559" t="str">
            <v>19930801</v>
          </cell>
          <cell r="I2559">
            <v>7885716</v>
          </cell>
        </row>
        <row r="2560">
          <cell r="A2560" t="str">
            <v>9610593</v>
          </cell>
          <cell r="B2560" t="str">
            <v>오　두　연</v>
          </cell>
          <cell r="C2560" t="str">
            <v>9610593오　두　연</v>
          </cell>
          <cell r="D2560" t="str">
            <v>CG54</v>
          </cell>
          <cell r="E2560" t="str">
            <v>화물2담당</v>
          </cell>
          <cell r="F2560" t="str">
            <v>2654</v>
          </cell>
          <cell r="G2560" t="str">
            <v>2654</v>
          </cell>
          <cell r="H2560" t="str">
            <v>19960601</v>
          </cell>
          <cell r="I2560">
            <v>3997053</v>
          </cell>
        </row>
        <row r="2561">
          <cell r="A2561" t="str">
            <v>9410051</v>
          </cell>
          <cell r="B2561" t="str">
            <v>오　상　호</v>
          </cell>
          <cell r="C2561" t="str">
            <v>9410051오　상　호</v>
          </cell>
          <cell r="D2561" t="str">
            <v>CG54</v>
          </cell>
          <cell r="E2561" t="str">
            <v>화물2담당</v>
          </cell>
          <cell r="F2561" t="str">
            <v>2654</v>
          </cell>
          <cell r="G2561" t="str">
            <v>2654</v>
          </cell>
          <cell r="H2561" t="str">
            <v>19940216</v>
          </cell>
          <cell r="I2561">
            <v>7300764</v>
          </cell>
        </row>
        <row r="2562">
          <cell r="A2562" t="str">
            <v>9111857</v>
          </cell>
          <cell r="B2562" t="str">
            <v>오　세　태</v>
          </cell>
          <cell r="C2562" t="str">
            <v>9111857오　세　태</v>
          </cell>
          <cell r="D2562" t="str">
            <v>CG54</v>
          </cell>
          <cell r="E2562" t="str">
            <v>화물2담당</v>
          </cell>
          <cell r="F2562" t="str">
            <v>2654</v>
          </cell>
          <cell r="G2562" t="str">
            <v>2654</v>
          </cell>
          <cell r="H2562" t="str">
            <v>19911101</v>
          </cell>
          <cell r="I2562">
            <v>11067082</v>
          </cell>
        </row>
        <row r="2563">
          <cell r="A2563" t="str">
            <v>8610355</v>
          </cell>
          <cell r="B2563" t="str">
            <v>원　효　연</v>
          </cell>
          <cell r="C2563" t="str">
            <v>8610355원　효　연</v>
          </cell>
          <cell r="D2563" t="str">
            <v>CG54</v>
          </cell>
          <cell r="E2563" t="str">
            <v>화물2담당</v>
          </cell>
          <cell r="F2563" t="str">
            <v>2654</v>
          </cell>
          <cell r="G2563" t="str">
            <v>2654</v>
          </cell>
          <cell r="H2563" t="str">
            <v>19860428</v>
          </cell>
          <cell r="I2563">
            <v>21860365</v>
          </cell>
        </row>
        <row r="2564">
          <cell r="A2564" t="str">
            <v>9011968</v>
          </cell>
          <cell r="B2564" t="str">
            <v>유　병　일</v>
          </cell>
          <cell r="C2564" t="str">
            <v>9011968유　병　일</v>
          </cell>
          <cell r="D2564" t="str">
            <v>CG54</v>
          </cell>
          <cell r="E2564" t="str">
            <v>화물2담당</v>
          </cell>
          <cell r="F2564" t="str">
            <v>2654</v>
          </cell>
          <cell r="G2564" t="str">
            <v>2654</v>
          </cell>
          <cell r="H2564" t="str">
            <v>19891122</v>
          </cell>
          <cell r="I2564">
            <v>14087648</v>
          </cell>
        </row>
        <row r="2565">
          <cell r="A2565" t="str">
            <v>8110394</v>
          </cell>
          <cell r="B2565" t="str">
            <v>유　태　하</v>
          </cell>
          <cell r="C2565" t="str">
            <v>8110394유　태　하</v>
          </cell>
          <cell r="D2565" t="str">
            <v>CG54</v>
          </cell>
          <cell r="E2565" t="str">
            <v>화물2담당</v>
          </cell>
          <cell r="F2565" t="str">
            <v>2654</v>
          </cell>
          <cell r="G2565" t="str">
            <v>2654</v>
          </cell>
          <cell r="H2565" t="str">
            <v>19810301</v>
          </cell>
          <cell r="I2565">
            <v>32136425</v>
          </cell>
        </row>
        <row r="2566">
          <cell r="A2566" t="str">
            <v>8111305</v>
          </cell>
          <cell r="B2566" t="str">
            <v>윤　대　현</v>
          </cell>
          <cell r="C2566" t="str">
            <v>8111305윤　대　현</v>
          </cell>
          <cell r="D2566" t="str">
            <v>CG54</v>
          </cell>
          <cell r="E2566" t="str">
            <v>화물2담당</v>
          </cell>
          <cell r="F2566" t="str">
            <v>2654</v>
          </cell>
          <cell r="G2566" t="str">
            <v>2654</v>
          </cell>
          <cell r="H2566" t="str">
            <v>19811101</v>
          </cell>
          <cell r="I2566">
            <v>32117706</v>
          </cell>
        </row>
        <row r="2567">
          <cell r="A2567" t="str">
            <v>9511198</v>
          </cell>
          <cell r="B2567" t="str">
            <v>윤　연　수</v>
          </cell>
          <cell r="C2567" t="str">
            <v>9511198윤　연　수</v>
          </cell>
          <cell r="D2567" t="str">
            <v>CG54</v>
          </cell>
          <cell r="E2567" t="str">
            <v>화물2담당</v>
          </cell>
          <cell r="F2567" t="str">
            <v>2654</v>
          </cell>
          <cell r="G2567" t="str">
            <v>2654</v>
          </cell>
          <cell r="H2567" t="str">
            <v>19950801</v>
          </cell>
          <cell r="I2567">
            <v>4887281</v>
          </cell>
        </row>
        <row r="2568">
          <cell r="A2568" t="str">
            <v>9110700</v>
          </cell>
          <cell r="B2568" t="str">
            <v>이　남　식</v>
          </cell>
          <cell r="C2568" t="str">
            <v>9110700이　남　식</v>
          </cell>
          <cell r="D2568" t="str">
            <v>CG54</v>
          </cell>
          <cell r="E2568" t="str">
            <v>화물2담당</v>
          </cell>
          <cell r="F2568" t="str">
            <v>2654</v>
          </cell>
          <cell r="G2568" t="str">
            <v>2654</v>
          </cell>
          <cell r="H2568" t="str">
            <v>19910601</v>
          </cell>
          <cell r="I2568">
            <v>11552660</v>
          </cell>
        </row>
        <row r="2569">
          <cell r="A2569" t="str">
            <v>8110844</v>
          </cell>
          <cell r="B2569" t="str">
            <v>이　덕　우</v>
          </cell>
          <cell r="C2569" t="str">
            <v>8110844이　덕　우</v>
          </cell>
          <cell r="D2569" t="str">
            <v>CG54</v>
          </cell>
          <cell r="E2569" t="str">
            <v>화물2담당</v>
          </cell>
          <cell r="F2569" t="str">
            <v>2654</v>
          </cell>
          <cell r="G2569" t="str">
            <v>2654</v>
          </cell>
          <cell r="H2569" t="str">
            <v>19810401</v>
          </cell>
          <cell r="I2569">
            <v>39440969</v>
          </cell>
        </row>
        <row r="2570">
          <cell r="A2570" t="str">
            <v>9612876</v>
          </cell>
          <cell r="B2570" t="str">
            <v>이　석　철</v>
          </cell>
          <cell r="C2570" t="str">
            <v>9612876이　석　철</v>
          </cell>
          <cell r="D2570" t="str">
            <v>CG54</v>
          </cell>
          <cell r="E2570" t="str">
            <v>화물2담당</v>
          </cell>
          <cell r="F2570" t="str">
            <v>2654</v>
          </cell>
          <cell r="G2570" t="str">
            <v>2654</v>
          </cell>
          <cell r="H2570" t="str">
            <v>19961201</v>
          </cell>
          <cell r="I2570">
            <v>3377228</v>
          </cell>
        </row>
        <row r="2571">
          <cell r="A2571" t="str">
            <v>8300553</v>
          </cell>
          <cell r="B2571" t="str">
            <v>이　운　균</v>
          </cell>
          <cell r="C2571" t="str">
            <v>8300553이　운　균</v>
          </cell>
          <cell r="D2571" t="str">
            <v>CG54</v>
          </cell>
          <cell r="E2571" t="str">
            <v>화물2담당</v>
          </cell>
          <cell r="F2571" t="str">
            <v>2654</v>
          </cell>
          <cell r="G2571" t="str">
            <v>2654</v>
          </cell>
          <cell r="H2571" t="str">
            <v>19830615</v>
          </cell>
          <cell r="I2571">
            <v>23954756</v>
          </cell>
        </row>
        <row r="2572">
          <cell r="A2572" t="str">
            <v>9760151</v>
          </cell>
          <cell r="B2572" t="str">
            <v>이　자　영</v>
          </cell>
          <cell r="C2572" t="str">
            <v>9760151이　자　영</v>
          </cell>
          <cell r="D2572" t="str">
            <v>CG54</v>
          </cell>
          <cell r="E2572" t="str">
            <v>화물2담당</v>
          </cell>
          <cell r="F2572" t="str">
            <v>2654</v>
          </cell>
          <cell r="G2572" t="str">
            <v>2654</v>
          </cell>
          <cell r="H2572" t="str">
            <v>19970929</v>
          </cell>
          <cell r="I2572">
            <v>2363275</v>
          </cell>
        </row>
        <row r="2573">
          <cell r="A2573" t="str">
            <v>9610277</v>
          </cell>
          <cell r="B2573" t="str">
            <v>이　정　일</v>
          </cell>
          <cell r="C2573" t="str">
            <v>9610277이　정　일</v>
          </cell>
          <cell r="D2573" t="str">
            <v>CG54</v>
          </cell>
          <cell r="E2573" t="str">
            <v>화물2담당</v>
          </cell>
          <cell r="F2573" t="str">
            <v>2654</v>
          </cell>
          <cell r="G2573" t="str">
            <v>2654</v>
          </cell>
          <cell r="H2573" t="str">
            <v>19960601</v>
          </cell>
          <cell r="I2573">
            <v>4821228</v>
          </cell>
        </row>
        <row r="2574">
          <cell r="A2574" t="str">
            <v>8911023</v>
          </cell>
          <cell r="B2574" t="str">
            <v>이　준　승</v>
          </cell>
          <cell r="C2574" t="str">
            <v>8911023이　준　승</v>
          </cell>
          <cell r="D2574" t="str">
            <v>CG54</v>
          </cell>
          <cell r="E2574" t="str">
            <v>화물2담당</v>
          </cell>
          <cell r="F2574" t="str">
            <v>2654</v>
          </cell>
          <cell r="G2574" t="str">
            <v>2811</v>
          </cell>
          <cell r="H2574" t="str">
            <v>19891004</v>
          </cell>
          <cell r="I2574">
            <v>18119294</v>
          </cell>
        </row>
        <row r="2575">
          <cell r="A2575" t="str">
            <v>9211994</v>
          </cell>
          <cell r="B2575" t="str">
            <v>이　충　렬</v>
          </cell>
          <cell r="C2575" t="str">
            <v>9211994이　충　렬</v>
          </cell>
          <cell r="D2575" t="str">
            <v>CG54</v>
          </cell>
          <cell r="E2575" t="str">
            <v>화물2담당</v>
          </cell>
          <cell r="F2575" t="str">
            <v>2654</v>
          </cell>
          <cell r="G2575" t="str">
            <v>2654</v>
          </cell>
          <cell r="H2575" t="str">
            <v>19921008</v>
          </cell>
          <cell r="I2575">
            <v>8464625</v>
          </cell>
        </row>
        <row r="2576">
          <cell r="A2576" t="str">
            <v>8110798</v>
          </cell>
          <cell r="B2576" t="str">
            <v>이　해　섭</v>
          </cell>
          <cell r="C2576" t="str">
            <v>8110798이　해　섭</v>
          </cell>
          <cell r="D2576" t="str">
            <v>CG54</v>
          </cell>
          <cell r="E2576" t="str">
            <v>화물2담당</v>
          </cell>
          <cell r="F2576" t="str">
            <v>2654</v>
          </cell>
          <cell r="G2576" t="str">
            <v>2654</v>
          </cell>
          <cell r="H2576" t="str">
            <v>19810401</v>
          </cell>
          <cell r="I2576">
            <v>40882074</v>
          </cell>
        </row>
        <row r="2577">
          <cell r="A2577" t="str">
            <v>8310306</v>
          </cell>
          <cell r="B2577" t="str">
            <v>이　홍　림</v>
          </cell>
          <cell r="C2577" t="str">
            <v>8310306이　홍　림</v>
          </cell>
          <cell r="D2577" t="str">
            <v>CG54</v>
          </cell>
          <cell r="E2577" t="str">
            <v>화물2담당</v>
          </cell>
          <cell r="F2577" t="str">
            <v>2654</v>
          </cell>
          <cell r="G2577" t="str">
            <v>2654</v>
          </cell>
          <cell r="H2577" t="str">
            <v>19831214</v>
          </cell>
          <cell r="I2577">
            <v>28994392</v>
          </cell>
        </row>
        <row r="2578">
          <cell r="A2578" t="str">
            <v>9612472</v>
          </cell>
          <cell r="B2578" t="str">
            <v>임　상　범</v>
          </cell>
          <cell r="C2578" t="str">
            <v>9612472임　상　범</v>
          </cell>
          <cell r="D2578" t="str">
            <v>CG54</v>
          </cell>
          <cell r="E2578" t="str">
            <v>화물2담당</v>
          </cell>
          <cell r="F2578" t="str">
            <v>2654</v>
          </cell>
          <cell r="G2578" t="str">
            <v>2654</v>
          </cell>
          <cell r="H2578" t="str">
            <v>19960916</v>
          </cell>
          <cell r="I2578">
            <v>3635124</v>
          </cell>
        </row>
        <row r="2579">
          <cell r="A2579" t="str">
            <v>8111351</v>
          </cell>
          <cell r="B2579" t="str">
            <v>임　정　규</v>
          </cell>
          <cell r="C2579" t="str">
            <v>8111351임　정　규</v>
          </cell>
          <cell r="D2579" t="str">
            <v>CG54</v>
          </cell>
          <cell r="E2579" t="str">
            <v>화물2담당</v>
          </cell>
          <cell r="F2579" t="str">
            <v>2654</v>
          </cell>
          <cell r="G2579" t="str">
            <v>2654</v>
          </cell>
          <cell r="H2579" t="str">
            <v>19811101</v>
          </cell>
          <cell r="I2579">
            <v>30166578</v>
          </cell>
        </row>
        <row r="2580">
          <cell r="A2580" t="str">
            <v>9410433</v>
          </cell>
          <cell r="B2580" t="str">
            <v>장　문　석</v>
          </cell>
          <cell r="C2580" t="str">
            <v>9410433장　문　석</v>
          </cell>
          <cell r="D2580" t="str">
            <v>CG54</v>
          </cell>
          <cell r="E2580" t="str">
            <v>화물2담당</v>
          </cell>
          <cell r="F2580" t="str">
            <v>2654</v>
          </cell>
          <cell r="G2580" t="str">
            <v>2330</v>
          </cell>
          <cell r="H2580" t="str">
            <v>19940416</v>
          </cell>
          <cell r="I2580">
            <v>6353694</v>
          </cell>
        </row>
        <row r="2581">
          <cell r="A2581" t="str">
            <v>8310161</v>
          </cell>
          <cell r="B2581" t="str">
            <v>장　순　혁</v>
          </cell>
          <cell r="C2581" t="str">
            <v>8310161장　순　혁</v>
          </cell>
          <cell r="D2581" t="str">
            <v>CG54</v>
          </cell>
          <cell r="E2581" t="str">
            <v>화물2담당</v>
          </cell>
          <cell r="F2581" t="str">
            <v>2654</v>
          </cell>
          <cell r="G2581" t="str">
            <v>2654</v>
          </cell>
          <cell r="H2581" t="str">
            <v>19830801</v>
          </cell>
          <cell r="I2581">
            <v>29350504</v>
          </cell>
        </row>
        <row r="2582">
          <cell r="A2582" t="str">
            <v>9610312</v>
          </cell>
          <cell r="B2582" t="str">
            <v>장　정　환</v>
          </cell>
          <cell r="C2582" t="str">
            <v>9610312장　정　환</v>
          </cell>
          <cell r="D2582" t="str">
            <v>CG54</v>
          </cell>
          <cell r="E2582" t="str">
            <v>화물2담당</v>
          </cell>
          <cell r="F2582" t="str">
            <v>2654</v>
          </cell>
          <cell r="G2582" t="str">
            <v>2654</v>
          </cell>
          <cell r="H2582" t="str">
            <v>19960601</v>
          </cell>
          <cell r="I2582">
            <v>4752744</v>
          </cell>
        </row>
        <row r="2583">
          <cell r="A2583" t="str">
            <v>8611176</v>
          </cell>
          <cell r="B2583" t="str">
            <v>정　광　호</v>
          </cell>
          <cell r="C2583" t="str">
            <v>8611176정　광　호</v>
          </cell>
          <cell r="D2583" t="str">
            <v>CG54</v>
          </cell>
          <cell r="E2583" t="str">
            <v>화물2담당</v>
          </cell>
          <cell r="F2583" t="str">
            <v>2654</v>
          </cell>
          <cell r="G2583" t="str">
            <v>2654</v>
          </cell>
          <cell r="H2583" t="str">
            <v>19861226</v>
          </cell>
          <cell r="I2583">
            <v>19063598</v>
          </cell>
        </row>
        <row r="2584">
          <cell r="A2584" t="str">
            <v>9211454</v>
          </cell>
          <cell r="B2584" t="str">
            <v>정　국　학</v>
          </cell>
          <cell r="C2584" t="str">
            <v>9211454정　국　학</v>
          </cell>
          <cell r="D2584" t="str">
            <v>CG54</v>
          </cell>
          <cell r="E2584" t="str">
            <v>화물2담당</v>
          </cell>
          <cell r="F2584" t="str">
            <v>2654</v>
          </cell>
          <cell r="G2584" t="str">
            <v>2654</v>
          </cell>
          <cell r="H2584" t="str">
            <v>19920706</v>
          </cell>
          <cell r="I2584">
            <v>10163843</v>
          </cell>
        </row>
        <row r="2585">
          <cell r="A2585" t="str">
            <v>8110293</v>
          </cell>
          <cell r="B2585" t="str">
            <v>정　기　영</v>
          </cell>
          <cell r="C2585" t="str">
            <v>8110293정　기　영</v>
          </cell>
          <cell r="D2585" t="str">
            <v>CG54</v>
          </cell>
          <cell r="E2585" t="str">
            <v>화물2담당</v>
          </cell>
          <cell r="F2585" t="str">
            <v>2654</v>
          </cell>
          <cell r="G2585" t="str">
            <v>2654</v>
          </cell>
          <cell r="H2585" t="str">
            <v>19810301</v>
          </cell>
          <cell r="I2585">
            <v>32290108</v>
          </cell>
        </row>
        <row r="2586">
          <cell r="A2586" t="str">
            <v>8910268</v>
          </cell>
          <cell r="B2586" t="str">
            <v>조　영　호</v>
          </cell>
          <cell r="C2586" t="str">
            <v>8910268조　영　호</v>
          </cell>
          <cell r="D2586" t="str">
            <v>CG54</v>
          </cell>
          <cell r="E2586" t="str">
            <v>화물2담당</v>
          </cell>
          <cell r="F2586" t="str">
            <v>2654</v>
          </cell>
          <cell r="G2586" t="str">
            <v>2654</v>
          </cell>
          <cell r="H2586" t="str">
            <v>19880908</v>
          </cell>
          <cell r="I2586">
            <v>15496831</v>
          </cell>
        </row>
        <row r="2587">
          <cell r="A2587" t="str">
            <v>9612483</v>
          </cell>
          <cell r="B2587" t="str">
            <v>지　명　완</v>
          </cell>
          <cell r="C2587" t="str">
            <v>9612483지　명　완</v>
          </cell>
          <cell r="D2587" t="str">
            <v>CG54</v>
          </cell>
          <cell r="E2587" t="str">
            <v>화물2담당</v>
          </cell>
          <cell r="F2587" t="str">
            <v>2654</v>
          </cell>
          <cell r="G2587" t="str">
            <v>2654</v>
          </cell>
          <cell r="H2587" t="str">
            <v>19960916</v>
          </cell>
          <cell r="I2587">
            <v>3612675</v>
          </cell>
        </row>
        <row r="2588">
          <cell r="A2588" t="str">
            <v>9610075</v>
          </cell>
          <cell r="B2588" t="str">
            <v>진　학　대</v>
          </cell>
          <cell r="C2588" t="str">
            <v>9610075진　학　대</v>
          </cell>
          <cell r="D2588" t="str">
            <v>CG54</v>
          </cell>
          <cell r="E2588" t="str">
            <v>화물2담당</v>
          </cell>
          <cell r="F2588" t="str">
            <v>2654</v>
          </cell>
          <cell r="G2588" t="str">
            <v>2654</v>
          </cell>
          <cell r="H2588" t="str">
            <v>19960301</v>
          </cell>
          <cell r="I2588">
            <v>7497950</v>
          </cell>
        </row>
        <row r="2589">
          <cell r="A2589" t="str">
            <v>9612584</v>
          </cell>
          <cell r="B2589" t="str">
            <v>차　의　철</v>
          </cell>
          <cell r="C2589" t="str">
            <v>9612584차　의　철</v>
          </cell>
          <cell r="D2589" t="str">
            <v>CG54</v>
          </cell>
          <cell r="E2589" t="str">
            <v>화물2담당</v>
          </cell>
          <cell r="F2589" t="str">
            <v>2654</v>
          </cell>
          <cell r="G2589" t="str">
            <v>2654</v>
          </cell>
          <cell r="H2589" t="str">
            <v>19961108</v>
          </cell>
          <cell r="I2589">
            <v>3401564</v>
          </cell>
        </row>
        <row r="2590">
          <cell r="A2590" t="str">
            <v>9303906</v>
          </cell>
          <cell r="B2590" t="str">
            <v>채　을　용</v>
          </cell>
          <cell r="C2590" t="str">
            <v>9303906채　을　용</v>
          </cell>
          <cell r="D2590" t="str">
            <v>CG54</v>
          </cell>
          <cell r="E2590" t="str">
            <v>화물2담당</v>
          </cell>
          <cell r="F2590" t="str">
            <v>2654</v>
          </cell>
          <cell r="G2590" t="str">
            <v>2654</v>
          </cell>
          <cell r="H2590" t="str">
            <v>19930701</v>
          </cell>
          <cell r="I2590">
            <v>7391343</v>
          </cell>
        </row>
        <row r="2591">
          <cell r="A2591" t="str">
            <v>9510107</v>
          </cell>
          <cell r="B2591" t="str">
            <v>천　영　우</v>
          </cell>
          <cell r="C2591" t="str">
            <v>9510107천　영　우</v>
          </cell>
          <cell r="D2591" t="str">
            <v>CG54</v>
          </cell>
          <cell r="E2591" t="str">
            <v>화물2담당</v>
          </cell>
          <cell r="F2591" t="str">
            <v>2654</v>
          </cell>
          <cell r="G2591" t="str">
            <v>2654</v>
          </cell>
          <cell r="H2591" t="str">
            <v>19950101</v>
          </cell>
          <cell r="I2591">
            <v>5828210</v>
          </cell>
        </row>
        <row r="2592">
          <cell r="A2592" t="str">
            <v>8110337</v>
          </cell>
          <cell r="B2592" t="str">
            <v>천　해　수</v>
          </cell>
          <cell r="C2592" t="str">
            <v>8110337천　해　수</v>
          </cell>
          <cell r="D2592" t="str">
            <v>CG54</v>
          </cell>
          <cell r="E2592" t="str">
            <v>화물2담당</v>
          </cell>
          <cell r="F2592" t="str">
            <v>2654</v>
          </cell>
          <cell r="G2592" t="e">
            <v>#N/A</v>
          </cell>
          <cell r="H2592" t="str">
            <v>19810301</v>
          </cell>
          <cell r="I2592">
            <v>34182095</v>
          </cell>
          <cell r="J2592" t="str">
            <v>5 월</v>
          </cell>
          <cell r="K2592">
            <v>36887232</v>
          </cell>
        </row>
        <row r="2593">
          <cell r="A2593" t="str">
            <v>9712135</v>
          </cell>
          <cell r="B2593" t="str">
            <v>최　찬　희</v>
          </cell>
          <cell r="C2593" t="str">
            <v>9712135최　찬　희</v>
          </cell>
          <cell r="D2593" t="str">
            <v>CG54</v>
          </cell>
          <cell r="E2593" t="str">
            <v>화물2담당</v>
          </cell>
          <cell r="F2593" t="str">
            <v>2654</v>
          </cell>
          <cell r="G2593" t="str">
            <v>2654</v>
          </cell>
          <cell r="H2593" t="str">
            <v>19971101</v>
          </cell>
          <cell r="I2593">
            <v>2433560</v>
          </cell>
        </row>
        <row r="2594">
          <cell r="A2594" t="str">
            <v>8611132</v>
          </cell>
          <cell r="B2594" t="str">
            <v>최　창　덕</v>
          </cell>
          <cell r="C2594" t="str">
            <v>8611132최　창　덕</v>
          </cell>
          <cell r="D2594" t="str">
            <v>CG54</v>
          </cell>
          <cell r="E2594" t="str">
            <v>화물2담당</v>
          </cell>
          <cell r="F2594" t="str">
            <v>2654</v>
          </cell>
          <cell r="G2594" t="str">
            <v>2654</v>
          </cell>
          <cell r="H2594" t="str">
            <v>19861226</v>
          </cell>
          <cell r="I2594">
            <v>19166649</v>
          </cell>
        </row>
        <row r="2595">
          <cell r="A2595" t="str">
            <v>8811325</v>
          </cell>
          <cell r="B2595" t="str">
            <v>최　태　원</v>
          </cell>
          <cell r="C2595" t="str">
            <v>8811325최　태　원</v>
          </cell>
          <cell r="D2595" t="str">
            <v>CG54</v>
          </cell>
          <cell r="E2595" t="str">
            <v>화물2담당</v>
          </cell>
          <cell r="F2595" t="str">
            <v>2654</v>
          </cell>
          <cell r="G2595" t="str">
            <v>2654</v>
          </cell>
          <cell r="H2595" t="str">
            <v>19880905</v>
          </cell>
          <cell r="I2595">
            <v>20257974</v>
          </cell>
        </row>
        <row r="2596">
          <cell r="A2596" t="str">
            <v>8610671</v>
          </cell>
          <cell r="B2596" t="str">
            <v>한　규　봉</v>
          </cell>
          <cell r="C2596" t="str">
            <v>8610671한　규　봉</v>
          </cell>
          <cell r="D2596" t="str">
            <v>CG54</v>
          </cell>
          <cell r="E2596" t="str">
            <v>화물2담당</v>
          </cell>
          <cell r="F2596" t="str">
            <v>2654</v>
          </cell>
          <cell r="G2596" t="str">
            <v>2654</v>
          </cell>
          <cell r="H2596" t="str">
            <v>19860823</v>
          </cell>
          <cell r="I2596">
            <v>21257349</v>
          </cell>
        </row>
        <row r="2597">
          <cell r="A2597" t="str">
            <v>8110495</v>
          </cell>
          <cell r="B2597" t="str">
            <v>한　상　택</v>
          </cell>
          <cell r="C2597" t="str">
            <v>8110495한　상　택</v>
          </cell>
          <cell r="D2597" t="str">
            <v>CG54</v>
          </cell>
          <cell r="E2597" t="str">
            <v>화물2담당</v>
          </cell>
          <cell r="F2597" t="str">
            <v>2654</v>
          </cell>
          <cell r="G2597" t="str">
            <v>2654</v>
          </cell>
          <cell r="H2597" t="str">
            <v>19810301</v>
          </cell>
          <cell r="I2597">
            <v>34345103</v>
          </cell>
        </row>
        <row r="2598">
          <cell r="A2598" t="str">
            <v>8710290</v>
          </cell>
          <cell r="B2598" t="str">
            <v>황　영　하</v>
          </cell>
          <cell r="C2598" t="str">
            <v>8710290황　영　하</v>
          </cell>
          <cell r="D2598" t="str">
            <v>CG54</v>
          </cell>
          <cell r="E2598" t="str">
            <v>화물2담당</v>
          </cell>
          <cell r="F2598" t="str">
            <v>2654</v>
          </cell>
          <cell r="G2598" t="str">
            <v>2654</v>
          </cell>
          <cell r="H2598" t="str">
            <v>19870323</v>
          </cell>
          <cell r="I2598">
            <v>19250095</v>
          </cell>
        </row>
        <row r="2599">
          <cell r="A2599" t="str">
            <v>0000071</v>
          </cell>
          <cell r="B2599" t="str">
            <v>표　승　욱</v>
          </cell>
          <cell r="C2599" t="str">
            <v>0000071표　승　욱</v>
          </cell>
          <cell r="D2599" t="str">
            <v>급유사업팀</v>
          </cell>
          <cell r="E2599" t="str">
            <v>급유사업팀</v>
          </cell>
          <cell r="F2599" t="str">
            <v>2670</v>
          </cell>
          <cell r="G2599" t="str">
            <v>2670</v>
          </cell>
          <cell r="H2599" t="str">
            <v>19980101</v>
          </cell>
          <cell r="I2599">
            <v>15760667</v>
          </cell>
        </row>
        <row r="2600">
          <cell r="A2600" t="str">
            <v>8100358</v>
          </cell>
          <cell r="B2600" t="str">
            <v>이　상　완</v>
          </cell>
          <cell r="C2600" t="str">
            <v>8100358이　상　완</v>
          </cell>
          <cell r="D2600" t="str">
            <v>CA20</v>
          </cell>
          <cell r="E2600" t="str">
            <v>급유사업팀</v>
          </cell>
          <cell r="F2600" t="str">
            <v>2670</v>
          </cell>
          <cell r="G2600" t="str">
            <v>2670</v>
          </cell>
          <cell r="H2600" t="str">
            <v>19811001</v>
          </cell>
          <cell r="I2600">
            <v>45532315</v>
          </cell>
        </row>
        <row r="2601">
          <cell r="A2601" t="str">
            <v>7900863</v>
          </cell>
          <cell r="B2601" t="str">
            <v>서　윤　원</v>
          </cell>
          <cell r="C2601" t="str">
            <v>7900863서　윤　원</v>
          </cell>
          <cell r="D2601" t="str">
            <v>CI20</v>
          </cell>
          <cell r="E2601" t="str">
            <v>급유사업팀</v>
          </cell>
          <cell r="F2601" t="str">
            <v>2670</v>
          </cell>
          <cell r="G2601" t="str">
            <v>2670</v>
          </cell>
          <cell r="H2601" t="str">
            <v>19791203</v>
          </cell>
          <cell r="I2601">
            <v>37003764</v>
          </cell>
        </row>
        <row r="2602">
          <cell r="A2602" t="str">
            <v>7810435</v>
          </cell>
          <cell r="B2602" t="str">
            <v>권　용　국</v>
          </cell>
          <cell r="C2602" t="str">
            <v>7810435권　용　국</v>
          </cell>
          <cell r="D2602" t="str">
            <v>CJ10</v>
          </cell>
          <cell r="E2602" t="str">
            <v>급유사업팀</v>
          </cell>
          <cell r="F2602" t="str">
            <v>2670</v>
          </cell>
          <cell r="G2602" t="str">
            <v>2670</v>
          </cell>
          <cell r="H2602" t="str">
            <v>19780101</v>
          </cell>
          <cell r="I2602">
            <v>71321140</v>
          </cell>
        </row>
        <row r="2603">
          <cell r="A2603" t="str">
            <v>9610042</v>
          </cell>
          <cell r="B2603" t="str">
            <v>박　진　배</v>
          </cell>
          <cell r="C2603" t="str">
            <v>9610042박　진　배</v>
          </cell>
          <cell r="D2603" t="str">
            <v>CJ15</v>
          </cell>
          <cell r="E2603" t="str">
            <v>급유사업팀</v>
          </cell>
          <cell r="F2603" t="str">
            <v>2670</v>
          </cell>
          <cell r="G2603" t="e">
            <v>#N/A</v>
          </cell>
          <cell r="H2603" t="str">
            <v>19960101</v>
          </cell>
          <cell r="I2603">
            <v>6676140</v>
          </cell>
          <cell r="J2603" t="str">
            <v>5 월</v>
          </cell>
          <cell r="K2603">
            <v>7250325</v>
          </cell>
        </row>
        <row r="2604">
          <cell r="A2604" t="str">
            <v>9360268</v>
          </cell>
          <cell r="B2604" t="str">
            <v>박　혜　경</v>
          </cell>
          <cell r="C2604" t="str">
            <v>9360268박　혜　경</v>
          </cell>
          <cell r="D2604" t="str">
            <v>CJ15</v>
          </cell>
          <cell r="E2604" t="str">
            <v>급유사업팀</v>
          </cell>
          <cell r="F2604" t="str">
            <v>2670</v>
          </cell>
          <cell r="G2604" t="str">
            <v>2670</v>
          </cell>
          <cell r="H2604" t="str">
            <v>19930621</v>
          </cell>
          <cell r="I2604">
            <v>8095951</v>
          </cell>
        </row>
        <row r="2605">
          <cell r="A2605" t="str">
            <v>9310048</v>
          </cell>
          <cell r="B2605" t="str">
            <v>이　지　훈</v>
          </cell>
          <cell r="C2605" t="str">
            <v>9310048이　지　훈</v>
          </cell>
          <cell r="D2605" t="str">
            <v>CJ15</v>
          </cell>
          <cell r="E2605" t="str">
            <v>급유사업팀</v>
          </cell>
          <cell r="F2605" t="str">
            <v>2670</v>
          </cell>
          <cell r="G2605" t="e">
            <v>#N/A</v>
          </cell>
          <cell r="H2605" t="str">
            <v>19930201</v>
          </cell>
          <cell r="I2605">
            <v>11693265</v>
          </cell>
          <cell r="J2605" t="str">
            <v>5 월</v>
          </cell>
          <cell r="K2605">
            <v>12508278</v>
          </cell>
        </row>
        <row r="2606">
          <cell r="A2606" t="str">
            <v>9610053</v>
          </cell>
          <cell r="B2606" t="str">
            <v>최　범　림</v>
          </cell>
          <cell r="C2606" t="str">
            <v>9610053최　범　림</v>
          </cell>
          <cell r="D2606" t="str">
            <v>CJ15</v>
          </cell>
          <cell r="E2606" t="str">
            <v>급유사업팀</v>
          </cell>
          <cell r="F2606" t="str">
            <v>2670</v>
          </cell>
          <cell r="G2606" t="str">
            <v>2670</v>
          </cell>
          <cell r="H2606" t="str">
            <v>19960101</v>
          </cell>
          <cell r="I2606">
            <v>6685868</v>
          </cell>
        </row>
        <row r="2607">
          <cell r="A2607" t="str">
            <v>9110957</v>
          </cell>
          <cell r="B2607" t="str">
            <v>최　종　호</v>
          </cell>
          <cell r="C2607" t="str">
            <v>9110957최　종　호</v>
          </cell>
          <cell r="D2607" t="str">
            <v>CJ15</v>
          </cell>
          <cell r="E2607" t="str">
            <v>급유사업팀</v>
          </cell>
          <cell r="F2607" t="str">
            <v>2670</v>
          </cell>
          <cell r="G2607" t="str">
            <v>2670</v>
          </cell>
          <cell r="H2607" t="str">
            <v>19910701</v>
          </cell>
          <cell r="I2607">
            <v>15078551</v>
          </cell>
        </row>
        <row r="2608">
          <cell r="A2608" t="str">
            <v>9410940</v>
          </cell>
          <cell r="B2608" t="str">
            <v>강　범　수</v>
          </cell>
          <cell r="C2608" t="str">
            <v>9410940강　범　수</v>
          </cell>
          <cell r="D2608" t="str">
            <v>CJ20</v>
          </cell>
          <cell r="E2608" t="str">
            <v>급유사업팀</v>
          </cell>
          <cell r="F2608" t="str">
            <v>2670</v>
          </cell>
          <cell r="G2608" t="str">
            <v>2670</v>
          </cell>
          <cell r="H2608" t="str">
            <v>19940616</v>
          </cell>
          <cell r="I2608">
            <v>8733762</v>
          </cell>
        </row>
        <row r="2609">
          <cell r="A2609" t="str">
            <v>9710212</v>
          </cell>
          <cell r="B2609" t="str">
            <v>강　종　남</v>
          </cell>
          <cell r="C2609" t="str">
            <v>9710212강　종　남</v>
          </cell>
          <cell r="D2609" t="str">
            <v>CJ20</v>
          </cell>
          <cell r="E2609" t="str">
            <v>급유사업팀</v>
          </cell>
          <cell r="F2609" t="str">
            <v>2670</v>
          </cell>
          <cell r="G2609" t="str">
            <v>2670</v>
          </cell>
          <cell r="H2609" t="str">
            <v>19970201</v>
          </cell>
          <cell r="I2609">
            <v>3462725</v>
          </cell>
        </row>
        <row r="2610">
          <cell r="A2610" t="str">
            <v>9710133</v>
          </cell>
          <cell r="B2610" t="str">
            <v>강　판　귀</v>
          </cell>
          <cell r="C2610" t="str">
            <v>9710133강　판　귀</v>
          </cell>
          <cell r="D2610" t="str">
            <v>CJ20</v>
          </cell>
          <cell r="E2610" t="str">
            <v>급유사업팀</v>
          </cell>
          <cell r="F2610" t="str">
            <v>2670</v>
          </cell>
          <cell r="G2610" t="str">
            <v>2670</v>
          </cell>
          <cell r="H2610" t="str">
            <v>19970201</v>
          </cell>
          <cell r="I2610">
            <v>3910801</v>
          </cell>
        </row>
        <row r="2611">
          <cell r="A2611" t="str">
            <v>9712710</v>
          </cell>
          <cell r="B2611" t="str">
            <v>고　동　언</v>
          </cell>
          <cell r="C2611" t="str">
            <v>9712710고　동　언</v>
          </cell>
          <cell r="D2611" t="str">
            <v>CJ20</v>
          </cell>
          <cell r="E2611" t="str">
            <v>급유사업팀</v>
          </cell>
          <cell r="F2611" t="str">
            <v>2670</v>
          </cell>
          <cell r="G2611" t="str">
            <v>2670</v>
          </cell>
          <cell r="H2611" t="str">
            <v>19971208</v>
          </cell>
          <cell r="I2611">
            <v>2776711</v>
          </cell>
        </row>
        <row r="2612">
          <cell r="A2612" t="str">
            <v>9211421</v>
          </cell>
          <cell r="B2612" t="str">
            <v>고　원　태</v>
          </cell>
          <cell r="C2612" t="str">
            <v>9211421고　원　태</v>
          </cell>
          <cell r="D2612" t="str">
            <v>CJ20</v>
          </cell>
          <cell r="E2612" t="str">
            <v>급유사업팀</v>
          </cell>
          <cell r="F2612" t="str">
            <v>2670</v>
          </cell>
          <cell r="G2612" t="str">
            <v>2670</v>
          </cell>
          <cell r="H2612" t="str">
            <v>19920601</v>
          </cell>
          <cell r="I2612">
            <v>12966746</v>
          </cell>
        </row>
        <row r="2613">
          <cell r="A2613" t="str">
            <v>9710188</v>
          </cell>
          <cell r="B2613" t="str">
            <v>고　익　환</v>
          </cell>
          <cell r="C2613" t="str">
            <v>9710188고　익　환</v>
          </cell>
          <cell r="D2613" t="str">
            <v>CJ20</v>
          </cell>
          <cell r="E2613" t="str">
            <v>급유사업팀</v>
          </cell>
          <cell r="F2613" t="str">
            <v>2670</v>
          </cell>
          <cell r="G2613" t="str">
            <v>2670</v>
          </cell>
          <cell r="H2613" t="str">
            <v>19970201</v>
          </cell>
          <cell r="I2613">
            <v>3920686</v>
          </cell>
        </row>
        <row r="2614">
          <cell r="A2614" t="str">
            <v>9710201</v>
          </cell>
          <cell r="B2614" t="str">
            <v>곽　영　호</v>
          </cell>
          <cell r="C2614" t="str">
            <v>9710201곽　영　호</v>
          </cell>
          <cell r="D2614" t="str">
            <v>CJ20</v>
          </cell>
          <cell r="E2614" t="str">
            <v>급유사업팀</v>
          </cell>
          <cell r="F2614" t="str">
            <v>2670</v>
          </cell>
          <cell r="G2614" t="str">
            <v>2670</v>
          </cell>
          <cell r="H2614" t="str">
            <v>19970201</v>
          </cell>
          <cell r="I2614">
            <v>3833163</v>
          </cell>
        </row>
        <row r="2615">
          <cell r="A2615" t="str">
            <v>9610446</v>
          </cell>
          <cell r="B2615" t="str">
            <v>구　승　준</v>
          </cell>
          <cell r="C2615" t="str">
            <v>9610446구　승　준</v>
          </cell>
          <cell r="D2615" t="str">
            <v>CJ20</v>
          </cell>
          <cell r="E2615" t="str">
            <v>급유사업팀</v>
          </cell>
          <cell r="F2615" t="str">
            <v>2670</v>
          </cell>
          <cell r="G2615" t="str">
            <v>2670</v>
          </cell>
          <cell r="H2615" t="str">
            <v>19960601</v>
          </cell>
          <cell r="I2615">
            <v>4866548</v>
          </cell>
        </row>
        <row r="2616">
          <cell r="A2616" t="str">
            <v>7810277</v>
          </cell>
          <cell r="B2616" t="str">
            <v>권　복　태</v>
          </cell>
          <cell r="C2616" t="str">
            <v>7810277권　복　태</v>
          </cell>
          <cell r="D2616" t="str">
            <v>CJ20</v>
          </cell>
          <cell r="E2616" t="str">
            <v>급유사업팀</v>
          </cell>
          <cell r="F2616" t="str">
            <v>2670</v>
          </cell>
          <cell r="G2616" t="str">
            <v>2670</v>
          </cell>
          <cell r="H2616" t="str">
            <v>19780516</v>
          </cell>
          <cell r="I2616">
            <v>45790078</v>
          </cell>
        </row>
        <row r="2617">
          <cell r="A2617" t="str">
            <v>9711707</v>
          </cell>
          <cell r="B2617" t="str">
            <v>권　선　옥</v>
          </cell>
          <cell r="C2617" t="str">
            <v>9711707권　선　옥</v>
          </cell>
          <cell r="D2617" t="str">
            <v>CJ20</v>
          </cell>
          <cell r="E2617" t="str">
            <v>급유사업팀</v>
          </cell>
          <cell r="F2617" t="str">
            <v>2670</v>
          </cell>
          <cell r="G2617" t="str">
            <v>2670</v>
          </cell>
          <cell r="H2617" t="str">
            <v>19970901</v>
          </cell>
          <cell r="I2617">
            <v>2590329</v>
          </cell>
        </row>
        <row r="2618">
          <cell r="A2618" t="str">
            <v>9205097</v>
          </cell>
          <cell r="B2618" t="str">
            <v>김　경　복</v>
          </cell>
          <cell r="C2618" t="str">
            <v>9205097김　경　복</v>
          </cell>
          <cell r="D2618" t="str">
            <v>CJ20</v>
          </cell>
          <cell r="E2618" t="str">
            <v>급유사업팀</v>
          </cell>
          <cell r="F2618" t="str">
            <v>2670</v>
          </cell>
          <cell r="G2618" t="str">
            <v>2670</v>
          </cell>
          <cell r="H2618" t="str">
            <v>19920817</v>
          </cell>
          <cell r="I2618">
            <v>11129556</v>
          </cell>
        </row>
        <row r="2619">
          <cell r="A2619" t="str">
            <v>9712034</v>
          </cell>
          <cell r="B2619" t="str">
            <v>김　국　일</v>
          </cell>
          <cell r="C2619" t="str">
            <v>9712034김　국　일</v>
          </cell>
          <cell r="D2619" t="str">
            <v>CJ20</v>
          </cell>
          <cell r="E2619" t="str">
            <v>급유사업팀</v>
          </cell>
          <cell r="F2619" t="str">
            <v>2670</v>
          </cell>
          <cell r="G2619" t="e">
            <v>#N/A</v>
          </cell>
          <cell r="H2619" t="str">
            <v>19971023</v>
          </cell>
          <cell r="I2619">
            <v>2405452</v>
          </cell>
          <cell r="J2619" t="str">
            <v>3 월</v>
          </cell>
          <cell r="K2619">
            <v>2606133</v>
          </cell>
        </row>
        <row r="2620">
          <cell r="A2620" t="str">
            <v>9510276</v>
          </cell>
          <cell r="B2620" t="str">
            <v>김　기　용</v>
          </cell>
          <cell r="C2620" t="str">
            <v>9510276김　기　용</v>
          </cell>
          <cell r="D2620" t="str">
            <v>CJ20</v>
          </cell>
          <cell r="E2620" t="str">
            <v>급유사업팀</v>
          </cell>
          <cell r="F2620" t="str">
            <v>2670</v>
          </cell>
          <cell r="G2620" t="str">
            <v>2670</v>
          </cell>
          <cell r="H2620" t="str">
            <v>19950301</v>
          </cell>
          <cell r="I2620">
            <v>6932688</v>
          </cell>
        </row>
        <row r="2621">
          <cell r="A2621" t="str">
            <v>7710085</v>
          </cell>
          <cell r="B2621" t="str">
            <v>김　낙　승</v>
          </cell>
          <cell r="C2621" t="str">
            <v>7710085김　낙　승</v>
          </cell>
          <cell r="D2621" t="str">
            <v>CJ20</v>
          </cell>
          <cell r="E2621" t="str">
            <v>급유사업팀</v>
          </cell>
          <cell r="F2621" t="str">
            <v>2670</v>
          </cell>
          <cell r="G2621" t="str">
            <v>2670</v>
          </cell>
          <cell r="H2621" t="str">
            <v>19820401</v>
          </cell>
          <cell r="I2621">
            <v>36598669</v>
          </cell>
        </row>
        <row r="2622">
          <cell r="A2622" t="str">
            <v>9810044</v>
          </cell>
          <cell r="B2622" t="str">
            <v>김　대　현</v>
          </cell>
          <cell r="C2622" t="str">
            <v>9810044김　대　현</v>
          </cell>
          <cell r="D2622" t="str">
            <v>CJ20</v>
          </cell>
          <cell r="E2622" t="str">
            <v>급유사업팀</v>
          </cell>
          <cell r="F2622" t="str">
            <v>2670</v>
          </cell>
          <cell r="G2622" t="str">
            <v>2670</v>
          </cell>
          <cell r="H2622" t="str">
            <v>19980101</v>
          </cell>
          <cell r="I2622">
            <v>2698000</v>
          </cell>
        </row>
        <row r="2623">
          <cell r="A2623" t="str">
            <v>7810334</v>
          </cell>
          <cell r="B2623" t="str">
            <v>김　동　구</v>
          </cell>
          <cell r="C2623" t="str">
            <v>7810334김　동　구</v>
          </cell>
          <cell r="D2623" t="str">
            <v>CJ20</v>
          </cell>
          <cell r="E2623" t="str">
            <v>급유사업팀</v>
          </cell>
          <cell r="F2623" t="str">
            <v>2670</v>
          </cell>
          <cell r="G2623" t="str">
            <v>2670</v>
          </cell>
          <cell r="H2623" t="str">
            <v>19781208</v>
          </cell>
          <cell r="I2623">
            <v>44539904</v>
          </cell>
        </row>
        <row r="2624">
          <cell r="A2624" t="str">
            <v>9710346</v>
          </cell>
          <cell r="B2624" t="str">
            <v>김　명　진</v>
          </cell>
          <cell r="C2624" t="str">
            <v>9710346김　명　진</v>
          </cell>
          <cell r="D2624" t="str">
            <v>CJ20</v>
          </cell>
          <cell r="E2624" t="str">
            <v>급유사업팀</v>
          </cell>
          <cell r="F2624" t="str">
            <v>2670</v>
          </cell>
          <cell r="G2624" t="str">
            <v>2670</v>
          </cell>
          <cell r="H2624" t="str">
            <v>19970201</v>
          </cell>
          <cell r="I2624">
            <v>3865357</v>
          </cell>
        </row>
        <row r="2625">
          <cell r="A2625" t="str">
            <v>8811540</v>
          </cell>
          <cell r="B2625" t="str">
            <v>김　영　배</v>
          </cell>
          <cell r="C2625" t="str">
            <v>8811540김　영　배</v>
          </cell>
          <cell r="D2625" t="str">
            <v>CJ20</v>
          </cell>
          <cell r="E2625" t="str">
            <v>급유사업팀</v>
          </cell>
          <cell r="F2625" t="str">
            <v>2670</v>
          </cell>
          <cell r="G2625" t="str">
            <v>2670</v>
          </cell>
          <cell r="H2625" t="str">
            <v>19880714</v>
          </cell>
          <cell r="I2625">
            <v>19246188</v>
          </cell>
        </row>
        <row r="2626">
          <cell r="A2626" t="str">
            <v>9710032</v>
          </cell>
          <cell r="B2626" t="str">
            <v>김　용　칠</v>
          </cell>
          <cell r="C2626" t="str">
            <v>9710032김　용　칠</v>
          </cell>
          <cell r="D2626" t="str">
            <v>CJ20</v>
          </cell>
          <cell r="E2626" t="str">
            <v>급유사업팀</v>
          </cell>
          <cell r="F2626" t="str">
            <v>2670</v>
          </cell>
          <cell r="G2626" t="str">
            <v>2670</v>
          </cell>
          <cell r="H2626" t="str">
            <v>19970101</v>
          </cell>
          <cell r="I2626">
            <v>4148736</v>
          </cell>
        </row>
        <row r="2627">
          <cell r="A2627" t="str">
            <v>9710166</v>
          </cell>
          <cell r="B2627" t="str">
            <v>김　우　중</v>
          </cell>
          <cell r="C2627" t="str">
            <v>9710166김　우　중</v>
          </cell>
          <cell r="D2627" t="str">
            <v>CJ20</v>
          </cell>
          <cell r="E2627" t="str">
            <v>급유사업팀</v>
          </cell>
          <cell r="F2627" t="str">
            <v>2670</v>
          </cell>
          <cell r="G2627" t="str">
            <v>2670</v>
          </cell>
          <cell r="H2627" t="str">
            <v>19970201</v>
          </cell>
          <cell r="I2627">
            <v>3769418</v>
          </cell>
        </row>
        <row r="2628">
          <cell r="A2628" t="str">
            <v>7810301</v>
          </cell>
          <cell r="B2628" t="str">
            <v>김　원　경</v>
          </cell>
          <cell r="C2628" t="str">
            <v>7810301김　원　경</v>
          </cell>
          <cell r="D2628" t="str">
            <v>CJ20</v>
          </cell>
          <cell r="E2628" t="str">
            <v>급유사업팀</v>
          </cell>
          <cell r="F2628" t="str">
            <v>2670</v>
          </cell>
          <cell r="G2628" t="str">
            <v>2670</v>
          </cell>
          <cell r="H2628" t="str">
            <v>19780516</v>
          </cell>
          <cell r="I2628">
            <v>43766690</v>
          </cell>
        </row>
        <row r="2629">
          <cell r="A2629" t="str">
            <v>9010844</v>
          </cell>
          <cell r="B2629" t="str">
            <v>김　원　태</v>
          </cell>
          <cell r="C2629" t="str">
            <v>9010844김　원　태</v>
          </cell>
          <cell r="D2629" t="str">
            <v>CJ20</v>
          </cell>
          <cell r="E2629" t="str">
            <v>급유사업팀</v>
          </cell>
          <cell r="F2629" t="str">
            <v>2670</v>
          </cell>
          <cell r="G2629" t="str">
            <v>2670</v>
          </cell>
          <cell r="H2629" t="str">
            <v>19900601</v>
          </cell>
          <cell r="I2629">
            <v>15890480</v>
          </cell>
        </row>
        <row r="2630">
          <cell r="A2630" t="str">
            <v>9710245</v>
          </cell>
          <cell r="B2630" t="str">
            <v>김　윤　길</v>
          </cell>
          <cell r="C2630" t="str">
            <v>9710245김　윤　길</v>
          </cell>
          <cell r="D2630" t="str">
            <v>CJ20</v>
          </cell>
          <cell r="E2630" t="str">
            <v>급유사업팀</v>
          </cell>
          <cell r="F2630" t="str">
            <v>2670</v>
          </cell>
          <cell r="G2630" t="str">
            <v>2670</v>
          </cell>
          <cell r="H2630" t="str">
            <v>19970201</v>
          </cell>
          <cell r="I2630">
            <v>3811997</v>
          </cell>
        </row>
        <row r="2631">
          <cell r="A2631" t="str">
            <v>8300406</v>
          </cell>
          <cell r="B2631" t="str">
            <v>김　윤　하</v>
          </cell>
          <cell r="C2631" t="str">
            <v>8300406김　윤　하</v>
          </cell>
          <cell r="D2631" t="str">
            <v>CJ20</v>
          </cell>
          <cell r="E2631" t="str">
            <v>급유사업팀</v>
          </cell>
          <cell r="F2631" t="str">
            <v>2670</v>
          </cell>
          <cell r="G2631" t="str">
            <v>2670</v>
          </cell>
          <cell r="H2631" t="str">
            <v>19971001</v>
          </cell>
          <cell r="I2631">
            <v>4180633</v>
          </cell>
        </row>
        <row r="2632">
          <cell r="A2632" t="str">
            <v>8610772</v>
          </cell>
          <cell r="B2632" t="str">
            <v>김　재　식</v>
          </cell>
          <cell r="C2632" t="str">
            <v>8610772김　재　식</v>
          </cell>
          <cell r="D2632" t="str">
            <v>CJ20</v>
          </cell>
          <cell r="E2632" t="str">
            <v>급유사업팀</v>
          </cell>
          <cell r="F2632" t="str">
            <v>2670</v>
          </cell>
          <cell r="G2632" t="str">
            <v>2670</v>
          </cell>
          <cell r="H2632" t="str">
            <v>19860911</v>
          </cell>
          <cell r="I2632">
            <v>24089885</v>
          </cell>
        </row>
        <row r="2633">
          <cell r="A2633" t="str">
            <v>9410927</v>
          </cell>
          <cell r="B2633" t="str">
            <v>김　재　용</v>
          </cell>
          <cell r="C2633" t="str">
            <v>9410927김　재　용</v>
          </cell>
          <cell r="D2633" t="str">
            <v>CJ20</v>
          </cell>
          <cell r="E2633" t="str">
            <v>급유사업팀</v>
          </cell>
          <cell r="F2633" t="str">
            <v>2670</v>
          </cell>
          <cell r="G2633" t="str">
            <v>2670</v>
          </cell>
          <cell r="H2633" t="str">
            <v>19940616</v>
          </cell>
          <cell r="I2633">
            <v>7767388</v>
          </cell>
        </row>
        <row r="2634">
          <cell r="A2634" t="str">
            <v>9111497</v>
          </cell>
          <cell r="B2634" t="str">
            <v>김　재　황</v>
          </cell>
          <cell r="C2634" t="str">
            <v>9111497김　재　황</v>
          </cell>
          <cell r="D2634" t="str">
            <v>CJ20</v>
          </cell>
          <cell r="E2634" t="str">
            <v>급유사업팀</v>
          </cell>
          <cell r="F2634" t="str">
            <v>2670</v>
          </cell>
          <cell r="G2634" t="str">
            <v>2670</v>
          </cell>
          <cell r="H2634" t="str">
            <v>19910926</v>
          </cell>
          <cell r="I2634">
            <v>13306818</v>
          </cell>
        </row>
        <row r="2635">
          <cell r="A2635" t="str">
            <v>9410984</v>
          </cell>
          <cell r="B2635" t="str">
            <v>김　정　호</v>
          </cell>
          <cell r="C2635" t="str">
            <v>9410984김　정　호</v>
          </cell>
          <cell r="D2635" t="str">
            <v>CJ20</v>
          </cell>
          <cell r="E2635" t="str">
            <v>급유사업팀</v>
          </cell>
          <cell r="F2635" t="str">
            <v>2670</v>
          </cell>
          <cell r="G2635" t="str">
            <v>2670</v>
          </cell>
          <cell r="H2635" t="str">
            <v>19940616</v>
          </cell>
          <cell r="I2635">
            <v>7929624</v>
          </cell>
        </row>
        <row r="2636">
          <cell r="A2636" t="str">
            <v>9010811</v>
          </cell>
          <cell r="B2636" t="str">
            <v>김　철　정</v>
          </cell>
          <cell r="C2636" t="str">
            <v>9010811김　철　정</v>
          </cell>
          <cell r="D2636" t="str">
            <v>CJ20</v>
          </cell>
          <cell r="E2636" t="str">
            <v>급유사업팀</v>
          </cell>
          <cell r="F2636" t="str">
            <v>2670</v>
          </cell>
          <cell r="G2636" t="str">
            <v>2670</v>
          </cell>
          <cell r="H2636" t="str">
            <v>19900601</v>
          </cell>
          <cell r="I2636">
            <v>15349669</v>
          </cell>
        </row>
        <row r="2637">
          <cell r="A2637" t="str">
            <v>9103026</v>
          </cell>
          <cell r="B2637" t="str">
            <v>김　충　환</v>
          </cell>
          <cell r="C2637" t="str">
            <v>9103026김　충　환</v>
          </cell>
          <cell r="D2637" t="str">
            <v>CJ20</v>
          </cell>
          <cell r="E2637" t="str">
            <v>급유사업팀</v>
          </cell>
          <cell r="F2637" t="str">
            <v>2670</v>
          </cell>
          <cell r="G2637" t="str">
            <v>2670</v>
          </cell>
          <cell r="H2637" t="str">
            <v>19910801</v>
          </cell>
          <cell r="I2637">
            <v>12387745</v>
          </cell>
        </row>
        <row r="2638">
          <cell r="A2638" t="str">
            <v>9510232</v>
          </cell>
          <cell r="B2638" t="str">
            <v>김　학　규</v>
          </cell>
          <cell r="C2638" t="str">
            <v>9510232김　학　규</v>
          </cell>
          <cell r="D2638" t="str">
            <v>CJ20</v>
          </cell>
          <cell r="E2638" t="str">
            <v>급유사업팀</v>
          </cell>
          <cell r="F2638" t="str">
            <v>2670</v>
          </cell>
          <cell r="G2638" t="str">
            <v>2670</v>
          </cell>
          <cell r="H2638" t="str">
            <v>19950301</v>
          </cell>
          <cell r="I2638">
            <v>7189776</v>
          </cell>
        </row>
        <row r="2639">
          <cell r="A2639" t="str">
            <v>9710267</v>
          </cell>
          <cell r="B2639" t="str">
            <v>김　한　곤</v>
          </cell>
          <cell r="C2639" t="str">
            <v>9710267김　한　곤</v>
          </cell>
          <cell r="D2639" t="str">
            <v>CJ20</v>
          </cell>
          <cell r="E2639" t="str">
            <v>급유사업팀</v>
          </cell>
          <cell r="F2639" t="str">
            <v>2670</v>
          </cell>
          <cell r="G2639" t="str">
            <v>2670</v>
          </cell>
          <cell r="H2639" t="str">
            <v>19970201</v>
          </cell>
          <cell r="I2639">
            <v>3898378</v>
          </cell>
        </row>
        <row r="2640">
          <cell r="A2640" t="str">
            <v>9610233</v>
          </cell>
          <cell r="B2640" t="str">
            <v>김　호　석</v>
          </cell>
          <cell r="C2640" t="str">
            <v>9610233김　호　석</v>
          </cell>
          <cell r="D2640" t="str">
            <v>CJ20</v>
          </cell>
          <cell r="E2640" t="str">
            <v>급유사업팀</v>
          </cell>
          <cell r="F2640" t="str">
            <v>2670</v>
          </cell>
          <cell r="G2640" t="str">
            <v>2670</v>
          </cell>
          <cell r="H2640" t="str">
            <v>19960516</v>
          </cell>
          <cell r="I2640">
            <v>5119348</v>
          </cell>
        </row>
        <row r="2641">
          <cell r="A2641" t="str">
            <v>9710177</v>
          </cell>
          <cell r="B2641" t="str">
            <v>김　환　　</v>
          </cell>
          <cell r="C2641" t="str">
            <v>9710177김　환　　</v>
          </cell>
          <cell r="D2641" t="str">
            <v>CJ20</v>
          </cell>
          <cell r="E2641" t="str">
            <v>급유사업팀</v>
          </cell>
          <cell r="F2641" t="str">
            <v>2670</v>
          </cell>
          <cell r="G2641" t="str">
            <v>2670</v>
          </cell>
          <cell r="H2641" t="str">
            <v>19970201</v>
          </cell>
          <cell r="I2641">
            <v>3839670</v>
          </cell>
        </row>
        <row r="2642">
          <cell r="A2642" t="str">
            <v>9510783</v>
          </cell>
          <cell r="B2642" t="str">
            <v>김　희　환</v>
          </cell>
          <cell r="C2642" t="str">
            <v>9510783김　희　환</v>
          </cell>
          <cell r="D2642" t="str">
            <v>CJ20</v>
          </cell>
          <cell r="E2642" t="str">
            <v>급유사업팀</v>
          </cell>
          <cell r="F2642" t="str">
            <v>2670</v>
          </cell>
          <cell r="G2642" t="str">
            <v>2670</v>
          </cell>
          <cell r="H2642" t="str">
            <v>19950601</v>
          </cell>
          <cell r="I2642">
            <v>6041684</v>
          </cell>
        </row>
        <row r="2643">
          <cell r="A2643" t="str">
            <v>9410635</v>
          </cell>
          <cell r="B2643" t="str">
            <v>남궁　일윤</v>
          </cell>
          <cell r="C2643" t="str">
            <v>9410635남궁　일윤</v>
          </cell>
          <cell r="D2643" t="str">
            <v>CJ20</v>
          </cell>
          <cell r="E2643" t="str">
            <v>급유사업팀</v>
          </cell>
          <cell r="F2643" t="str">
            <v>2670</v>
          </cell>
          <cell r="G2643" t="str">
            <v>2670</v>
          </cell>
          <cell r="H2643" t="str">
            <v>19940601</v>
          </cell>
          <cell r="I2643">
            <v>9409384</v>
          </cell>
        </row>
        <row r="2644">
          <cell r="A2644" t="str">
            <v>9402186</v>
          </cell>
          <cell r="B2644" t="str">
            <v>문　태　일</v>
          </cell>
          <cell r="C2644" t="str">
            <v>9402186문　태　일</v>
          </cell>
          <cell r="D2644" t="str">
            <v>CJ20</v>
          </cell>
          <cell r="E2644" t="str">
            <v>급유사업팀</v>
          </cell>
          <cell r="F2644" t="str">
            <v>2670</v>
          </cell>
          <cell r="G2644" t="str">
            <v>2670</v>
          </cell>
          <cell r="H2644" t="str">
            <v>19940418</v>
          </cell>
          <cell r="I2644">
            <v>7860432</v>
          </cell>
        </row>
        <row r="2645">
          <cell r="A2645" t="str">
            <v>8501850</v>
          </cell>
          <cell r="B2645" t="str">
            <v>민　광　철</v>
          </cell>
          <cell r="C2645" t="str">
            <v>8501850민　광　철</v>
          </cell>
          <cell r="D2645" t="str">
            <v>CJ20</v>
          </cell>
          <cell r="E2645" t="str">
            <v>급유사업팀</v>
          </cell>
          <cell r="F2645" t="str">
            <v>2670</v>
          </cell>
          <cell r="G2645" t="str">
            <v>2670</v>
          </cell>
          <cell r="H2645" t="str">
            <v>19850715</v>
          </cell>
          <cell r="I2645">
            <v>26112136</v>
          </cell>
        </row>
        <row r="2646">
          <cell r="A2646" t="str">
            <v>9211667</v>
          </cell>
          <cell r="B2646" t="str">
            <v>민　용　식</v>
          </cell>
          <cell r="C2646" t="str">
            <v>9211667민　용　식</v>
          </cell>
          <cell r="D2646" t="str">
            <v>CJ20</v>
          </cell>
          <cell r="E2646" t="str">
            <v>급유사업팀</v>
          </cell>
          <cell r="F2646" t="str">
            <v>2670</v>
          </cell>
          <cell r="G2646" t="str">
            <v>2670</v>
          </cell>
          <cell r="H2646" t="str">
            <v>19920706</v>
          </cell>
          <cell r="I2646">
            <v>10544880</v>
          </cell>
        </row>
        <row r="2647">
          <cell r="A2647" t="str">
            <v>9410916</v>
          </cell>
          <cell r="B2647" t="str">
            <v>민　재　경</v>
          </cell>
          <cell r="C2647" t="str">
            <v>9410916민　재　경</v>
          </cell>
          <cell r="D2647" t="str">
            <v>CJ20</v>
          </cell>
          <cell r="E2647" t="str">
            <v>급유사업팀</v>
          </cell>
          <cell r="F2647" t="str">
            <v>2670</v>
          </cell>
          <cell r="G2647" t="str">
            <v>2670</v>
          </cell>
          <cell r="H2647" t="str">
            <v>19940616</v>
          </cell>
          <cell r="I2647">
            <v>8491043</v>
          </cell>
        </row>
        <row r="2648">
          <cell r="A2648" t="str">
            <v>8810954</v>
          </cell>
          <cell r="B2648" t="str">
            <v>박　봉　규</v>
          </cell>
          <cell r="C2648" t="str">
            <v>8810954박　봉　규</v>
          </cell>
          <cell r="D2648" t="str">
            <v>CJ20</v>
          </cell>
          <cell r="E2648" t="str">
            <v>급유사업팀</v>
          </cell>
          <cell r="F2648" t="str">
            <v>2670</v>
          </cell>
          <cell r="G2648" t="str">
            <v>2670</v>
          </cell>
          <cell r="H2648" t="str">
            <v>19880701</v>
          </cell>
          <cell r="I2648">
            <v>22889328</v>
          </cell>
        </row>
        <row r="2649">
          <cell r="A2649" t="str">
            <v>9710278</v>
          </cell>
          <cell r="B2649" t="str">
            <v>박　상　면</v>
          </cell>
          <cell r="C2649" t="str">
            <v>9710278박　상　면</v>
          </cell>
          <cell r="D2649" t="str">
            <v>CJ20</v>
          </cell>
          <cell r="E2649" t="str">
            <v>급유사업팀</v>
          </cell>
          <cell r="F2649" t="str">
            <v>2670</v>
          </cell>
          <cell r="G2649" t="str">
            <v>2670</v>
          </cell>
          <cell r="H2649" t="str">
            <v>19970201</v>
          </cell>
          <cell r="I2649">
            <v>3855871</v>
          </cell>
        </row>
        <row r="2650">
          <cell r="A2650" t="str">
            <v>9611818</v>
          </cell>
          <cell r="B2650" t="str">
            <v>박　상　배</v>
          </cell>
          <cell r="C2650" t="str">
            <v>9611818박　상　배</v>
          </cell>
          <cell r="D2650" t="str">
            <v>CJ20</v>
          </cell>
          <cell r="E2650" t="str">
            <v>급유사업팀</v>
          </cell>
          <cell r="F2650" t="str">
            <v>2670</v>
          </cell>
          <cell r="G2650" t="str">
            <v>2670</v>
          </cell>
          <cell r="H2650" t="str">
            <v>19960701</v>
          </cell>
          <cell r="I2650">
            <v>5101517</v>
          </cell>
        </row>
        <row r="2651">
          <cell r="A2651" t="str">
            <v>9002351</v>
          </cell>
          <cell r="B2651" t="str">
            <v>박　상　열</v>
          </cell>
          <cell r="C2651" t="str">
            <v>9002351박　상　열</v>
          </cell>
          <cell r="D2651" t="str">
            <v>CJ20</v>
          </cell>
          <cell r="E2651" t="str">
            <v>급유사업팀</v>
          </cell>
          <cell r="F2651" t="str">
            <v>2670</v>
          </cell>
          <cell r="G2651" t="str">
            <v>2670</v>
          </cell>
          <cell r="H2651" t="str">
            <v>19900108</v>
          </cell>
          <cell r="I2651">
            <v>15252688</v>
          </cell>
        </row>
        <row r="2652">
          <cell r="A2652" t="str">
            <v>9710842</v>
          </cell>
          <cell r="B2652" t="str">
            <v>박　성　식</v>
          </cell>
          <cell r="C2652" t="str">
            <v>9710842박　성　식</v>
          </cell>
          <cell r="D2652" t="str">
            <v>CJ20</v>
          </cell>
          <cell r="E2652" t="str">
            <v>급유사업팀</v>
          </cell>
          <cell r="F2652" t="str">
            <v>2670</v>
          </cell>
          <cell r="G2652" t="str">
            <v>2670</v>
          </cell>
          <cell r="H2652" t="str">
            <v>19970414</v>
          </cell>
          <cell r="I2652">
            <v>3650967</v>
          </cell>
        </row>
        <row r="2653">
          <cell r="A2653" t="str">
            <v>9710098</v>
          </cell>
          <cell r="B2653" t="str">
            <v>박　성　호</v>
          </cell>
          <cell r="C2653" t="str">
            <v>9710098박　성　호</v>
          </cell>
          <cell r="D2653" t="str">
            <v>CJ20</v>
          </cell>
          <cell r="E2653" t="str">
            <v>급유사업팀</v>
          </cell>
          <cell r="F2653" t="str">
            <v>2670</v>
          </cell>
          <cell r="G2653" t="str">
            <v>2670</v>
          </cell>
          <cell r="H2653" t="str">
            <v>19970201</v>
          </cell>
          <cell r="I2653">
            <v>3852292</v>
          </cell>
        </row>
        <row r="2654">
          <cell r="A2654" t="str">
            <v>9710021</v>
          </cell>
          <cell r="B2654" t="str">
            <v>박　영　남</v>
          </cell>
          <cell r="C2654" t="str">
            <v>9710021박　영　남</v>
          </cell>
          <cell r="D2654" t="str">
            <v>CJ20</v>
          </cell>
          <cell r="E2654" t="str">
            <v>급유사업팀</v>
          </cell>
          <cell r="F2654" t="str">
            <v>2670</v>
          </cell>
          <cell r="G2654" t="str">
            <v>2670</v>
          </cell>
          <cell r="H2654" t="str">
            <v>19970101</v>
          </cell>
          <cell r="I2654">
            <v>4329396</v>
          </cell>
        </row>
        <row r="2655">
          <cell r="A2655" t="str">
            <v>8902157</v>
          </cell>
          <cell r="B2655" t="str">
            <v>박　영　춘</v>
          </cell>
          <cell r="C2655" t="str">
            <v>8902157박　영　춘</v>
          </cell>
          <cell r="D2655" t="str">
            <v>CJ20</v>
          </cell>
          <cell r="E2655" t="str">
            <v>급유사업팀</v>
          </cell>
          <cell r="F2655" t="str">
            <v>2670</v>
          </cell>
          <cell r="G2655" t="str">
            <v>2670</v>
          </cell>
          <cell r="H2655" t="str">
            <v>19881223</v>
          </cell>
          <cell r="I2655">
            <v>17891261</v>
          </cell>
        </row>
        <row r="2656">
          <cell r="A2656" t="str">
            <v>9511626</v>
          </cell>
          <cell r="B2656" t="str">
            <v>박　용　국</v>
          </cell>
          <cell r="C2656" t="str">
            <v>9511626박　용　국</v>
          </cell>
          <cell r="D2656" t="str">
            <v>CJ20</v>
          </cell>
          <cell r="E2656" t="str">
            <v>급유사업팀</v>
          </cell>
          <cell r="F2656" t="str">
            <v>2670</v>
          </cell>
          <cell r="G2656" t="str">
            <v>2670</v>
          </cell>
          <cell r="H2656" t="str">
            <v>19951023</v>
          </cell>
          <cell r="I2656">
            <v>5926870</v>
          </cell>
        </row>
        <row r="2657">
          <cell r="A2657" t="str">
            <v>9210115</v>
          </cell>
          <cell r="B2657" t="str">
            <v>박　주　석</v>
          </cell>
          <cell r="C2657" t="str">
            <v>9210115박　주　석</v>
          </cell>
          <cell r="D2657" t="str">
            <v>CJ20</v>
          </cell>
          <cell r="E2657" t="str">
            <v>급유사업팀</v>
          </cell>
          <cell r="F2657" t="str">
            <v>2670</v>
          </cell>
          <cell r="G2657" t="str">
            <v>2670</v>
          </cell>
          <cell r="H2657" t="str">
            <v>19920107</v>
          </cell>
          <cell r="I2657">
            <v>14156070</v>
          </cell>
        </row>
        <row r="2658">
          <cell r="A2658" t="str">
            <v>7810244</v>
          </cell>
          <cell r="B2658" t="str">
            <v>박　진　덕</v>
          </cell>
          <cell r="C2658" t="str">
            <v>7810244박　진　덕</v>
          </cell>
          <cell r="D2658" t="str">
            <v>CJ20</v>
          </cell>
          <cell r="E2658" t="str">
            <v>급유사업팀</v>
          </cell>
          <cell r="F2658" t="str">
            <v>2670</v>
          </cell>
          <cell r="G2658" t="str">
            <v>2670</v>
          </cell>
          <cell r="H2658" t="str">
            <v>19781220</v>
          </cell>
          <cell r="I2658">
            <v>42242023</v>
          </cell>
        </row>
        <row r="2659">
          <cell r="A2659" t="str">
            <v>9610097</v>
          </cell>
          <cell r="B2659" t="str">
            <v>박　찬　길</v>
          </cell>
          <cell r="C2659" t="str">
            <v>9610097박　찬　길</v>
          </cell>
          <cell r="D2659" t="str">
            <v>CJ20</v>
          </cell>
          <cell r="E2659" t="str">
            <v>급유사업팀</v>
          </cell>
          <cell r="F2659" t="str">
            <v>2670</v>
          </cell>
          <cell r="G2659" t="str">
            <v>2670</v>
          </cell>
          <cell r="H2659" t="str">
            <v>19960318</v>
          </cell>
          <cell r="I2659">
            <v>5385199</v>
          </cell>
        </row>
        <row r="2660">
          <cell r="A2660" t="str">
            <v>9510568</v>
          </cell>
          <cell r="B2660" t="str">
            <v>박　찬　일</v>
          </cell>
          <cell r="C2660" t="str">
            <v>9510568박　찬　일</v>
          </cell>
          <cell r="D2660" t="str">
            <v>CJ20</v>
          </cell>
          <cell r="E2660" t="str">
            <v>급유사업팀</v>
          </cell>
          <cell r="F2660" t="str">
            <v>2670</v>
          </cell>
          <cell r="G2660" t="str">
            <v>2670</v>
          </cell>
          <cell r="H2660" t="str">
            <v>19950501</v>
          </cell>
          <cell r="I2660">
            <v>6595598</v>
          </cell>
        </row>
        <row r="2661">
          <cell r="A2661" t="str">
            <v>9710100</v>
          </cell>
          <cell r="B2661" t="str">
            <v>박　현　용</v>
          </cell>
          <cell r="C2661" t="str">
            <v>9710100박　현　용</v>
          </cell>
          <cell r="D2661" t="str">
            <v>CJ20</v>
          </cell>
          <cell r="E2661" t="str">
            <v>급유사업팀</v>
          </cell>
          <cell r="F2661" t="str">
            <v>2670</v>
          </cell>
          <cell r="G2661" t="str">
            <v>2670</v>
          </cell>
          <cell r="H2661" t="str">
            <v>19970201</v>
          </cell>
          <cell r="I2661">
            <v>3631757</v>
          </cell>
        </row>
        <row r="2662">
          <cell r="A2662" t="str">
            <v>8610750</v>
          </cell>
          <cell r="B2662" t="str">
            <v>박　화　근</v>
          </cell>
          <cell r="C2662" t="str">
            <v>8610750박　화　근</v>
          </cell>
          <cell r="D2662" t="str">
            <v>CJ20</v>
          </cell>
          <cell r="E2662" t="str">
            <v>급유사업팀</v>
          </cell>
          <cell r="F2662" t="str">
            <v>2670</v>
          </cell>
          <cell r="G2662" t="str">
            <v>2670</v>
          </cell>
          <cell r="H2662" t="str">
            <v>19861013</v>
          </cell>
          <cell r="I2662">
            <v>23894382</v>
          </cell>
        </row>
        <row r="2663">
          <cell r="A2663" t="str">
            <v>9711573</v>
          </cell>
          <cell r="B2663" t="str">
            <v>박　환　영</v>
          </cell>
          <cell r="C2663" t="str">
            <v>9711573박　환　영</v>
          </cell>
          <cell r="D2663" t="str">
            <v>CJ20</v>
          </cell>
          <cell r="E2663" t="str">
            <v>급유사업팀</v>
          </cell>
          <cell r="F2663" t="str">
            <v>2670</v>
          </cell>
          <cell r="G2663" t="str">
            <v>2670</v>
          </cell>
          <cell r="H2663" t="str">
            <v>19970901</v>
          </cell>
          <cell r="I2663">
            <v>2550192</v>
          </cell>
        </row>
        <row r="2664">
          <cell r="A2664" t="str">
            <v>7810176</v>
          </cell>
          <cell r="B2664" t="str">
            <v>방　영　진</v>
          </cell>
          <cell r="C2664" t="str">
            <v>7810176방　영　진</v>
          </cell>
          <cell r="D2664" t="str">
            <v>CJ20</v>
          </cell>
          <cell r="E2664" t="str">
            <v>급유사업팀</v>
          </cell>
          <cell r="F2664" t="str">
            <v>2670</v>
          </cell>
          <cell r="G2664" t="str">
            <v>2670</v>
          </cell>
          <cell r="H2664" t="str">
            <v>19780516</v>
          </cell>
          <cell r="I2664">
            <v>47045445</v>
          </cell>
        </row>
        <row r="2665">
          <cell r="A2665" t="str">
            <v>7810042</v>
          </cell>
          <cell r="B2665" t="str">
            <v>배　기　준</v>
          </cell>
          <cell r="C2665" t="str">
            <v>7810042배　기　준</v>
          </cell>
          <cell r="D2665" t="str">
            <v>CJ20</v>
          </cell>
          <cell r="E2665" t="str">
            <v>급유사업팀</v>
          </cell>
          <cell r="F2665" t="str">
            <v>2670</v>
          </cell>
          <cell r="G2665" t="str">
            <v>2670</v>
          </cell>
          <cell r="H2665" t="str">
            <v>19780516</v>
          </cell>
          <cell r="I2665">
            <v>55251192</v>
          </cell>
        </row>
        <row r="2666">
          <cell r="A2666" t="str">
            <v>9612742</v>
          </cell>
          <cell r="B2666" t="str">
            <v>배　우　식</v>
          </cell>
          <cell r="C2666" t="str">
            <v>9612742배　우　식</v>
          </cell>
          <cell r="D2666" t="str">
            <v>CJ20</v>
          </cell>
          <cell r="E2666" t="str">
            <v>급유사업팀</v>
          </cell>
          <cell r="F2666" t="str">
            <v>2670</v>
          </cell>
          <cell r="G2666" t="str">
            <v>2670</v>
          </cell>
          <cell r="H2666" t="str">
            <v>19961201</v>
          </cell>
          <cell r="I2666">
            <v>3427743</v>
          </cell>
        </row>
        <row r="2667">
          <cell r="A2667" t="str">
            <v>9710256</v>
          </cell>
          <cell r="B2667" t="str">
            <v>변　재　봉</v>
          </cell>
          <cell r="C2667" t="str">
            <v>9710256변　재　봉</v>
          </cell>
          <cell r="D2667" t="str">
            <v>CJ20</v>
          </cell>
          <cell r="E2667" t="str">
            <v>급유사업팀</v>
          </cell>
          <cell r="F2667" t="str">
            <v>2670</v>
          </cell>
          <cell r="G2667" t="e">
            <v>#N/A</v>
          </cell>
          <cell r="H2667" t="str">
            <v>19970201</v>
          </cell>
          <cell r="I2667">
            <v>4015526</v>
          </cell>
          <cell r="J2667" t="str">
            <v>3 월</v>
          </cell>
          <cell r="K2667">
            <v>4075504</v>
          </cell>
        </row>
        <row r="2668">
          <cell r="A2668" t="str">
            <v>7910111</v>
          </cell>
          <cell r="B2668" t="str">
            <v>서　동　식</v>
          </cell>
          <cell r="C2668" t="str">
            <v>7910111서　동　식</v>
          </cell>
          <cell r="D2668" t="str">
            <v>CJ20</v>
          </cell>
          <cell r="E2668" t="str">
            <v>급유사업팀</v>
          </cell>
          <cell r="F2668" t="str">
            <v>2670</v>
          </cell>
          <cell r="G2668" t="str">
            <v>2670</v>
          </cell>
          <cell r="H2668" t="str">
            <v>19991101</v>
          </cell>
          <cell r="I2668">
            <v>350640</v>
          </cell>
        </row>
        <row r="2669">
          <cell r="A2669" t="str">
            <v>9610200</v>
          </cell>
          <cell r="B2669" t="str">
            <v>서　명　일</v>
          </cell>
          <cell r="C2669" t="str">
            <v>9610200서　명　일</v>
          </cell>
          <cell r="D2669" t="str">
            <v>CJ20</v>
          </cell>
          <cell r="E2669" t="str">
            <v>급유사업팀</v>
          </cell>
          <cell r="F2669" t="str">
            <v>2670</v>
          </cell>
          <cell r="G2669" t="str">
            <v>2670</v>
          </cell>
          <cell r="H2669" t="str">
            <v>19960516</v>
          </cell>
          <cell r="I2669">
            <v>5656973</v>
          </cell>
        </row>
        <row r="2670">
          <cell r="A2670" t="str">
            <v>9710223</v>
          </cell>
          <cell r="B2670" t="str">
            <v>서　재　관</v>
          </cell>
          <cell r="C2670" t="str">
            <v>9710223서　재　관</v>
          </cell>
          <cell r="D2670" t="str">
            <v>CJ20</v>
          </cell>
          <cell r="E2670" t="str">
            <v>급유사업팀</v>
          </cell>
          <cell r="F2670" t="str">
            <v>2670</v>
          </cell>
          <cell r="G2670" t="str">
            <v>2670</v>
          </cell>
          <cell r="H2670" t="str">
            <v>19970201</v>
          </cell>
          <cell r="I2670">
            <v>3673098</v>
          </cell>
        </row>
        <row r="2671">
          <cell r="A2671" t="str">
            <v>8911260</v>
          </cell>
          <cell r="B2671" t="str">
            <v>서　형　구</v>
          </cell>
          <cell r="C2671" t="str">
            <v>8911260서　형　구</v>
          </cell>
          <cell r="D2671" t="str">
            <v>CJ20</v>
          </cell>
          <cell r="E2671" t="str">
            <v>급유사업팀</v>
          </cell>
          <cell r="F2671" t="str">
            <v>2670</v>
          </cell>
          <cell r="G2671" t="str">
            <v>2670</v>
          </cell>
          <cell r="H2671" t="str">
            <v>19891101</v>
          </cell>
          <cell r="I2671">
            <v>20428245</v>
          </cell>
        </row>
        <row r="2672">
          <cell r="A2672" t="str">
            <v>9710335</v>
          </cell>
          <cell r="B2672" t="str">
            <v>손　영　호</v>
          </cell>
          <cell r="C2672" t="str">
            <v>9710335손　영　호</v>
          </cell>
          <cell r="D2672" t="str">
            <v>CJ20</v>
          </cell>
          <cell r="E2672" t="str">
            <v>급유사업팀</v>
          </cell>
          <cell r="F2672" t="str">
            <v>2670</v>
          </cell>
          <cell r="G2672" t="str">
            <v>2670</v>
          </cell>
          <cell r="H2672" t="str">
            <v>19970201</v>
          </cell>
          <cell r="I2672">
            <v>3859993</v>
          </cell>
        </row>
        <row r="2673">
          <cell r="A2673" t="str">
            <v>9710111</v>
          </cell>
          <cell r="B2673" t="str">
            <v>손　현　　</v>
          </cell>
          <cell r="C2673" t="str">
            <v>9710111손　현　　</v>
          </cell>
          <cell r="D2673" t="str">
            <v>CJ20</v>
          </cell>
          <cell r="E2673" t="str">
            <v>급유사업팀</v>
          </cell>
          <cell r="F2673" t="str">
            <v>2670</v>
          </cell>
          <cell r="G2673" t="str">
            <v>2670</v>
          </cell>
          <cell r="H2673" t="str">
            <v>19970201</v>
          </cell>
          <cell r="I2673">
            <v>3400140</v>
          </cell>
        </row>
        <row r="2674">
          <cell r="A2674" t="str">
            <v>9510265</v>
          </cell>
          <cell r="B2674" t="str">
            <v>신　경　철</v>
          </cell>
          <cell r="C2674" t="str">
            <v>9510265신　경　철</v>
          </cell>
          <cell r="D2674" t="str">
            <v>CJ20</v>
          </cell>
          <cell r="E2674" t="str">
            <v>급유사업팀</v>
          </cell>
          <cell r="F2674" t="str">
            <v>2670</v>
          </cell>
          <cell r="G2674" t="str">
            <v>2670</v>
          </cell>
          <cell r="H2674" t="str">
            <v>19950301</v>
          </cell>
          <cell r="I2674">
            <v>7325795</v>
          </cell>
        </row>
        <row r="2675">
          <cell r="A2675" t="str">
            <v>9710368</v>
          </cell>
          <cell r="B2675" t="str">
            <v>심　민　규</v>
          </cell>
          <cell r="C2675" t="str">
            <v>9710368심　민　규</v>
          </cell>
          <cell r="D2675" t="str">
            <v>CJ20</v>
          </cell>
          <cell r="E2675" t="str">
            <v>급유사업팀</v>
          </cell>
          <cell r="F2675" t="str">
            <v>2670</v>
          </cell>
          <cell r="G2675" t="str">
            <v>2670</v>
          </cell>
          <cell r="H2675" t="str">
            <v>19970201</v>
          </cell>
          <cell r="I2675">
            <v>3957060</v>
          </cell>
        </row>
        <row r="2676">
          <cell r="A2676" t="str">
            <v>9712708</v>
          </cell>
          <cell r="B2676" t="str">
            <v>심　용　선</v>
          </cell>
          <cell r="C2676" t="str">
            <v>9712708심　용　선</v>
          </cell>
          <cell r="D2676" t="str">
            <v>CJ20</v>
          </cell>
          <cell r="E2676" t="str">
            <v>급유사업팀</v>
          </cell>
          <cell r="F2676" t="str">
            <v>2670</v>
          </cell>
          <cell r="G2676" t="str">
            <v>2670</v>
          </cell>
          <cell r="H2676" t="str">
            <v>19971208</v>
          </cell>
          <cell r="I2676">
            <v>2696444</v>
          </cell>
        </row>
        <row r="2677">
          <cell r="A2677" t="str">
            <v>8110710</v>
          </cell>
          <cell r="B2677" t="str">
            <v>안　동　섭</v>
          </cell>
          <cell r="C2677" t="str">
            <v>8110710안　동　섭</v>
          </cell>
          <cell r="D2677" t="str">
            <v>CJ20</v>
          </cell>
          <cell r="E2677" t="str">
            <v>급유사업팀</v>
          </cell>
          <cell r="F2677" t="str">
            <v>2670</v>
          </cell>
          <cell r="G2677" t="str">
            <v>2670</v>
          </cell>
          <cell r="H2677" t="str">
            <v>19810316</v>
          </cell>
          <cell r="I2677">
            <v>42774363</v>
          </cell>
        </row>
        <row r="2678">
          <cell r="A2678" t="str">
            <v>8800920</v>
          </cell>
          <cell r="B2678" t="str">
            <v>엄　인　섭</v>
          </cell>
          <cell r="C2678" t="str">
            <v>8800920엄　인　섭</v>
          </cell>
          <cell r="D2678" t="str">
            <v>CJ20</v>
          </cell>
          <cell r="E2678" t="str">
            <v>급유사업팀</v>
          </cell>
          <cell r="F2678" t="str">
            <v>2670</v>
          </cell>
          <cell r="G2678" t="str">
            <v>2670</v>
          </cell>
          <cell r="H2678" t="str">
            <v>19880602</v>
          </cell>
          <cell r="I2678">
            <v>18682088</v>
          </cell>
        </row>
        <row r="2679">
          <cell r="A2679" t="str">
            <v>8611042</v>
          </cell>
          <cell r="B2679" t="str">
            <v>오　덕　현</v>
          </cell>
          <cell r="C2679" t="str">
            <v>8611042오　덕　현</v>
          </cell>
          <cell r="D2679" t="str">
            <v>CJ20</v>
          </cell>
          <cell r="E2679" t="str">
            <v>급유사업팀</v>
          </cell>
          <cell r="F2679" t="str">
            <v>2670</v>
          </cell>
          <cell r="G2679" t="str">
            <v>2670</v>
          </cell>
          <cell r="H2679" t="str">
            <v>19861027</v>
          </cell>
          <cell r="I2679">
            <v>23721274</v>
          </cell>
        </row>
        <row r="2680">
          <cell r="A2680" t="str">
            <v>7600364</v>
          </cell>
          <cell r="B2680" t="str">
            <v>오　세　경</v>
          </cell>
          <cell r="C2680" t="str">
            <v>7600364오　세　경</v>
          </cell>
          <cell r="D2680" t="str">
            <v>CJ20</v>
          </cell>
          <cell r="E2680" t="str">
            <v>급유사업팀</v>
          </cell>
          <cell r="F2680" t="str">
            <v>2670</v>
          </cell>
          <cell r="G2680" t="str">
            <v>2670</v>
          </cell>
          <cell r="H2680" t="str">
            <v>19761106</v>
          </cell>
          <cell r="I2680">
            <v>41961763</v>
          </cell>
        </row>
        <row r="2681">
          <cell r="A2681" t="str">
            <v>9612606</v>
          </cell>
          <cell r="B2681" t="str">
            <v>유　홍　식</v>
          </cell>
          <cell r="C2681" t="str">
            <v>9612606유　홍　식</v>
          </cell>
          <cell r="D2681" t="str">
            <v>CJ20</v>
          </cell>
          <cell r="E2681" t="str">
            <v>급유사업팀</v>
          </cell>
          <cell r="F2681" t="str">
            <v>2670</v>
          </cell>
          <cell r="G2681" t="str">
            <v>2654</v>
          </cell>
          <cell r="H2681" t="str">
            <v>19961108</v>
          </cell>
          <cell r="I2681">
            <v>3549622</v>
          </cell>
        </row>
        <row r="2682">
          <cell r="A2682" t="str">
            <v>8710773</v>
          </cell>
          <cell r="B2682" t="str">
            <v>유　효　종</v>
          </cell>
          <cell r="C2682" t="str">
            <v>8710773유　효　종</v>
          </cell>
          <cell r="D2682" t="str">
            <v>CJ20</v>
          </cell>
          <cell r="E2682" t="str">
            <v>급유사업팀</v>
          </cell>
          <cell r="F2682" t="str">
            <v>2670</v>
          </cell>
          <cell r="G2682" t="str">
            <v>2670</v>
          </cell>
          <cell r="H2682" t="str">
            <v>19870701</v>
          </cell>
          <cell r="I2682">
            <v>23654418</v>
          </cell>
        </row>
        <row r="2683">
          <cell r="A2683" t="str">
            <v>8610647</v>
          </cell>
          <cell r="B2683" t="str">
            <v>윤　기　복</v>
          </cell>
          <cell r="C2683" t="str">
            <v>8610647윤　기　복</v>
          </cell>
          <cell r="D2683" t="str">
            <v>CJ20</v>
          </cell>
          <cell r="E2683" t="str">
            <v>급유사업팀</v>
          </cell>
          <cell r="F2683" t="str">
            <v>2670</v>
          </cell>
          <cell r="G2683" t="str">
            <v>2670</v>
          </cell>
          <cell r="H2683" t="str">
            <v>19860823</v>
          </cell>
          <cell r="I2683">
            <v>24741283</v>
          </cell>
        </row>
        <row r="2684">
          <cell r="A2684" t="str">
            <v>8310240</v>
          </cell>
          <cell r="B2684" t="str">
            <v>윤　영　식</v>
          </cell>
          <cell r="C2684" t="str">
            <v>8310240윤　영　식</v>
          </cell>
          <cell r="D2684" t="str">
            <v>CJ20</v>
          </cell>
          <cell r="E2684" t="str">
            <v>급유사업팀</v>
          </cell>
          <cell r="F2684" t="str">
            <v>2670</v>
          </cell>
          <cell r="G2684" t="str">
            <v>2670</v>
          </cell>
          <cell r="H2684" t="str">
            <v>19831010</v>
          </cell>
          <cell r="I2684">
            <v>27957203</v>
          </cell>
        </row>
        <row r="2685">
          <cell r="A2685" t="str">
            <v>8711302</v>
          </cell>
          <cell r="B2685" t="str">
            <v>윤　일　수</v>
          </cell>
          <cell r="C2685" t="str">
            <v>8711302윤　일　수</v>
          </cell>
          <cell r="D2685" t="str">
            <v>CJ20</v>
          </cell>
          <cell r="E2685" t="str">
            <v>급유사업팀</v>
          </cell>
          <cell r="F2685" t="str">
            <v>2670</v>
          </cell>
          <cell r="G2685" t="str">
            <v>2670</v>
          </cell>
          <cell r="H2685" t="str">
            <v>19871104</v>
          </cell>
          <cell r="I2685">
            <v>21800311</v>
          </cell>
        </row>
        <row r="2686">
          <cell r="A2686" t="str">
            <v>8100393</v>
          </cell>
          <cell r="B2686" t="str">
            <v>이　광　용</v>
          </cell>
          <cell r="C2686" t="str">
            <v>8100393이　광　용</v>
          </cell>
          <cell r="D2686" t="str">
            <v>CJ20</v>
          </cell>
          <cell r="E2686" t="str">
            <v>급유사업팀</v>
          </cell>
          <cell r="F2686" t="str">
            <v>2670</v>
          </cell>
          <cell r="G2686" t="str">
            <v>2670</v>
          </cell>
          <cell r="H2686" t="str">
            <v>19811001</v>
          </cell>
          <cell r="I2686">
            <v>28564014</v>
          </cell>
        </row>
        <row r="2687">
          <cell r="A2687" t="str">
            <v>8610748</v>
          </cell>
          <cell r="B2687" t="str">
            <v>이　근　상</v>
          </cell>
          <cell r="C2687" t="str">
            <v>8610748이　근　상</v>
          </cell>
          <cell r="D2687" t="str">
            <v>CJ20</v>
          </cell>
          <cell r="E2687" t="str">
            <v>급유사업팀</v>
          </cell>
          <cell r="F2687" t="str">
            <v>2670</v>
          </cell>
          <cell r="G2687" t="str">
            <v>2670</v>
          </cell>
          <cell r="H2687" t="str">
            <v>19860922</v>
          </cell>
          <cell r="I2687">
            <v>25394676</v>
          </cell>
        </row>
        <row r="2688">
          <cell r="A2688" t="str">
            <v>9511020</v>
          </cell>
          <cell r="B2688" t="str">
            <v>이　동　학</v>
          </cell>
          <cell r="C2688" t="str">
            <v>9511020이　동　학</v>
          </cell>
          <cell r="D2688" t="str">
            <v>CJ20</v>
          </cell>
          <cell r="E2688" t="str">
            <v>급유사업팀</v>
          </cell>
          <cell r="F2688" t="str">
            <v>2670</v>
          </cell>
          <cell r="G2688" t="str">
            <v>2670</v>
          </cell>
          <cell r="H2688" t="str">
            <v>19950626</v>
          </cell>
          <cell r="I2688">
            <v>6334755</v>
          </cell>
        </row>
        <row r="2689">
          <cell r="A2689" t="str">
            <v>9510704</v>
          </cell>
          <cell r="B2689" t="str">
            <v>이　삼　학</v>
          </cell>
          <cell r="C2689" t="str">
            <v>9510704이　삼　학</v>
          </cell>
          <cell r="D2689" t="str">
            <v>CJ20</v>
          </cell>
          <cell r="E2689" t="str">
            <v>급유사업팀</v>
          </cell>
          <cell r="F2689" t="str">
            <v>2670</v>
          </cell>
          <cell r="G2689" t="str">
            <v>2654</v>
          </cell>
          <cell r="H2689" t="str">
            <v>19950501</v>
          </cell>
          <cell r="I2689">
            <v>5451449</v>
          </cell>
        </row>
        <row r="2690">
          <cell r="A2690" t="str">
            <v>9412154</v>
          </cell>
          <cell r="B2690" t="str">
            <v>이　상　복</v>
          </cell>
          <cell r="C2690" t="str">
            <v>9412154이　상　복</v>
          </cell>
          <cell r="D2690" t="str">
            <v>CJ20</v>
          </cell>
          <cell r="E2690" t="str">
            <v>급유사업팀</v>
          </cell>
          <cell r="F2690" t="str">
            <v>2670</v>
          </cell>
          <cell r="G2690" t="str">
            <v>2670</v>
          </cell>
          <cell r="H2690" t="str">
            <v>19941101</v>
          </cell>
          <cell r="I2690">
            <v>7278495</v>
          </cell>
        </row>
        <row r="2691">
          <cell r="A2691" t="str">
            <v>9111510</v>
          </cell>
          <cell r="B2691" t="str">
            <v>이　상　운</v>
          </cell>
          <cell r="C2691" t="str">
            <v>9111510이　상　운</v>
          </cell>
          <cell r="D2691" t="str">
            <v>CJ20</v>
          </cell>
          <cell r="E2691" t="str">
            <v>급유사업팀</v>
          </cell>
          <cell r="F2691" t="str">
            <v>2670</v>
          </cell>
          <cell r="G2691" t="str">
            <v>2670</v>
          </cell>
          <cell r="H2691" t="str">
            <v>19910926</v>
          </cell>
          <cell r="I2691">
            <v>12796750</v>
          </cell>
        </row>
        <row r="2692">
          <cell r="A2692" t="str">
            <v>9111508</v>
          </cell>
          <cell r="B2692" t="str">
            <v>이　성　원</v>
          </cell>
          <cell r="C2692" t="str">
            <v>9111508이　성　원</v>
          </cell>
          <cell r="D2692" t="str">
            <v>CJ20</v>
          </cell>
          <cell r="E2692" t="str">
            <v>급유사업팀</v>
          </cell>
          <cell r="F2692" t="str">
            <v>2670</v>
          </cell>
          <cell r="G2692" t="str">
            <v>2670</v>
          </cell>
          <cell r="H2692" t="str">
            <v>19910926</v>
          </cell>
          <cell r="I2692">
            <v>13836434</v>
          </cell>
        </row>
        <row r="2693">
          <cell r="A2693" t="str">
            <v>9411366</v>
          </cell>
          <cell r="B2693" t="str">
            <v>이　성　표</v>
          </cell>
          <cell r="C2693" t="str">
            <v>9411366이　성　표</v>
          </cell>
          <cell r="D2693" t="str">
            <v>CJ20</v>
          </cell>
          <cell r="E2693" t="str">
            <v>급유사업팀</v>
          </cell>
          <cell r="F2693" t="str">
            <v>2670</v>
          </cell>
          <cell r="G2693" t="str">
            <v>2670</v>
          </cell>
          <cell r="H2693" t="str">
            <v>19940801</v>
          </cell>
          <cell r="I2693">
            <v>7470901</v>
          </cell>
        </row>
        <row r="2694">
          <cell r="A2694" t="str">
            <v>8810875</v>
          </cell>
          <cell r="B2694" t="str">
            <v>이　순　범</v>
          </cell>
          <cell r="C2694" t="str">
            <v>8810875이　순　범</v>
          </cell>
          <cell r="D2694" t="str">
            <v>CJ20</v>
          </cell>
          <cell r="E2694" t="str">
            <v>급유사업팀</v>
          </cell>
          <cell r="F2694" t="str">
            <v>2670</v>
          </cell>
          <cell r="G2694" t="str">
            <v>2670</v>
          </cell>
          <cell r="H2694" t="str">
            <v>19880701</v>
          </cell>
          <cell r="I2694">
            <v>24454598</v>
          </cell>
        </row>
        <row r="2695">
          <cell r="A2695" t="str">
            <v>8810548</v>
          </cell>
          <cell r="B2695" t="str">
            <v>이　영　재</v>
          </cell>
          <cell r="C2695" t="str">
            <v>8810548이　영　재</v>
          </cell>
          <cell r="D2695" t="str">
            <v>CJ20</v>
          </cell>
          <cell r="E2695" t="str">
            <v>급유사업팀</v>
          </cell>
          <cell r="F2695" t="str">
            <v>2670</v>
          </cell>
          <cell r="G2695" t="str">
            <v>2670</v>
          </cell>
          <cell r="H2695" t="str">
            <v>19880613</v>
          </cell>
          <cell r="I2695">
            <v>21852089</v>
          </cell>
        </row>
        <row r="2696">
          <cell r="A2696" t="str">
            <v>9503820</v>
          </cell>
          <cell r="B2696" t="str">
            <v>이　윤　직</v>
          </cell>
          <cell r="C2696" t="str">
            <v>9503820이　윤　직</v>
          </cell>
          <cell r="D2696" t="str">
            <v>CJ20</v>
          </cell>
          <cell r="E2696" t="str">
            <v>급유사업팀</v>
          </cell>
          <cell r="F2696" t="str">
            <v>2670</v>
          </cell>
          <cell r="G2696" t="str">
            <v>2670</v>
          </cell>
          <cell r="H2696" t="str">
            <v>19951207</v>
          </cell>
          <cell r="I2696">
            <v>5465264</v>
          </cell>
        </row>
        <row r="2697">
          <cell r="A2697" t="str">
            <v>8410410</v>
          </cell>
          <cell r="B2697" t="str">
            <v>이　재　한</v>
          </cell>
          <cell r="C2697" t="str">
            <v>8410410이　재　한</v>
          </cell>
          <cell r="D2697" t="str">
            <v>CJ20</v>
          </cell>
          <cell r="E2697" t="str">
            <v>급유사업팀</v>
          </cell>
          <cell r="F2697" t="str">
            <v>2670</v>
          </cell>
          <cell r="G2697" t="str">
            <v>2670</v>
          </cell>
          <cell r="H2697" t="str">
            <v>19991001</v>
          </cell>
          <cell r="I2697">
            <v>471067</v>
          </cell>
        </row>
        <row r="2698">
          <cell r="A2698" t="str">
            <v>8810436</v>
          </cell>
          <cell r="B2698" t="str">
            <v>이　재　희</v>
          </cell>
          <cell r="C2698" t="str">
            <v>8810436이　재　희</v>
          </cell>
          <cell r="D2698" t="str">
            <v>CJ20</v>
          </cell>
          <cell r="E2698" t="str">
            <v>급유사업팀</v>
          </cell>
          <cell r="F2698" t="str">
            <v>2670</v>
          </cell>
          <cell r="G2698" t="str">
            <v>2670</v>
          </cell>
          <cell r="H2698" t="str">
            <v>19880516</v>
          </cell>
          <cell r="I2698">
            <v>21998124</v>
          </cell>
        </row>
        <row r="2699">
          <cell r="A2699" t="str">
            <v>9710280</v>
          </cell>
          <cell r="B2699" t="str">
            <v>이　정　섭</v>
          </cell>
          <cell r="C2699" t="str">
            <v>9710280이　정　섭</v>
          </cell>
          <cell r="D2699" t="str">
            <v>CJ20</v>
          </cell>
          <cell r="E2699" t="str">
            <v>급유사업팀</v>
          </cell>
          <cell r="F2699" t="str">
            <v>2670</v>
          </cell>
          <cell r="G2699" t="str">
            <v>2670</v>
          </cell>
          <cell r="H2699" t="str">
            <v>19970201</v>
          </cell>
          <cell r="I2699">
            <v>3873758</v>
          </cell>
        </row>
        <row r="2700">
          <cell r="A2700" t="str">
            <v>8710345</v>
          </cell>
          <cell r="B2700" t="str">
            <v>이　종　현</v>
          </cell>
          <cell r="C2700" t="str">
            <v>8710345이　종　현</v>
          </cell>
          <cell r="D2700" t="str">
            <v>CJ20</v>
          </cell>
          <cell r="E2700" t="str">
            <v>급유사업팀</v>
          </cell>
          <cell r="F2700" t="str">
            <v>2670</v>
          </cell>
          <cell r="G2700" t="e">
            <v>#N/A</v>
          </cell>
          <cell r="H2700" t="str">
            <v>19870401</v>
          </cell>
          <cell r="I2700">
            <v>27893535</v>
          </cell>
          <cell r="J2700" t="str">
            <v>11 월</v>
          </cell>
          <cell r="K2700">
            <v>62619420</v>
          </cell>
        </row>
        <row r="2701">
          <cell r="A2701" t="str">
            <v>8911001</v>
          </cell>
          <cell r="B2701" t="str">
            <v>이　증　수</v>
          </cell>
          <cell r="C2701" t="str">
            <v>8911001이　증　수</v>
          </cell>
          <cell r="D2701" t="str">
            <v>CJ20</v>
          </cell>
          <cell r="E2701" t="str">
            <v>급유사업팀</v>
          </cell>
          <cell r="F2701" t="str">
            <v>2670</v>
          </cell>
          <cell r="G2701" t="str">
            <v>2670</v>
          </cell>
          <cell r="H2701" t="str">
            <v>19891004</v>
          </cell>
          <cell r="I2701">
            <v>18681157</v>
          </cell>
        </row>
        <row r="2702">
          <cell r="A2702" t="str">
            <v>9012644</v>
          </cell>
          <cell r="B2702" t="str">
            <v>이　창　용</v>
          </cell>
          <cell r="C2702" t="str">
            <v>9012644이　창　용</v>
          </cell>
          <cell r="D2702" t="str">
            <v>CJ20</v>
          </cell>
          <cell r="E2702" t="str">
            <v>급유사업팀</v>
          </cell>
          <cell r="F2702" t="str">
            <v>2670</v>
          </cell>
          <cell r="G2702" t="str">
            <v>2670</v>
          </cell>
          <cell r="H2702" t="str">
            <v>19901228</v>
          </cell>
          <cell r="I2702">
            <v>13622714</v>
          </cell>
        </row>
        <row r="2703">
          <cell r="A2703" t="str">
            <v>8810943</v>
          </cell>
          <cell r="B2703" t="str">
            <v>이　춘　덕</v>
          </cell>
          <cell r="C2703" t="str">
            <v>8810943이　춘　덕</v>
          </cell>
          <cell r="D2703" t="str">
            <v>CJ20</v>
          </cell>
          <cell r="E2703" t="str">
            <v>급유사업팀</v>
          </cell>
          <cell r="F2703" t="str">
            <v>2670</v>
          </cell>
          <cell r="G2703" t="str">
            <v>2670</v>
          </cell>
          <cell r="H2703" t="str">
            <v>19880701</v>
          </cell>
          <cell r="I2703">
            <v>22429670</v>
          </cell>
          <cell r="J2703" t="str">
            <v>9 월</v>
          </cell>
          <cell r="K2703">
            <v>27658642</v>
          </cell>
        </row>
        <row r="2704">
          <cell r="A2704" t="str">
            <v>8410397</v>
          </cell>
          <cell r="B2704" t="str">
            <v>이　태　영</v>
          </cell>
          <cell r="C2704" t="str">
            <v>8410397이　태　영</v>
          </cell>
          <cell r="D2704" t="str">
            <v>CJ20</v>
          </cell>
          <cell r="E2704" t="str">
            <v>급유사업팀</v>
          </cell>
          <cell r="F2704" t="str">
            <v>2670</v>
          </cell>
          <cell r="G2704" t="str">
            <v>2670</v>
          </cell>
          <cell r="H2704" t="str">
            <v>19841110</v>
          </cell>
          <cell r="I2704">
            <v>28337245</v>
          </cell>
        </row>
        <row r="2705">
          <cell r="A2705" t="str">
            <v>9610604</v>
          </cell>
          <cell r="B2705" t="str">
            <v>이　택　용</v>
          </cell>
          <cell r="C2705" t="str">
            <v>9610604이　택　용</v>
          </cell>
          <cell r="D2705" t="str">
            <v>CJ20</v>
          </cell>
          <cell r="E2705" t="str">
            <v>급유사업팀</v>
          </cell>
          <cell r="F2705" t="str">
            <v>2670</v>
          </cell>
          <cell r="G2705" t="str">
            <v>2670</v>
          </cell>
          <cell r="H2705" t="str">
            <v>19960601</v>
          </cell>
          <cell r="I2705">
            <v>4641038</v>
          </cell>
        </row>
        <row r="2706">
          <cell r="A2706" t="str">
            <v>8810460</v>
          </cell>
          <cell r="B2706" t="str">
            <v>이　학　재</v>
          </cell>
          <cell r="C2706" t="str">
            <v>8810460이　학　재</v>
          </cell>
          <cell r="D2706" t="str">
            <v>CJ20</v>
          </cell>
          <cell r="E2706" t="str">
            <v>급유사업팀</v>
          </cell>
          <cell r="F2706" t="str">
            <v>2670</v>
          </cell>
          <cell r="G2706" t="str">
            <v>2670</v>
          </cell>
          <cell r="H2706" t="str">
            <v>19880516</v>
          </cell>
          <cell r="I2706">
            <v>21660142</v>
          </cell>
        </row>
        <row r="2707">
          <cell r="A2707" t="str">
            <v>9410872</v>
          </cell>
          <cell r="B2707" t="str">
            <v>이　형　철</v>
          </cell>
          <cell r="C2707" t="str">
            <v>9410872이　형　철</v>
          </cell>
          <cell r="D2707" t="str">
            <v>CJ20</v>
          </cell>
          <cell r="E2707" t="str">
            <v>급유사업팀</v>
          </cell>
          <cell r="F2707" t="str">
            <v>2670</v>
          </cell>
          <cell r="G2707" t="str">
            <v>2670</v>
          </cell>
          <cell r="H2707" t="str">
            <v>19940616</v>
          </cell>
          <cell r="I2707">
            <v>8597899</v>
          </cell>
        </row>
        <row r="2708">
          <cell r="A2708" t="str">
            <v>9012295</v>
          </cell>
          <cell r="B2708" t="str">
            <v>이　호　준</v>
          </cell>
          <cell r="C2708" t="str">
            <v>9012295이　호　준</v>
          </cell>
          <cell r="D2708" t="str">
            <v>CJ20</v>
          </cell>
          <cell r="E2708" t="str">
            <v>급유사업팀</v>
          </cell>
          <cell r="F2708" t="str">
            <v>2670</v>
          </cell>
          <cell r="G2708" t="str">
            <v>2670</v>
          </cell>
          <cell r="H2708" t="str">
            <v>19900816</v>
          </cell>
          <cell r="I2708">
            <v>14909078</v>
          </cell>
        </row>
        <row r="2709">
          <cell r="A2709" t="str">
            <v>9410297</v>
          </cell>
          <cell r="B2709" t="str">
            <v>임　종　수</v>
          </cell>
          <cell r="C2709" t="str">
            <v>9410297임　종　수</v>
          </cell>
          <cell r="D2709" t="str">
            <v>CJ20</v>
          </cell>
          <cell r="E2709" t="str">
            <v>급유사업팀</v>
          </cell>
          <cell r="F2709" t="str">
            <v>2670</v>
          </cell>
          <cell r="G2709" t="str">
            <v>2670</v>
          </cell>
          <cell r="H2709" t="str">
            <v>19940401</v>
          </cell>
          <cell r="I2709">
            <v>8100234</v>
          </cell>
        </row>
        <row r="2710">
          <cell r="A2710" t="str">
            <v>9111936</v>
          </cell>
          <cell r="B2710" t="str">
            <v>전　병　휴</v>
          </cell>
          <cell r="C2710" t="str">
            <v>9111936전　병　휴</v>
          </cell>
          <cell r="D2710" t="str">
            <v>CJ20</v>
          </cell>
          <cell r="E2710" t="str">
            <v>급유사업팀</v>
          </cell>
          <cell r="F2710" t="str">
            <v>2670</v>
          </cell>
          <cell r="G2710" t="str">
            <v>2670</v>
          </cell>
          <cell r="H2710" t="str">
            <v>19911202</v>
          </cell>
          <cell r="I2710">
            <v>11273745</v>
          </cell>
        </row>
        <row r="2711">
          <cell r="A2711" t="str">
            <v>9410894</v>
          </cell>
          <cell r="B2711" t="str">
            <v>전　해　신</v>
          </cell>
          <cell r="C2711" t="str">
            <v>9410894전　해　신</v>
          </cell>
          <cell r="D2711" t="str">
            <v>CJ20</v>
          </cell>
          <cell r="E2711" t="str">
            <v>급유사업팀</v>
          </cell>
          <cell r="F2711" t="str">
            <v>2670</v>
          </cell>
          <cell r="G2711" t="str">
            <v>2670</v>
          </cell>
          <cell r="H2711" t="str">
            <v>19940616</v>
          </cell>
          <cell r="I2711">
            <v>7952149</v>
          </cell>
        </row>
        <row r="2712">
          <cell r="A2712" t="str">
            <v>9210317</v>
          </cell>
          <cell r="B2712" t="str">
            <v>정　기　문</v>
          </cell>
          <cell r="C2712" t="str">
            <v>9210317정　기　문</v>
          </cell>
          <cell r="D2712" t="str">
            <v>CJ20</v>
          </cell>
          <cell r="E2712" t="str">
            <v>급유사업팀</v>
          </cell>
          <cell r="F2712" t="str">
            <v>2670</v>
          </cell>
          <cell r="G2712" t="str">
            <v>2670</v>
          </cell>
          <cell r="H2712" t="str">
            <v>19920301</v>
          </cell>
          <cell r="I2712">
            <v>10500139</v>
          </cell>
        </row>
        <row r="2713">
          <cell r="A2713" t="str">
            <v>8410342</v>
          </cell>
          <cell r="B2713" t="str">
            <v>정　상　덕</v>
          </cell>
          <cell r="C2713" t="str">
            <v>8410342정　상　덕</v>
          </cell>
          <cell r="D2713" t="str">
            <v>CJ20</v>
          </cell>
          <cell r="E2713" t="str">
            <v>급유사업팀</v>
          </cell>
          <cell r="F2713" t="str">
            <v>2670</v>
          </cell>
          <cell r="G2713" t="str">
            <v>2670</v>
          </cell>
          <cell r="H2713" t="str">
            <v>19840821</v>
          </cell>
          <cell r="I2713">
            <v>29510149</v>
          </cell>
        </row>
        <row r="2714">
          <cell r="A2714" t="str">
            <v>9411344</v>
          </cell>
          <cell r="B2714" t="str">
            <v>정　재　곤</v>
          </cell>
          <cell r="C2714" t="str">
            <v>9411344정　재　곤</v>
          </cell>
          <cell r="D2714" t="str">
            <v>CJ20</v>
          </cell>
          <cell r="E2714" t="str">
            <v>급유사업팀</v>
          </cell>
          <cell r="F2714" t="str">
            <v>2670</v>
          </cell>
          <cell r="G2714" t="str">
            <v>2670</v>
          </cell>
          <cell r="H2714" t="str">
            <v>19940801</v>
          </cell>
          <cell r="I2714">
            <v>8557907</v>
          </cell>
        </row>
        <row r="2715">
          <cell r="A2715" t="str">
            <v>9011801</v>
          </cell>
          <cell r="B2715" t="str">
            <v>정　진　구</v>
          </cell>
          <cell r="C2715" t="str">
            <v>9011801정　진　구</v>
          </cell>
          <cell r="D2715" t="str">
            <v>CJ20</v>
          </cell>
          <cell r="E2715" t="str">
            <v>급유사업팀</v>
          </cell>
          <cell r="F2715" t="str">
            <v>2670</v>
          </cell>
          <cell r="G2715" t="str">
            <v>2670</v>
          </cell>
          <cell r="H2715" t="str">
            <v>19900601</v>
          </cell>
          <cell r="I2715">
            <v>17609486</v>
          </cell>
        </row>
        <row r="2716">
          <cell r="A2716" t="str">
            <v>9010045</v>
          </cell>
          <cell r="B2716" t="str">
            <v>정　해　식</v>
          </cell>
          <cell r="C2716" t="str">
            <v>9010045정　해　식</v>
          </cell>
          <cell r="D2716" t="str">
            <v>CJ20</v>
          </cell>
          <cell r="E2716" t="str">
            <v>급유사업팀</v>
          </cell>
          <cell r="F2716" t="str">
            <v>2670</v>
          </cell>
          <cell r="G2716" t="str">
            <v>2670</v>
          </cell>
          <cell r="H2716" t="str">
            <v>19900216</v>
          </cell>
          <cell r="I2716">
            <v>15831840</v>
          </cell>
        </row>
        <row r="2717">
          <cell r="A2717" t="str">
            <v>9012306</v>
          </cell>
          <cell r="B2717" t="str">
            <v>정　해　윤</v>
          </cell>
          <cell r="C2717" t="str">
            <v>9012306정　해　윤</v>
          </cell>
          <cell r="D2717" t="str">
            <v>CJ20</v>
          </cell>
          <cell r="E2717" t="str">
            <v>급유사업팀</v>
          </cell>
          <cell r="F2717" t="str">
            <v>2670</v>
          </cell>
          <cell r="G2717" t="str">
            <v>2670</v>
          </cell>
          <cell r="H2717" t="str">
            <v>19900816</v>
          </cell>
          <cell r="I2717">
            <v>16701214</v>
          </cell>
        </row>
        <row r="2718">
          <cell r="A2718" t="str">
            <v>9004285</v>
          </cell>
          <cell r="B2718" t="str">
            <v>정　호　철</v>
          </cell>
          <cell r="C2718" t="str">
            <v>9004285정　호　철</v>
          </cell>
          <cell r="D2718" t="str">
            <v>CJ20</v>
          </cell>
          <cell r="E2718" t="str">
            <v>급유사업팀</v>
          </cell>
          <cell r="F2718" t="str">
            <v>2670</v>
          </cell>
          <cell r="G2718" t="str">
            <v>2670</v>
          </cell>
          <cell r="H2718" t="str">
            <v>19900924</v>
          </cell>
          <cell r="I2718">
            <v>13718724</v>
          </cell>
        </row>
        <row r="2719">
          <cell r="A2719" t="str">
            <v>9610244</v>
          </cell>
          <cell r="B2719" t="str">
            <v>조　광　열</v>
          </cell>
          <cell r="C2719" t="str">
            <v>9610244조　광　열</v>
          </cell>
          <cell r="D2719" t="str">
            <v>CJ20</v>
          </cell>
          <cell r="E2719" t="str">
            <v>급유사업팀</v>
          </cell>
          <cell r="F2719" t="str">
            <v>2670</v>
          </cell>
          <cell r="G2719" t="str">
            <v>2670</v>
          </cell>
          <cell r="H2719" t="str">
            <v>19960601</v>
          </cell>
          <cell r="I2719">
            <v>5286159</v>
          </cell>
        </row>
        <row r="2720">
          <cell r="A2720" t="str">
            <v>9510243</v>
          </cell>
          <cell r="B2720" t="str">
            <v>조　동　원</v>
          </cell>
          <cell r="C2720" t="str">
            <v>9510243조　동　원</v>
          </cell>
          <cell r="D2720" t="str">
            <v>CJ20</v>
          </cell>
          <cell r="E2720" t="str">
            <v>급유사업팀</v>
          </cell>
          <cell r="F2720" t="str">
            <v>2670</v>
          </cell>
          <cell r="G2720" t="e">
            <v>#N/A</v>
          </cell>
          <cell r="H2720" t="str">
            <v>19950301</v>
          </cell>
          <cell r="I2720">
            <v>6807555</v>
          </cell>
          <cell r="J2720" t="str">
            <v>8 월</v>
          </cell>
          <cell r="K2720">
            <v>8519581</v>
          </cell>
        </row>
        <row r="2721">
          <cell r="A2721" t="str">
            <v>8811461</v>
          </cell>
          <cell r="B2721" t="str">
            <v>조　사　현</v>
          </cell>
          <cell r="C2721" t="str">
            <v>8811461조　사　현</v>
          </cell>
          <cell r="D2721" t="str">
            <v>CJ20</v>
          </cell>
          <cell r="E2721" t="str">
            <v>급유사업팀</v>
          </cell>
          <cell r="F2721" t="str">
            <v>2670</v>
          </cell>
          <cell r="G2721" t="str">
            <v>2670</v>
          </cell>
          <cell r="H2721" t="str">
            <v>19881001</v>
          </cell>
          <cell r="I2721">
            <v>16992849</v>
          </cell>
        </row>
        <row r="2722">
          <cell r="A2722" t="str">
            <v>9612382</v>
          </cell>
          <cell r="B2722" t="str">
            <v>조　정　훈</v>
          </cell>
          <cell r="C2722" t="str">
            <v>9612382조　정　훈</v>
          </cell>
          <cell r="D2722" t="str">
            <v>CJ20</v>
          </cell>
          <cell r="E2722" t="str">
            <v>급유사업팀</v>
          </cell>
          <cell r="F2722" t="str">
            <v>2670</v>
          </cell>
          <cell r="G2722" t="str">
            <v>2670</v>
          </cell>
          <cell r="H2722" t="str">
            <v>19960916</v>
          </cell>
          <cell r="I2722">
            <v>4316532</v>
          </cell>
        </row>
        <row r="2723">
          <cell r="A2723" t="str">
            <v>8810910</v>
          </cell>
          <cell r="B2723" t="str">
            <v>지　명　호</v>
          </cell>
          <cell r="C2723" t="str">
            <v>8810910지　명　호</v>
          </cell>
          <cell r="D2723" t="str">
            <v>CJ20</v>
          </cell>
          <cell r="E2723" t="str">
            <v>급유사업팀</v>
          </cell>
          <cell r="F2723" t="str">
            <v>2670</v>
          </cell>
          <cell r="G2723" t="str">
            <v>2670</v>
          </cell>
          <cell r="H2723" t="str">
            <v>19880701</v>
          </cell>
          <cell r="I2723">
            <v>23439189</v>
          </cell>
        </row>
        <row r="2724">
          <cell r="A2724" t="str">
            <v>9410905</v>
          </cell>
          <cell r="B2724" t="str">
            <v>진　병　철</v>
          </cell>
          <cell r="C2724" t="str">
            <v>9410905진　병　철</v>
          </cell>
          <cell r="D2724" t="str">
            <v>CJ20</v>
          </cell>
          <cell r="E2724" t="str">
            <v>급유사업팀</v>
          </cell>
          <cell r="F2724" t="str">
            <v>2670</v>
          </cell>
          <cell r="G2724" t="str">
            <v>2670</v>
          </cell>
          <cell r="H2724" t="str">
            <v>19940616</v>
          </cell>
          <cell r="I2724">
            <v>7792425</v>
          </cell>
        </row>
        <row r="2725">
          <cell r="A2725" t="str">
            <v>9311736</v>
          </cell>
          <cell r="B2725" t="str">
            <v>최　관　용</v>
          </cell>
          <cell r="C2725" t="str">
            <v>9311736최　관　용</v>
          </cell>
          <cell r="D2725" t="str">
            <v>CJ20</v>
          </cell>
          <cell r="E2725" t="str">
            <v>급유사업팀</v>
          </cell>
          <cell r="F2725" t="str">
            <v>2670</v>
          </cell>
          <cell r="G2725" t="str">
            <v>2670</v>
          </cell>
          <cell r="H2725" t="str">
            <v>19931101</v>
          </cell>
          <cell r="I2725">
            <v>9158094</v>
          </cell>
        </row>
        <row r="2726">
          <cell r="A2726" t="str">
            <v>9710010</v>
          </cell>
          <cell r="B2726" t="str">
            <v>최　병　태</v>
          </cell>
          <cell r="C2726" t="str">
            <v>9710010최　병　태</v>
          </cell>
          <cell r="D2726" t="str">
            <v>CJ20</v>
          </cell>
          <cell r="E2726" t="str">
            <v>급유사업팀</v>
          </cell>
          <cell r="F2726" t="str">
            <v>2670</v>
          </cell>
          <cell r="G2726" t="e">
            <v>#N/A</v>
          </cell>
          <cell r="H2726" t="str">
            <v>19970101</v>
          </cell>
          <cell r="I2726">
            <v>4173582</v>
          </cell>
          <cell r="J2726" t="str">
            <v>3 월</v>
          </cell>
          <cell r="K2726">
            <v>4312352</v>
          </cell>
        </row>
        <row r="2727">
          <cell r="A2727" t="str">
            <v>8710863</v>
          </cell>
          <cell r="B2727" t="str">
            <v>최　수　용</v>
          </cell>
          <cell r="C2727" t="str">
            <v>8710863최　수　용</v>
          </cell>
          <cell r="D2727" t="str">
            <v>CJ20</v>
          </cell>
          <cell r="E2727" t="str">
            <v>급유사업팀</v>
          </cell>
          <cell r="F2727" t="str">
            <v>2670</v>
          </cell>
          <cell r="G2727" t="str">
            <v>2670</v>
          </cell>
          <cell r="H2727" t="str">
            <v>19870810</v>
          </cell>
          <cell r="I2727">
            <v>21428665</v>
          </cell>
        </row>
        <row r="2728">
          <cell r="A2728" t="str">
            <v>8810458</v>
          </cell>
          <cell r="B2728" t="str">
            <v>최　승　달</v>
          </cell>
          <cell r="C2728" t="str">
            <v>8810458최　승　달</v>
          </cell>
          <cell r="D2728" t="str">
            <v>CJ20</v>
          </cell>
          <cell r="E2728" t="str">
            <v>급유사업팀</v>
          </cell>
          <cell r="F2728" t="str">
            <v>2670</v>
          </cell>
          <cell r="G2728" t="str">
            <v>2670</v>
          </cell>
          <cell r="H2728" t="str">
            <v>19880516</v>
          </cell>
          <cell r="I2728">
            <v>20407743</v>
          </cell>
        </row>
        <row r="2729">
          <cell r="A2729" t="str">
            <v>9160323</v>
          </cell>
          <cell r="B2729" t="str">
            <v>최　은　정</v>
          </cell>
          <cell r="C2729" t="str">
            <v>9160323최　은　정</v>
          </cell>
          <cell r="D2729" t="str">
            <v>CJ20</v>
          </cell>
          <cell r="E2729" t="str">
            <v>급유사업팀</v>
          </cell>
          <cell r="F2729" t="str">
            <v>2670</v>
          </cell>
          <cell r="G2729" t="str">
            <v>2654</v>
          </cell>
          <cell r="H2729" t="str">
            <v>19911101</v>
          </cell>
          <cell r="I2729">
            <v>10035201</v>
          </cell>
        </row>
        <row r="2730">
          <cell r="A2730" t="str">
            <v>9012284</v>
          </cell>
          <cell r="B2730" t="str">
            <v>하　순　득</v>
          </cell>
          <cell r="C2730" t="str">
            <v>9012284하　순　득</v>
          </cell>
          <cell r="D2730" t="str">
            <v>CJ20</v>
          </cell>
          <cell r="E2730" t="str">
            <v>급유사업팀</v>
          </cell>
          <cell r="F2730" t="str">
            <v>2670</v>
          </cell>
          <cell r="G2730" t="str">
            <v>2670</v>
          </cell>
          <cell r="H2730" t="str">
            <v>19900816</v>
          </cell>
          <cell r="I2730">
            <v>16457161</v>
          </cell>
        </row>
        <row r="2731">
          <cell r="A2731" t="str">
            <v>7710107</v>
          </cell>
          <cell r="B2731" t="str">
            <v>하　인　수</v>
          </cell>
          <cell r="C2731" t="str">
            <v>7710107하　인　수</v>
          </cell>
          <cell r="D2731" t="str">
            <v>CJ20</v>
          </cell>
          <cell r="E2731" t="str">
            <v>급유사업팀</v>
          </cell>
          <cell r="F2731" t="str">
            <v>2670</v>
          </cell>
          <cell r="G2731" t="str">
            <v>2670</v>
          </cell>
          <cell r="H2731" t="str">
            <v>19771212</v>
          </cell>
          <cell r="I2731">
            <v>44852819</v>
          </cell>
        </row>
        <row r="2732">
          <cell r="A2732" t="str">
            <v>8810133</v>
          </cell>
          <cell r="B2732" t="str">
            <v>한　영　곤</v>
          </cell>
          <cell r="C2732" t="str">
            <v>8810133한　영　곤</v>
          </cell>
          <cell r="D2732" t="str">
            <v>CJ20</v>
          </cell>
          <cell r="E2732" t="str">
            <v>급유사업팀</v>
          </cell>
          <cell r="F2732" t="str">
            <v>2670</v>
          </cell>
          <cell r="G2732" t="str">
            <v>2670</v>
          </cell>
          <cell r="H2732" t="str">
            <v>19880118</v>
          </cell>
          <cell r="I2732">
            <v>24972720</v>
          </cell>
        </row>
        <row r="2733">
          <cell r="A2733" t="str">
            <v>7710052</v>
          </cell>
          <cell r="B2733" t="str">
            <v>한　일　동</v>
          </cell>
          <cell r="C2733" t="str">
            <v>7710052한　일　동</v>
          </cell>
          <cell r="D2733" t="str">
            <v>CJ20</v>
          </cell>
          <cell r="E2733" t="str">
            <v>급유사업팀</v>
          </cell>
          <cell r="F2733" t="str">
            <v>2670</v>
          </cell>
          <cell r="G2733" t="str">
            <v>2670</v>
          </cell>
          <cell r="H2733" t="str">
            <v>19820401</v>
          </cell>
          <cell r="I2733">
            <v>36312023</v>
          </cell>
        </row>
        <row r="2734">
          <cell r="A2734" t="str">
            <v>9402175</v>
          </cell>
          <cell r="B2734" t="str">
            <v>한　재　천</v>
          </cell>
          <cell r="C2734" t="str">
            <v>9402175한　재　천</v>
          </cell>
          <cell r="D2734" t="str">
            <v>CJ20</v>
          </cell>
          <cell r="E2734" t="str">
            <v>급유사업팀</v>
          </cell>
          <cell r="F2734" t="str">
            <v>2670</v>
          </cell>
          <cell r="G2734" t="str">
            <v>2670</v>
          </cell>
          <cell r="H2734" t="str">
            <v>19940418</v>
          </cell>
          <cell r="I2734">
            <v>7942558</v>
          </cell>
        </row>
        <row r="2735">
          <cell r="A2735" t="str">
            <v>9112050</v>
          </cell>
          <cell r="B2735" t="str">
            <v>홍　성　모</v>
          </cell>
          <cell r="C2735" t="str">
            <v>9112050홍　성　모</v>
          </cell>
          <cell r="D2735" t="str">
            <v>CJ20</v>
          </cell>
          <cell r="E2735" t="str">
            <v>급유사업팀</v>
          </cell>
          <cell r="F2735" t="str">
            <v>2670</v>
          </cell>
          <cell r="G2735" t="str">
            <v>2670</v>
          </cell>
          <cell r="H2735" t="str">
            <v>19911202</v>
          </cell>
          <cell r="I2735">
            <v>12415891</v>
          </cell>
        </row>
        <row r="2736">
          <cell r="A2736" t="str">
            <v>8810976</v>
          </cell>
          <cell r="B2736" t="str">
            <v>홍　철　　</v>
          </cell>
          <cell r="C2736" t="str">
            <v>8810976홍　철　　</v>
          </cell>
          <cell r="D2736" t="str">
            <v>CJ20</v>
          </cell>
          <cell r="E2736" t="str">
            <v>급유사업팀</v>
          </cell>
          <cell r="F2736" t="str">
            <v>2670</v>
          </cell>
          <cell r="G2736" t="str">
            <v>2670</v>
          </cell>
          <cell r="H2736" t="str">
            <v>19880701</v>
          </cell>
          <cell r="I2736">
            <v>22754270</v>
          </cell>
        </row>
        <row r="2737">
          <cell r="A2737" t="str">
            <v>9612178</v>
          </cell>
          <cell r="B2737" t="str">
            <v>권　태　영</v>
          </cell>
          <cell r="C2737" t="str">
            <v>9612178권　태　영</v>
          </cell>
          <cell r="D2737" t="str">
            <v>CJ30</v>
          </cell>
          <cell r="E2737" t="str">
            <v>급유사업팀</v>
          </cell>
          <cell r="F2737" t="str">
            <v>2670</v>
          </cell>
          <cell r="G2737" t="str">
            <v>2670</v>
          </cell>
          <cell r="H2737" t="str">
            <v>19960801</v>
          </cell>
          <cell r="I2737">
            <v>4154141</v>
          </cell>
        </row>
        <row r="2738">
          <cell r="A2738" t="str">
            <v>8810357</v>
          </cell>
          <cell r="B2738" t="str">
            <v>김　무　영</v>
          </cell>
          <cell r="C2738" t="str">
            <v>8810357김　무　영</v>
          </cell>
          <cell r="D2738" t="str">
            <v>CJ30</v>
          </cell>
          <cell r="E2738" t="str">
            <v>급유사업팀</v>
          </cell>
          <cell r="F2738" t="str">
            <v>2670</v>
          </cell>
          <cell r="G2738" t="str">
            <v>2670</v>
          </cell>
          <cell r="H2738" t="str">
            <v>19880323</v>
          </cell>
          <cell r="I2738">
            <v>21205864</v>
          </cell>
        </row>
        <row r="2739">
          <cell r="A2739" t="str">
            <v>9210442</v>
          </cell>
          <cell r="B2739" t="str">
            <v>김　유　성</v>
          </cell>
          <cell r="C2739" t="str">
            <v>9210442김　유　성</v>
          </cell>
          <cell r="D2739" t="str">
            <v>CJ30</v>
          </cell>
          <cell r="E2739" t="str">
            <v>급유사업팀</v>
          </cell>
          <cell r="F2739" t="str">
            <v>2670</v>
          </cell>
          <cell r="G2739" t="str">
            <v>2670</v>
          </cell>
          <cell r="H2739" t="str">
            <v>19920215</v>
          </cell>
          <cell r="I2739">
            <v>15338746</v>
          </cell>
        </row>
        <row r="2740">
          <cell r="A2740" t="str">
            <v>9810156</v>
          </cell>
          <cell r="B2740" t="str">
            <v>박　건　일</v>
          </cell>
          <cell r="C2740" t="str">
            <v>9810156박　건　일</v>
          </cell>
          <cell r="D2740" t="str">
            <v>CJ30</v>
          </cell>
          <cell r="E2740" t="str">
            <v>급유사업팀</v>
          </cell>
          <cell r="F2740" t="str">
            <v>2670</v>
          </cell>
          <cell r="G2740" t="str">
            <v>2670</v>
          </cell>
          <cell r="H2740" t="str">
            <v>19980101</v>
          </cell>
          <cell r="I2740">
            <v>2679000</v>
          </cell>
        </row>
        <row r="2741">
          <cell r="A2741" t="str">
            <v>9210341</v>
          </cell>
          <cell r="B2741" t="str">
            <v>박　근　호</v>
          </cell>
          <cell r="C2741" t="str">
            <v>9210341박　근　호</v>
          </cell>
          <cell r="D2741" t="str">
            <v>CJ30</v>
          </cell>
          <cell r="E2741" t="str">
            <v>급유사업팀</v>
          </cell>
          <cell r="F2741" t="str">
            <v>2670</v>
          </cell>
          <cell r="G2741" t="str">
            <v>2670</v>
          </cell>
          <cell r="H2741" t="str">
            <v>19920215</v>
          </cell>
          <cell r="I2741">
            <v>12070129</v>
          </cell>
        </row>
        <row r="2742">
          <cell r="A2742" t="str">
            <v>9212602</v>
          </cell>
          <cell r="B2742" t="str">
            <v>박　용　선</v>
          </cell>
          <cell r="C2742" t="str">
            <v>9212602박　용　선</v>
          </cell>
          <cell r="D2742" t="str">
            <v>CJ30</v>
          </cell>
          <cell r="E2742" t="str">
            <v>급유사업팀</v>
          </cell>
          <cell r="F2742" t="str">
            <v>2670</v>
          </cell>
          <cell r="G2742" t="str">
            <v>2670</v>
          </cell>
          <cell r="H2742" t="str">
            <v>19921221</v>
          </cell>
          <cell r="I2742">
            <v>10488810</v>
          </cell>
        </row>
        <row r="2743">
          <cell r="A2743" t="str">
            <v>8010088</v>
          </cell>
          <cell r="B2743" t="str">
            <v>백　상　원</v>
          </cell>
          <cell r="C2743" t="str">
            <v>8010088백　상　원</v>
          </cell>
          <cell r="D2743" t="str">
            <v>CJ30</v>
          </cell>
          <cell r="E2743" t="str">
            <v>급유사업팀</v>
          </cell>
          <cell r="F2743" t="str">
            <v>2670</v>
          </cell>
          <cell r="G2743" t="str">
            <v>2320</v>
          </cell>
          <cell r="H2743" t="str">
            <v>19801118</v>
          </cell>
          <cell r="I2743">
            <v>41972805</v>
          </cell>
        </row>
        <row r="2744">
          <cell r="A2744" t="str">
            <v>9210587</v>
          </cell>
          <cell r="B2744" t="str">
            <v>이　성　훈</v>
          </cell>
          <cell r="C2744" t="str">
            <v>9210587이　성　훈</v>
          </cell>
          <cell r="D2744" t="str">
            <v>CJ30</v>
          </cell>
          <cell r="E2744" t="str">
            <v>급유사업팀</v>
          </cell>
          <cell r="F2744" t="str">
            <v>2670</v>
          </cell>
          <cell r="G2744" t="str">
            <v>2670</v>
          </cell>
          <cell r="H2744" t="str">
            <v>19920215</v>
          </cell>
          <cell r="I2744">
            <v>16331281</v>
          </cell>
        </row>
        <row r="2745">
          <cell r="A2745" t="str">
            <v>8911034</v>
          </cell>
          <cell r="B2745" t="str">
            <v>이　세　준</v>
          </cell>
          <cell r="C2745" t="str">
            <v>8911034이　세　준</v>
          </cell>
          <cell r="D2745" t="str">
            <v>CJ30</v>
          </cell>
          <cell r="E2745" t="str">
            <v>급유사업팀</v>
          </cell>
          <cell r="F2745" t="str">
            <v>2670</v>
          </cell>
          <cell r="G2745" t="str">
            <v>2670</v>
          </cell>
          <cell r="H2745" t="str">
            <v>19891004</v>
          </cell>
          <cell r="I2745">
            <v>18191882</v>
          </cell>
        </row>
        <row r="2746">
          <cell r="A2746" t="str">
            <v>9012598</v>
          </cell>
          <cell r="B2746" t="str">
            <v>조　석　구</v>
          </cell>
          <cell r="C2746" t="str">
            <v>9012598조　석　구</v>
          </cell>
          <cell r="D2746" t="str">
            <v>CJ30</v>
          </cell>
          <cell r="E2746" t="str">
            <v>급유사업팀</v>
          </cell>
          <cell r="F2746" t="str">
            <v>2670</v>
          </cell>
          <cell r="G2746" t="str">
            <v>2670</v>
          </cell>
          <cell r="H2746" t="str">
            <v>19901201</v>
          </cell>
          <cell r="I2746">
            <v>18070747</v>
          </cell>
          <cell r="J2746" t="str">
            <v>5 월</v>
          </cell>
          <cell r="K2746">
            <v>18351181</v>
          </cell>
        </row>
        <row r="2747">
          <cell r="A2747" t="str">
            <v>9210690</v>
          </cell>
          <cell r="B2747" t="str">
            <v>조　영　만</v>
          </cell>
          <cell r="C2747" t="str">
            <v>9210690조　영　만</v>
          </cell>
          <cell r="D2747" t="str">
            <v>CJ30</v>
          </cell>
          <cell r="E2747" t="str">
            <v>급유사업팀</v>
          </cell>
          <cell r="F2747" t="str">
            <v>2670</v>
          </cell>
          <cell r="G2747" t="str">
            <v>2670</v>
          </cell>
          <cell r="H2747" t="str">
            <v>19920215</v>
          </cell>
          <cell r="I2747">
            <v>15489451</v>
          </cell>
        </row>
        <row r="2748">
          <cell r="A2748" t="str">
            <v>9212613</v>
          </cell>
          <cell r="B2748" t="str">
            <v>최　영　열</v>
          </cell>
          <cell r="C2748" t="str">
            <v>9212613최　영　열</v>
          </cell>
          <cell r="D2748" t="str">
            <v>CJ30</v>
          </cell>
          <cell r="E2748" t="str">
            <v>급유사업팀</v>
          </cell>
          <cell r="F2748" t="str">
            <v>2670</v>
          </cell>
          <cell r="G2748" t="str">
            <v>2670</v>
          </cell>
          <cell r="H2748" t="str">
            <v>19921221</v>
          </cell>
          <cell r="I2748">
            <v>11991255</v>
          </cell>
        </row>
        <row r="2749">
          <cell r="A2749" t="str">
            <v>9210396</v>
          </cell>
          <cell r="B2749" t="str">
            <v>강　덕　조</v>
          </cell>
          <cell r="C2749" t="str">
            <v>9210396강　덕　조</v>
          </cell>
          <cell r="D2749" t="str">
            <v>율도시설</v>
          </cell>
          <cell r="E2749" t="str">
            <v>시설관리(율도)</v>
          </cell>
          <cell r="F2749" t="str">
            <v>2674</v>
          </cell>
          <cell r="G2749" t="str">
            <v>2320</v>
          </cell>
          <cell r="H2749" t="str">
            <v>19920215</v>
          </cell>
          <cell r="I2749">
            <v>13668697</v>
          </cell>
        </row>
        <row r="2750">
          <cell r="A2750" t="str">
            <v>9210431</v>
          </cell>
          <cell r="B2750" t="str">
            <v>김　우　현</v>
          </cell>
          <cell r="C2750" t="str">
            <v>9210431김　우　현</v>
          </cell>
          <cell r="D2750" t="str">
            <v>율도시설</v>
          </cell>
          <cell r="E2750" t="str">
            <v>시설관리(율도)</v>
          </cell>
          <cell r="F2750" t="str">
            <v>2674</v>
          </cell>
          <cell r="G2750" t="str">
            <v>2230</v>
          </cell>
          <cell r="H2750" t="str">
            <v>19920215</v>
          </cell>
          <cell r="I2750">
            <v>12172124</v>
          </cell>
        </row>
        <row r="2751">
          <cell r="A2751" t="str">
            <v>7810367</v>
          </cell>
          <cell r="B2751" t="str">
            <v>김　재　기</v>
          </cell>
          <cell r="C2751" t="str">
            <v>7810367김　재　기</v>
          </cell>
          <cell r="D2751" t="str">
            <v>율도시설</v>
          </cell>
          <cell r="E2751" t="str">
            <v>시설관리(율도)</v>
          </cell>
          <cell r="F2751" t="str">
            <v>2674</v>
          </cell>
          <cell r="G2751" t="str">
            <v>2320</v>
          </cell>
          <cell r="H2751" t="str">
            <v>19781208</v>
          </cell>
          <cell r="I2751">
            <v>38090282</v>
          </cell>
          <cell r="J2751" t="str">
            <v>2 월</v>
          </cell>
          <cell r="K2751">
            <v>38166170</v>
          </cell>
        </row>
        <row r="2752">
          <cell r="A2752" t="str">
            <v>9210464</v>
          </cell>
          <cell r="B2752" t="str">
            <v>김　찬　원</v>
          </cell>
          <cell r="C2752" t="str">
            <v>9210464김　찬　원</v>
          </cell>
          <cell r="D2752" t="str">
            <v>율도시설</v>
          </cell>
          <cell r="E2752" t="str">
            <v>시설관리(율도)</v>
          </cell>
          <cell r="F2752" t="str">
            <v>2674</v>
          </cell>
          <cell r="G2752" t="str">
            <v>2652</v>
          </cell>
          <cell r="H2752" t="str">
            <v>19920215</v>
          </cell>
          <cell r="I2752">
            <v>14604055</v>
          </cell>
        </row>
        <row r="2753">
          <cell r="A2753" t="str">
            <v>9210554</v>
          </cell>
          <cell r="B2753" t="str">
            <v>유　태　홍</v>
          </cell>
          <cell r="C2753" t="str">
            <v>9210554유　태　홍</v>
          </cell>
          <cell r="D2753" t="str">
            <v>율도시설</v>
          </cell>
          <cell r="E2753" t="str">
            <v>시설관리(율도)</v>
          </cell>
          <cell r="F2753" t="str">
            <v>2674</v>
          </cell>
          <cell r="G2753" t="str">
            <v>2652</v>
          </cell>
          <cell r="H2753" t="str">
            <v>19920215</v>
          </cell>
          <cell r="I2753">
            <v>17584732</v>
          </cell>
        </row>
        <row r="2754">
          <cell r="A2754" t="str">
            <v>9210633</v>
          </cell>
          <cell r="B2754" t="str">
            <v>이　진　배</v>
          </cell>
          <cell r="C2754" t="str">
            <v>9210633이　진　배</v>
          </cell>
          <cell r="D2754" t="str">
            <v>율도시설</v>
          </cell>
          <cell r="E2754" t="str">
            <v>시설관리(율도)</v>
          </cell>
          <cell r="F2754" t="str">
            <v>2674</v>
          </cell>
          <cell r="G2754" t="str">
            <v>2220</v>
          </cell>
          <cell r="H2754" t="str">
            <v>19920215</v>
          </cell>
          <cell r="I2754">
            <v>13179688</v>
          </cell>
        </row>
        <row r="2755">
          <cell r="A2755" t="str">
            <v>9210756</v>
          </cell>
          <cell r="B2755" t="str">
            <v>함　종　문</v>
          </cell>
          <cell r="C2755" t="str">
            <v>9210756함　종　문</v>
          </cell>
          <cell r="D2755" t="str">
            <v>율도시설</v>
          </cell>
          <cell r="E2755" t="str">
            <v>시설관리(율도)</v>
          </cell>
          <cell r="F2755" t="str">
            <v>2674</v>
          </cell>
          <cell r="G2755" t="str">
            <v>2320</v>
          </cell>
          <cell r="H2755" t="str">
            <v>19920215</v>
          </cell>
          <cell r="I2755">
            <v>14142614</v>
          </cell>
          <cell r="J2755" t="str">
            <v>5 월</v>
          </cell>
          <cell r="K2755">
            <v>15143935</v>
          </cell>
        </row>
        <row r="2756">
          <cell r="A2756" t="str">
            <v>9810178</v>
          </cell>
          <cell r="B2756" t="str">
            <v>강　일　영</v>
          </cell>
          <cell r="C2756" t="str">
            <v>9810178강　일　영</v>
          </cell>
          <cell r="D2756" t="str">
            <v>CJ40</v>
          </cell>
          <cell r="E2756" t="str">
            <v>시설관리(율도)</v>
          </cell>
          <cell r="F2756" t="str">
            <v>2674</v>
          </cell>
          <cell r="G2756" t="str">
            <v>2652</v>
          </cell>
          <cell r="H2756" t="str">
            <v>19980901</v>
          </cell>
          <cell r="I2756">
            <v>2431117</v>
          </cell>
        </row>
        <row r="2757">
          <cell r="A2757" t="str">
            <v>9210475</v>
          </cell>
          <cell r="B2757" t="str">
            <v>김　항　철</v>
          </cell>
          <cell r="C2757" t="str">
            <v>9210475김　항　철</v>
          </cell>
          <cell r="D2757" t="str">
            <v>CJ40</v>
          </cell>
          <cell r="E2757" t="str">
            <v>시설관리(율도)</v>
          </cell>
          <cell r="F2757" t="str">
            <v>2674</v>
          </cell>
          <cell r="G2757" t="str">
            <v>2652</v>
          </cell>
          <cell r="H2757" t="str">
            <v>19920215</v>
          </cell>
          <cell r="I2757">
            <v>15477053</v>
          </cell>
        </row>
        <row r="2758">
          <cell r="A2758" t="str">
            <v>9810180</v>
          </cell>
          <cell r="B2758" t="str">
            <v>노　양　선</v>
          </cell>
          <cell r="C2758" t="str">
            <v>9810180노　양　선</v>
          </cell>
          <cell r="D2758" t="str">
            <v>CJ40</v>
          </cell>
          <cell r="E2758" t="str">
            <v>시설관리(율도)</v>
          </cell>
          <cell r="F2758" t="str">
            <v>2674</v>
          </cell>
          <cell r="G2758" t="str">
            <v>2120</v>
          </cell>
          <cell r="H2758" t="str">
            <v>19980901</v>
          </cell>
          <cell r="I2758">
            <v>1719973</v>
          </cell>
        </row>
        <row r="2759">
          <cell r="A2759" t="str">
            <v>9210486</v>
          </cell>
          <cell r="B2759" t="str">
            <v>문　수　현</v>
          </cell>
          <cell r="C2759" t="str">
            <v>9210486문　수　현</v>
          </cell>
          <cell r="D2759" t="str">
            <v>CJ40</v>
          </cell>
          <cell r="E2759" t="str">
            <v>시설관리(율도)</v>
          </cell>
          <cell r="F2759" t="str">
            <v>2674</v>
          </cell>
          <cell r="G2759" t="str">
            <v>2420</v>
          </cell>
          <cell r="H2759" t="str">
            <v>19920215</v>
          </cell>
          <cell r="I2759">
            <v>16624429</v>
          </cell>
        </row>
        <row r="2760">
          <cell r="A2760" t="str">
            <v>9210780</v>
          </cell>
          <cell r="B2760" t="str">
            <v>박　창　길</v>
          </cell>
          <cell r="C2760" t="str">
            <v>9210780박　창　길</v>
          </cell>
          <cell r="D2760" t="str">
            <v>CJ40</v>
          </cell>
          <cell r="E2760" t="str">
            <v>시설관리(율도)</v>
          </cell>
          <cell r="F2760" t="str">
            <v>2674</v>
          </cell>
          <cell r="G2760" t="str">
            <v>2420</v>
          </cell>
          <cell r="H2760" t="str">
            <v>19920215</v>
          </cell>
          <cell r="I2760">
            <v>14529124</v>
          </cell>
        </row>
        <row r="2761">
          <cell r="A2761" t="str">
            <v>9210510</v>
          </cell>
          <cell r="B2761" t="str">
            <v>봉　하　진</v>
          </cell>
          <cell r="C2761" t="str">
            <v>9210510봉　하　진</v>
          </cell>
          <cell r="D2761" t="str">
            <v>CJ40</v>
          </cell>
          <cell r="E2761" t="str">
            <v>시설관리(율도)</v>
          </cell>
          <cell r="F2761" t="str">
            <v>2674</v>
          </cell>
          <cell r="G2761" t="str">
            <v>2320</v>
          </cell>
          <cell r="H2761" t="str">
            <v>19920215</v>
          </cell>
          <cell r="I2761">
            <v>13419265</v>
          </cell>
        </row>
        <row r="2762">
          <cell r="A2762" t="str">
            <v>8711155</v>
          </cell>
          <cell r="B2762" t="str">
            <v>신　규　환</v>
          </cell>
          <cell r="C2762" t="str">
            <v>8711155신　규　환</v>
          </cell>
          <cell r="D2762" t="str">
            <v>CJ40</v>
          </cell>
          <cell r="E2762" t="str">
            <v>시설관리(율도)</v>
          </cell>
          <cell r="F2762" t="str">
            <v>2674</v>
          </cell>
          <cell r="G2762" t="str">
            <v>2670</v>
          </cell>
          <cell r="H2762" t="str">
            <v>19870928</v>
          </cell>
          <cell r="I2762">
            <v>21547301</v>
          </cell>
        </row>
        <row r="2763">
          <cell r="A2763" t="str">
            <v>9210521</v>
          </cell>
          <cell r="B2763" t="str">
            <v>신　세　철</v>
          </cell>
          <cell r="C2763" t="str">
            <v>9210521신　세　철</v>
          </cell>
          <cell r="D2763" t="str">
            <v>CJ40</v>
          </cell>
          <cell r="E2763" t="str">
            <v>시설관리(율도)</v>
          </cell>
          <cell r="F2763" t="str">
            <v>2674</v>
          </cell>
          <cell r="G2763" t="e">
            <v>#N/A</v>
          </cell>
          <cell r="H2763" t="str">
            <v>19920215</v>
          </cell>
          <cell r="I2763">
            <v>16537131</v>
          </cell>
          <cell r="J2763" t="str">
            <v>12 월</v>
          </cell>
          <cell r="K2763">
            <v>22948251</v>
          </cell>
        </row>
        <row r="2764">
          <cell r="A2764" t="str">
            <v>9810191</v>
          </cell>
          <cell r="B2764" t="str">
            <v>이　영　호</v>
          </cell>
          <cell r="C2764" t="str">
            <v>9810191이　영　호</v>
          </cell>
          <cell r="D2764" t="str">
            <v>CJ40</v>
          </cell>
          <cell r="E2764" t="str">
            <v>시설관리(율도)</v>
          </cell>
          <cell r="F2764" t="str">
            <v>2674</v>
          </cell>
          <cell r="G2764" t="str">
            <v>2220</v>
          </cell>
          <cell r="H2764" t="str">
            <v>19980901</v>
          </cell>
          <cell r="I2764">
            <v>2186561</v>
          </cell>
        </row>
        <row r="2765">
          <cell r="A2765" t="str">
            <v>9212591</v>
          </cell>
          <cell r="B2765" t="str">
            <v>이　창　수</v>
          </cell>
          <cell r="C2765" t="str">
            <v>9212591이　창　수</v>
          </cell>
          <cell r="D2765" t="str">
            <v>CJ40</v>
          </cell>
          <cell r="E2765" t="str">
            <v>시설관리(율도)</v>
          </cell>
          <cell r="F2765" t="str">
            <v>2674</v>
          </cell>
          <cell r="G2765" t="str">
            <v>1120</v>
          </cell>
          <cell r="H2765" t="str">
            <v>19921221</v>
          </cell>
          <cell r="I2765">
            <v>12320004</v>
          </cell>
        </row>
        <row r="2766">
          <cell r="A2766" t="str">
            <v>9810202</v>
          </cell>
          <cell r="B2766" t="str">
            <v>이　창　재</v>
          </cell>
          <cell r="C2766" t="str">
            <v>9810202이　창　재</v>
          </cell>
          <cell r="D2766" t="str">
            <v>CJ40</v>
          </cell>
          <cell r="E2766" t="str">
            <v>시설관리(율도)</v>
          </cell>
          <cell r="F2766" t="str">
            <v>2674</v>
          </cell>
          <cell r="G2766" t="str">
            <v>2220</v>
          </cell>
          <cell r="H2766" t="str">
            <v>19980901</v>
          </cell>
          <cell r="I2766">
            <v>1877789</v>
          </cell>
        </row>
        <row r="2767">
          <cell r="A2767" t="str">
            <v>9110766</v>
          </cell>
          <cell r="B2767" t="str">
            <v>임　원　배</v>
          </cell>
          <cell r="C2767" t="str">
            <v>9110766임　원　배</v>
          </cell>
          <cell r="D2767" t="str">
            <v>CJ40</v>
          </cell>
          <cell r="E2767" t="str">
            <v>시설관리(율도)</v>
          </cell>
          <cell r="F2767" t="str">
            <v>2674</v>
          </cell>
          <cell r="G2767" t="str">
            <v>2670</v>
          </cell>
          <cell r="H2767" t="str">
            <v>19910601</v>
          </cell>
          <cell r="I2767">
            <v>14628187</v>
          </cell>
        </row>
        <row r="2768">
          <cell r="A2768" t="str">
            <v>9210655</v>
          </cell>
          <cell r="B2768" t="str">
            <v>장　흥　진</v>
          </cell>
          <cell r="C2768" t="str">
            <v>9210655장　흥　진</v>
          </cell>
          <cell r="D2768" t="str">
            <v>CJ40</v>
          </cell>
          <cell r="E2768" t="str">
            <v>시설관리(율도)</v>
          </cell>
          <cell r="F2768" t="str">
            <v>2674</v>
          </cell>
          <cell r="G2768" t="str">
            <v>2652</v>
          </cell>
          <cell r="H2768" t="str">
            <v>19920215</v>
          </cell>
          <cell r="I2768">
            <v>19215209</v>
          </cell>
        </row>
        <row r="2769">
          <cell r="A2769" t="str">
            <v>9210745</v>
          </cell>
          <cell r="B2769" t="str">
            <v>최　증　곤</v>
          </cell>
          <cell r="C2769" t="str">
            <v>9210745최　증　곤</v>
          </cell>
          <cell r="D2769" t="str">
            <v>CJ40</v>
          </cell>
          <cell r="E2769" t="str">
            <v>시설관리(율도)</v>
          </cell>
          <cell r="F2769" t="str">
            <v>2674</v>
          </cell>
          <cell r="G2769" t="str">
            <v>2320</v>
          </cell>
          <cell r="H2769" t="str">
            <v>19920215</v>
          </cell>
          <cell r="I2769">
            <v>13768471</v>
          </cell>
        </row>
        <row r="2770">
          <cell r="A2770" t="str">
            <v>0007042</v>
          </cell>
          <cell r="B2770" t="str">
            <v>이　성　흠</v>
          </cell>
          <cell r="C2770" t="str">
            <v>0007042이　성　흠</v>
          </cell>
          <cell r="D2770" t="str">
            <v>정비지원팀</v>
          </cell>
          <cell r="E2770" t="str">
            <v>정비  담당</v>
          </cell>
          <cell r="F2770" t="str">
            <v>2730</v>
          </cell>
          <cell r="G2770" t="str">
            <v>2730</v>
          </cell>
          <cell r="H2770" t="str">
            <v>19970301</v>
          </cell>
          <cell r="I2770">
            <v>32780000</v>
          </cell>
        </row>
        <row r="2771">
          <cell r="A2771" t="str">
            <v>7800513</v>
          </cell>
          <cell r="B2771" t="str">
            <v>김　진　원</v>
          </cell>
          <cell r="C2771" t="str">
            <v>7800513김　진　원</v>
          </cell>
          <cell r="D2771" t="str">
            <v>CK20</v>
          </cell>
          <cell r="E2771" t="str">
            <v>정비  담당</v>
          </cell>
          <cell r="F2771" t="str">
            <v>2730</v>
          </cell>
          <cell r="G2771" t="str">
            <v>2730</v>
          </cell>
          <cell r="H2771" t="str">
            <v>19981001</v>
          </cell>
          <cell r="I2771">
            <v>2198928</v>
          </cell>
        </row>
        <row r="2772">
          <cell r="A2772" t="str">
            <v>8400047</v>
          </cell>
          <cell r="B2772" t="str">
            <v>박　성　찬</v>
          </cell>
          <cell r="C2772" t="str">
            <v>8400047박　성　찬</v>
          </cell>
          <cell r="D2772" t="str">
            <v>CK20</v>
          </cell>
          <cell r="E2772" t="str">
            <v>정비  담당</v>
          </cell>
          <cell r="F2772" t="str">
            <v>2730</v>
          </cell>
          <cell r="G2772" t="str">
            <v>2730</v>
          </cell>
          <cell r="H2772" t="str">
            <v>19981211</v>
          </cell>
          <cell r="I2772">
            <v>2036718</v>
          </cell>
        </row>
        <row r="2773">
          <cell r="A2773" t="str">
            <v>9400364</v>
          </cell>
          <cell r="B2773" t="str">
            <v>신　창　신</v>
          </cell>
          <cell r="C2773" t="str">
            <v>9400364신　창　신</v>
          </cell>
          <cell r="D2773" t="str">
            <v>CK20</v>
          </cell>
          <cell r="E2773" t="str">
            <v>정비  담당</v>
          </cell>
          <cell r="F2773" t="str">
            <v>2730</v>
          </cell>
          <cell r="G2773" t="str">
            <v>2730</v>
          </cell>
          <cell r="H2773" t="str">
            <v>19940117</v>
          </cell>
          <cell r="I2773">
            <v>10137776</v>
          </cell>
        </row>
        <row r="2774">
          <cell r="A2774" t="str">
            <v>9250795</v>
          </cell>
          <cell r="B2774" t="str">
            <v>안　명　순</v>
          </cell>
          <cell r="C2774" t="str">
            <v>9250795안　명　순</v>
          </cell>
          <cell r="D2774" t="str">
            <v>CK20</v>
          </cell>
          <cell r="E2774" t="str">
            <v>정비  담당</v>
          </cell>
          <cell r="F2774" t="str">
            <v>2730</v>
          </cell>
          <cell r="G2774" t="str">
            <v>2730</v>
          </cell>
          <cell r="H2774" t="str">
            <v>19920416</v>
          </cell>
          <cell r="I2774">
            <v>9810122</v>
          </cell>
        </row>
        <row r="2775">
          <cell r="A2775" t="str">
            <v>8000166</v>
          </cell>
          <cell r="B2775" t="str">
            <v>이　성　만</v>
          </cell>
          <cell r="C2775" t="str">
            <v>8000166이　성　만</v>
          </cell>
          <cell r="D2775" t="str">
            <v>CK20</v>
          </cell>
          <cell r="E2775" t="str">
            <v>정비  담당</v>
          </cell>
          <cell r="F2775" t="str">
            <v>2730</v>
          </cell>
          <cell r="G2775" t="str">
            <v>2730</v>
          </cell>
          <cell r="H2775" t="str">
            <v>19801010</v>
          </cell>
          <cell r="I2775">
            <v>45173772</v>
          </cell>
        </row>
        <row r="2776">
          <cell r="A2776" t="str">
            <v>9411377</v>
          </cell>
          <cell r="B2776" t="str">
            <v>정　경　수</v>
          </cell>
          <cell r="C2776" t="str">
            <v>9411377정　경　수</v>
          </cell>
          <cell r="D2776" t="str">
            <v>CK20</v>
          </cell>
          <cell r="E2776" t="str">
            <v>정비  담당</v>
          </cell>
          <cell r="F2776" t="str">
            <v>2730</v>
          </cell>
          <cell r="G2776" t="str">
            <v>2730</v>
          </cell>
          <cell r="H2776" t="str">
            <v>19940816</v>
          </cell>
          <cell r="I2776">
            <v>7431610</v>
          </cell>
        </row>
        <row r="2777">
          <cell r="A2777" t="str">
            <v>9800100</v>
          </cell>
          <cell r="B2777" t="str">
            <v>정　호　수</v>
          </cell>
          <cell r="C2777" t="str">
            <v>9800100정　호　수</v>
          </cell>
          <cell r="D2777" t="str">
            <v>CK20</v>
          </cell>
          <cell r="E2777" t="str">
            <v>정비  담당</v>
          </cell>
          <cell r="F2777" t="str">
            <v>2730</v>
          </cell>
          <cell r="G2777" t="str">
            <v>2730</v>
          </cell>
          <cell r="H2777" t="str">
            <v>19980201</v>
          </cell>
          <cell r="I2777">
            <v>2527177</v>
          </cell>
        </row>
        <row r="2778">
          <cell r="A2778" t="str">
            <v>9150434</v>
          </cell>
          <cell r="B2778" t="str">
            <v>최　윤　정</v>
          </cell>
          <cell r="C2778" t="str">
            <v>9150434최　윤　정</v>
          </cell>
          <cell r="D2778" t="str">
            <v>CK20</v>
          </cell>
          <cell r="E2778" t="str">
            <v>정비  담당</v>
          </cell>
          <cell r="F2778" t="str">
            <v>2730</v>
          </cell>
          <cell r="G2778" t="str">
            <v>2740</v>
          </cell>
          <cell r="H2778" t="str">
            <v>19910301</v>
          </cell>
          <cell r="I2778">
            <v>9417942</v>
          </cell>
        </row>
        <row r="2779">
          <cell r="A2779" t="str">
            <v>9307991</v>
          </cell>
          <cell r="B2779" t="str">
            <v>황　순　철</v>
          </cell>
          <cell r="C2779" t="str">
            <v>9307991황　순　철</v>
          </cell>
          <cell r="D2779" t="str">
            <v>CK20</v>
          </cell>
          <cell r="E2779" t="str">
            <v>정비  담당</v>
          </cell>
          <cell r="F2779" t="str">
            <v>2730</v>
          </cell>
          <cell r="G2779" t="str">
            <v>2730</v>
          </cell>
          <cell r="H2779" t="str">
            <v>19931206</v>
          </cell>
          <cell r="I2779">
            <v>8334239</v>
          </cell>
        </row>
        <row r="2780">
          <cell r="A2780" t="str">
            <v>7900176</v>
          </cell>
          <cell r="B2780" t="str">
            <v>경　대　수</v>
          </cell>
          <cell r="C2780" t="str">
            <v>7900176경　대　수</v>
          </cell>
          <cell r="D2780" t="str">
            <v>CK30</v>
          </cell>
          <cell r="E2780" t="str">
            <v>정비  담당</v>
          </cell>
          <cell r="F2780" t="str">
            <v>2730</v>
          </cell>
          <cell r="G2780" t="str">
            <v>2730</v>
          </cell>
          <cell r="H2780" t="str">
            <v>19981001</v>
          </cell>
          <cell r="I2780">
            <v>2476976</v>
          </cell>
        </row>
        <row r="2781">
          <cell r="A2781" t="str">
            <v>9800122</v>
          </cell>
          <cell r="B2781" t="str">
            <v>문　상　혁</v>
          </cell>
          <cell r="C2781" t="str">
            <v>9800122문　상　혁</v>
          </cell>
          <cell r="D2781" t="str">
            <v>CK30</v>
          </cell>
          <cell r="E2781" t="str">
            <v>정비  담당</v>
          </cell>
          <cell r="F2781" t="str">
            <v>2730</v>
          </cell>
          <cell r="G2781" t="str">
            <v>2730</v>
          </cell>
          <cell r="H2781" t="str">
            <v>19980201</v>
          </cell>
          <cell r="I2781">
            <v>2522692</v>
          </cell>
        </row>
        <row r="2782">
          <cell r="A2782" t="str">
            <v>9800021</v>
          </cell>
          <cell r="B2782" t="str">
            <v>민　인　기</v>
          </cell>
          <cell r="C2782" t="str">
            <v>9800021민　인　기</v>
          </cell>
          <cell r="D2782" t="str">
            <v>CK30</v>
          </cell>
          <cell r="E2782" t="str">
            <v>정비  담당</v>
          </cell>
          <cell r="F2782" t="str">
            <v>2730</v>
          </cell>
          <cell r="G2782" t="str">
            <v>2730</v>
          </cell>
          <cell r="H2782" t="str">
            <v>19980201</v>
          </cell>
          <cell r="I2782">
            <v>2219324</v>
          </cell>
        </row>
        <row r="2783">
          <cell r="A2783" t="str">
            <v>9800054</v>
          </cell>
          <cell r="B2783" t="str">
            <v>이　두　연</v>
          </cell>
          <cell r="C2783" t="str">
            <v>9800054이　두　연</v>
          </cell>
          <cell r="D2783" t="str">
            <v>CK30</v>
          </cell>
          <cell r="E2783" t="str">
            <v>정비  담당</v>
          </cell>
          <cell r="F2783" t="str">
            <v>2730</v>
          </cell>
          <cell r="G2783" t="str">
            <v>2730</v>
          </cell>
          <cell r="H2783" t="str">
            <v>19980201</v>
          </cell>
          <cell r="I2783">
            <v>2238474</v>
          </cell>
        </row>
        <row r="2784">
          <cell r="A2784" t="str">
            <v>9100078</v>
          </cell>
          <cell r="B2784" t="str">
            <v>이　영　범</v>
          </cell>
          <cell r="C2784" t="str">
            <v>9100078이　영　범</v>
          </cell>
          <cell r="D2784" t="str">
            <v>CK30</v>
          </cell>
          <cell r="E2784" t="str">
            <v>정비  담당</v>
          </cell>
          <cell r="F2784" t="str">
            <v>2730</v>
          </cell>
          <cell r="G2784" t="str">
            <v>2730</v>
          </cell>
          <cell r="H2784" t="str">
            <v>19910107</v>
          </cell>
          <cell r="I2784">
            <v>17282079</v>
          </cell>
        </row>
        <row r="2785">
          <cell r="A2785" t="str">
            <v>7200044</v>
          </cell>
          <cell r="B2785" t="str">
            <v>이　춘　실</v>
          </cell>
          <cell r="C2785" t="str">
            <v>7200044이　춘　실</v>
          </cell>
          <cell r="D2785" t="str">
            <v>CK30</v>
          </cell>
          <cell r="E2785" t="str">
            <v>정비  담당</v>
          </cell>
          <cell r="F2785" t="str">
            <v>2730</v>
          </cell>
          <cell r="G2785" t="e">
            <v>#N/A</v>
          </cell>
          <cell r="H2785" t="str">
            <v>19720421</v>
          </cell>
          <cell r="I2785">
            <v>58238605</v>
          </cell>
          <cell r="J2785" t="str">
            <v>3 월</v>
          </cell>
          <cell r="K2785">
            <v>65368493</v>
          </cell>
        </row>
        <row r="2786">
          <cell r="A2786" t="str">
            <v>7900211</v>
          </cell>
          <cell r="B2786" t="str">
            <v>장　행　진</v>
          </cell>
          <cell r="C2786" t="str">
            <v>7900211장　행　진</v>
          </cell>
          <cell r="D2786" t="str">
            <v>CK30</v>
          </cell>
          <cell r="E2786" t="str">
            <v>정비  담당</v>
          </cell>
          <cell r="F2786" t="str">
            <v>2730</v>
          </cell>
          <cell r="G2786" t="str">
            <v>2730</v>
          </cell>
          <cell r="H2786" t="str">
            <v>19790412</v>
          </cell>
          <cell r="I2786">
            <v>38995985</v>
          </cell>
        </row>
        <row r="2787">
          <cell r="A2787" t="str">
            <v>9800032</v>
          </cell>
          <cell r="B2787" t="str">
            <v>최　돈　정</v>
          </cell>
          <cell r="C2787" t="str">
            <v>9800032최　돈　정</v>
          </cell>
          <cell r="D2787" t="str">
            <v>CK30</v>
          </cell>
          <cell r="E2787" t="str">
            <v>정비  담당</v>
          </cell>
          <cell r="F2787" t="str">
            <v>2730</v>
          </cell>
          <cell r="G2787" t="str">
            <v>2730</v>
          </cell>
          <cell r="H2787" t="str">
            <v>19980201</v>
          </cell>
          <cell r="I2787">
            <v>2238474</v>
          </cell>
        </row>
        <row r="2788">
          <cell r="A2788" t="str">
            <v>9800043</v>
          </cell>
          <cell r="B2788" t="str">
            <v>최　지　형</v>
          </cell>
          <cell r="C2788" t="str">
            <v>9800043최　지　형</v>
          </cell>
          <cell r="D2788" t="str">
            <v>CK30</v>
          </cell>
          <cell r="E2788" t="str">
            <v>정비  담당</v>
          </cell>
          <cell r="F2788" t="str">
            <v>2730</v>
          </cell>
          <cell r="G2788" t="str">
            <v>2730</v>
          </cell>
          <cell r="H2788" t="str">
            <v>19980201</v>
          </cell>
          <cell r="I2788">
            <v>2161874</v>
          </cell>
        </row>
        <row r="2789">
          <cell r="A2789" t="str">
            <v>9105298</v>
          </cell>
          <cell r="B2789" t="str">
            <v>강　경　원</v>
          </cell>
          <cell r="C2789" t="str">
            <v>9105298강　경　원</v>
          </cell>
          <cell r="D2789" t="str">
            <v>CK50</v>
          </cell>
          <cell r="E2789" t="str">
            <v>정비  담당</v>
          </cell>
          <cell r="F2789" t="str">
            <v>2730</v>
          </cell>
          <cell r="G2789" t="str">
            <v>2730</v>
          </cell>
          <cell r="H2789" t="str">
            <v>19911116</v>
          </cell>
          <cell r="I2789">
            <v>11566678</v>
          </cell>
        </row>
        <row r="2790">
          <cell r="A2790" t="str">
            <v>9012475</v>
          </cell>
          <cell r="B2790" t="str">
            <v>강　동　식</v>
          </cell>
          <cell r="C2790" t="str">
            <v>9012475강　동　식</v>
          </cell>
          <cell r="D2790" t="str">
            <v>CK50</v>
          </cell>
          <cell r="E2790" t="str">
            <v>정비  담당</v>
          </cell>
          <cell r="F2790" t="str">
            <v>2730</v>
          </cell>
          <cell r="G2790" t="str">
            <v>2670</v>
          </cell>
          <cell r="H2790" t="str">
            <v>19901011</v>
          </cell>
          <cell r="I2790">
            <v>16066172</v>
          </cell>
        </row>
        <row r="2791">
          <cell r="A2791" t="str">
            <v>7600050</v>
          </cell>
          <cell r="B2791" t="str">
            <v>강　인　석</v>
          </cell>
          <cell r="C2791" t="str">
            <v>7600050강　인　석</v>
          </cell>
          <cell r="D2791" t="str">
            <v>CK50</v>
          </cell>
          <cell r="E2791" t="str">
            <v>정비  담당</v>
          </cell>
          <cell r="F2791" t="str">
            <v>2730</v>
          </cell>
          <cell r="G2791" t="str">
            <v>2730</v>
          </cell>
          <cell r="H2791" t="str">
            <v>19760412</v>
          </cell>
          <cell r="I2791">
            <v>42377535</v>
          </cell>
        </row>
        <row r="2792">
          <cell r="A2792" t="str">
            <v>9303221</v>
          </cell>
          <cell r="B2792" t="str">
            <v>경　준　수</v>
          </cell>
          <cell r="C2792" t="str">
            <v>9303221경　준　수</v>
          </cell>
          <cell r="D2792" t="str">
            <v>CK50</v>
          </cell>
          <cell r="E2792" t="str">
            <v>정비  담당</v>
          </cell>
          <cell r="F2792" t="str">
            <v>2730</v>
          </cell>
          <cell r="G2792" t="str">
            <v>2730</v>
          </cell>
          <cell r="H2792" t="str">
            <v>19930601</v>
          </cell>
          <cell r="I2792">
            <v>9627524</v>
          </cell>
        </row>
        <row r="2793">
          <cell r="A2793" t="str">
            <v>9101158</v>
          </cell>
          <cell r="B2793" t="str">
            <v>권　혁　하</v>
          </cell>
          <cell r="C2793" t="str">
            <v>9101158권　혁　하</v>
          </cell>
          <cell r="D2793" t="str">
            <v>CK50</v>
          </cell>
          <cell r="E2793" t="str">
            <v>정비  담당</v>
          </cell>
          <cell r="F2793" t="str">
            <v>2730</v>
          </cell>
          <cell r="G2793" t="str">
            <v>2730</v>
          </cell>
          <cell r="H2793" t="str">
            <v>19910401</v>
          </cell>
          <cell r="I2793">
            <v>11974651</v>
          </cell>
        </row>
        <row r="2794">
          <cell r="A2794" t="str">
            <v>8400407</v>
          </cell>
          <cell r="B2794" t="str">
            <v>김　경　종</v>
          </cell>
          <cell r="C2794" t="str">
            <v>8400407김　경　종</v>
          </cell>
          <cell r="D2794" t="str">
            <v>CK50</v>
          </cell>
          <cell r="E2794" t="str">
            <v>정비  담당</v>
          </cell>
          <cell r="F2794" t="str">
            <v>2730</v>
          </cell>
          <cell r="G2794" t="str">
            <v>2730</v>
          </cell>
          <cell r="H2794" t="str">
            <v>19840517</v>
          </cell>
          <cell r="I2794">
            <v>25955632</v>
          </cell>
          <cell r="J2794" t="str">
            <v>5 월</v>
          </cell>
          <cell r="K2794">
            <v>26775863</v>
          </cell>
        </row>
        <row r="2795">
          <cell r="A2795" t="str">
            <v>8801188</v>
          </cell>
          <cell r="B2795" t="str">
            <v>김　규　환</v>
          </cell>
          <cell r="C2795" t="str">
            <v>8801188김　규　환</v>
          </cell>
          <cell r="D2795" t="str">
            <v>CK50</v>
          </cell>
          <cell r="E2795" t="str">
            <v>정비  담당</v>
          </cell>
          <cell r="F2795" t="str">
            <v>2730</v>
          </cell>
          <cell r="G2795" t="str">
            <v>2730</v>
          </cell>
          <cell r="H2795" t="str">
            <v>19880921</v>
          </cell>
          <cell r="I2795">
            <v>17472839</v>
          </cell>
        </row>
        <row r="2796">
          <cell r="A2796" t="str">
            <v>8900144</v>
          </cell>
          <cell r="B2796" t="str">
            <v>김　기　욱</v>
          </cell>
          <cell r="C2796" t="str">
            <v>8900144김　기　욱</v>
          </cell>
          <cell r="D2796" t="str">
            <v>CK50</v>
          </cell>
          <cell r="E2796" t="str">
            <v>정비  담당</v>
          </cell>
          <cell r="F2796" t="str">
            <v>2730</v>
          </cell>
          <cell r="G2796" t="str">
            <v>2730</v>
          </cell>
          <cell r="H2796" t="str">
            <v>19890101</v>
          </cell>
          <cell r="I2796">
            <v>16835500</v>
          </cell>
        </row>
        <row r="2797">
          <cell r="A2797" t="str">
            <v>8000662</v>
          </cell>
          <cell r="B2797" t="str">
            <v>김　기　홍</v>
          </cell>
          <cell r="C2797" t="str">
            <v>8000662김　기　홍</v>
          </cell>
          <cell r="D2797" t="str">
            <v>CK50</v>
          </cell>
          <cell r="E2797" t="str">
            <v>정비  담당</v>
          </cell>
          <cell r="F2797" t="str">
            <v>2730</v>
          </cell>
          <cell r="G2797" t="str">
            <v>2670</v>
          </cell>
          <cell r="H2797" t="str">
            <v>19801211</v>
          </cell>
          <cell r="I2797">
            <v>33741303</v>
          </cell>
        </row>
        <row r="2798">
          <cell r="A2798" t="str">
            <v>8000234</v>
          </cell>
          <cell r="B2798" t="str">
            <v>김　덕　중</v>
          </cell>
          <cell r="C2798" t="str">
            <v>8000234김　덕　중</v>
          </cell>
          <cell r="D2798" t="str">
            <v>CK50</v>
          </cell>
          <cell r="E2798" t="str">
            <v>정비  담당</v>
          </cell>
          <cell r="F2798" t="str">
            <v>2730</v>
          </cell>
          <cell r="G2798" t="str">
            <v>2730</v>
          </cell>
          <cell r="H2798" t="str">
            <v>19981001</v>
          </cell>
          <cell r="I2798">
            <v>2364402</v>
          </cell>
        </row>
        <row r="2799">
          <cell r="A2799" t="str">
            <v>8502041</v>
          </cell>
          <cell r="B2799" t="str">
            <v>김　돈　수</v>
          </cell>
          <cell r="C2799" t="str">
            <v>8502041김　돈　수</v>
          </cell>
          <cell r="D2799" t="str">
            <v>CK50</v>
          </cell>
          <cell r="E2799" t="str">
            <v>정비  담당</v>
          </cell>
          <cell r="F2799" t="str">
            <v>2730</v>
          </cell>
          <cell r="G2799" t="str">
            <v>2730</v>
          </cell>
          <cell r="H2799" t="str">
            <v>19850805</v>
          </cell>
          <cell r="I2799">
            <v>25730408</v>
          </cell>
        </row>
        <row r="2800">
          <cell r="A2800" t="str">
            <v>7700207</v>
          </cell>
          <cell r="B2800" t="str">
            <v>김　동　화</v>
          </cell>
          <cell r="C2800" t="str">
            <v>7700207김　동　화</v>
          </cell>
          <cell r="D2800" t="str">
            <v>CK50</v>
          </cell>
          <cell r="E2800" t="str">
            <v>정비  담당</v>
          </cell>
          <cell r="F2800" t="str">
            <v>2730</v>
          </cell>
          <cell r="G2800" t="str">
            <v>2730</v>
          </cell>
          <cell r="H2800" t="str">
            <v>19981001</v>
          </cell>
          <cell r="I2800">
            <v>2168671</v>
          </cell>
        </row>
        <row r="2801">
          <cell r="A2801" t="str">
            <v>7600138</v>
          </cell>
          <cell r="B2801" t="str">
            <v>김　만　덕</v>
          </cell>
          <cell r="C2801" t="str">
            <v>7600138김　만　덕</v>
          </cell>
          <cell r="D2801" t="str">
            <v>CK50</v>
          </cell>
          <cell r="E2801" t="str">
            <v>정비  담당</v>
          </cell>
          <cell r="F2801" t="str">
            <v>2730</v>
          </cell>
          <cell r="G2801" t="str">
            <v>2730</v>
          </cell>
          <cell r="H2801" t="str">
            <v>19971001</v>
          </cell>
          <cell r="I2801">
            <v>3865181</v>
          </cell>
        </row>
        <row r="2802">
          <cell r="A2802" t="str">
            <v>9302736</v>
          </cell>
          <cell r="B2802" t="str">
            <v>김　상　순</v>
          </cell>
          <cell r="C2802" t="str">
            <v>9302736김　상　순</v>
          </cell>
          <cell r="D2802" t="str">
            <v>CK50</v>
          </cell>
          <cell r="E2802" t="str">
            <v>정비  담당</v>
          </cell>
          <cell r="F2802" t="str">
            <v>2730</v>
          </cell>
          <cell r="G2802" t="str">
            <v>2730</v>
          </cell>
          <cell r="H2802" t="str">
            <v>19930517</v>
          </cell>
          <cell r="I2802">
            <v>9500976</v>
          </cell>
        </row>
        <row r="2803">
          <cell r="A2803" t="str">
            <v>8401476</v>
          </cell>
          <cell r="B2803" t="str">
            <v>김　연　기</v>
          </cell>
          <cell r="C2803" t="str">
            <v>8401476김　연　기</v>
          </cell>
          <cell r="D2803" t="str">
            <v>CK50</v>
          </cell>
          <cell r="E2803" t="str">
            <v>정비  담당</v>
          </cell>
          <cell r="F2803" t="str">
            <v>2730</v>
          </cell>
          <cell r="G2803" t="str">
            <v>2730</v>
          </cell>
          <cell r="H2803" t="str">
            <v>19841201</v>
          </cell>
          <cell r="I2803">
            <v>25054751</v>
          </cell>
        </row>
        <row r="2804">
          <cell r="A2804" t="str">
            <v>7900222</v>
          </cell>
          <cell r="B2804" t="str">
            <v>김　영　모</v>
          </cell>
          <cell r="C2804" t="str">
            <v>7900222김　영　모</v>
          </cell>
          <cell r="D2804" t="str">
            <v>CK50</v>
          </cell>
          <cell r="E2804" t="str">
            <v>정비  담당</v>
          </cell>
          <cell r="F2804" t="str">
            <v>2730</v>
          </cell>
          <cell r="G2804" t="str">
            <v>2730</v>
          </cell>
          <cell r="H2804" t="str">
            <v>19790412</v>
          </cell>
          <cell r="I2804">
            <v>36388198</v>
          </cell>
        </row>
        <row r="2805">
          <cell r="A2805" t="str">
            <v>7700016</v>
          </cell>
          <cell r="B2805" t="str">
            <v>김　용　규</v>
          </cell>
          <cell r="C2805" t="str">
            <v>7700016김　용　규</v>
          </cell>
          <cell r="D2805" t="str">
            <v>CK50</v>
          </cell>
          <cell r="E2805" t="str">
            <v>정비  담당</v>
          </cell>
          <cell r="F2805" t="str">
            <v>2730</v>
          </cell>
          <cell r="G2805" t="str">
            <v>2730</v>
          </cell>
          <cell r="H2805" t="str">
            <v>19770101</v>
          </cell>
          <cell r="I2805">
            <v>42944818</v>
          </cell>
        </row>
        <row r="2806">
          <cell r="A2806" t="str">
            <v>8300597</v>
          </cell>
          <cell r="B2806" t="str">
            <v>김　용　규</v>
          </cell>
          <cell r="C2806" t="str">
            <v>8300597김　용　규</v>
          </cell>
          <cell r="D2806" t="str">
            <v>CK50</v>
          </cell>
          <cell r="E2806" t="str">
            <v>정비  담당</v>
          </cell>
          <cell r="F2806" t="str">
            <v>2730</v>
          </cell>
          <cell r="G2806" t="str">
            <v>2730</v>
          </cell>
          <cell r="H2806" t="str">
            <v>19830701</v>
          </cell>
          <cell r="I2806">
            <v>28862914</v>
          </cell>
        </row>
        <row r="2807">
          <cell r="A2807" t="str">
            <v>8603842</v>
          </cell>
          <cell r="B2807" t="str">
            <v>김　재　남</v>
          </cell>
          <cell r="C2807" t="str">
            <v>8603842김　재　남</v>
          </cell>
          <cell r="D2807" t="str">
            <v>CK50</v>
          </cell>
          <cell r="E2807" t="str">
            <v>정비  담당</v>
          </cell>
          <cell r="F2807" t="str">
            <v>2730</v>
          </cell>
          <cell r="G2807" t="str">
            <v>2730</v>
          </cell>
          <cell r="H2807" t="str">
            <v>19980101</v>
          </cell>
          <cell r="I2807">
            <v>3699332</v>
          </cell>
        </row>
        <row r="2808">
          <cell r="A2808" t="str">
            <v>8200607</v>
          </cell>
          <cell r="B2808" t="str">
            <v>김　종　만</v>
          </cell>
          <cell r="C2808" t="str">
            <v>8200607김　종　만</v>
          </cell>
          <cell r="D2808" t="str">
            <v>CK50</v>
          </cell>
          <cell r="E2808" t="str">
            <v>정비  담당</v>
          </cell>
          <cell r="F2808" t="str">
            <v>2730</v>
          </cell>
          <cell r="G2808" t="str">
            <v>2730</v>
          </cell>
          <cell r="H2808" t="str">
            <v>19971001</v>
          </cell>
          <cell r="I2808">
            <v>4218932</v>
          </cell>
        </row>
        <row r="2809">
          <cell r="A2809" t="str">
            <v>9203793</v>
          </cell>
          <cell r="B2809" t="str">
            <v>김　종　필</v>
          </cell>
          <cell r="C2809" t="str">
            <v>9203793김　종　필</v>
          </cell>
          <cell r="D2809" t="str">
            <v>CK50</v>
          </cell>
          <cell r="E2809" t="str">
            <v>정비  담당</v>
          </cell>
          <cell r="F2809" t="str">
            <v>2730</v>
          </cell>
          <cell r="G2809" t="str">
            <v>2730</v>
          </cell>
          <cell r="H2809" t="str">
            <v>19920701</v>
          </cell>
          <cell r="I2809">
            <v>11266152</v>
          </cell>
        </row>
        <row r="2810">
          <cell r="A2810" t="str">
            <v>7900121</v>
          </cell>
          <cell r="B2810" t="str">
            <v>김　주　용</v>
          </cell>
          <cell r="C2810" t="str">
            <v>7900121김　주　용</v>
          </cell>
          <cell r="D2810" t="str">
            <v>CK50</v>
          </cell>
          <cell r="E2810" t="str">
            <v>정비  담당</v>
          </cell>
          <cell r="F2810" t="str">
            <v>2730</v>
          </cell>
          <cell r="G2810" t="str">
            <v>2730</v>
          </cell>
          <cell r="H2810" t="str">
            <v>19981211</v>
          </cell>
          <cell r="I2810">
            <v>1802684</v>
          </cell>
        </row>
        <row r="2811">
          <cell r="A2811" t="str">
            <v>8500994</v>
          </cell>
          <cell r="B2811" t="str">
            <v>김　준　섭</v>
          </cell>
          <cell r="C2811" t="str">
            <v>8500994김　준　섭</v>
          </cell>
          <cell r="D2811" t="str">
            <v>CK50</v>
          </cell>
          <cell r="E2811" t="str">
            <v>정비  담당</v>
          </cell>
          <cell r="F2811" t="str">
            <v>2730</v>
          </cell>
          <cell r="G2811" t="str">
            <v>2730</v>
          </cell>
          <cell r="H2811" t="str">
            <v>19850501</v>
          </cell>
          <cell r="I2811">
            <v>24110884</v>
          </cell>
          <cell r="J2811" t="str">
            <v>2 월</v>
          </cell>
          <cell r="K2811">
            <v>24164188</v>
          </cell>
        </row>
        <row r="2812">
          <cell r="A2812" t="str">
            <v>9207426</v>
          </cell>
          <cell r="B2812" t="str">
            <v>김　진　석</v>
          </cell>
          <cell r="C2812" t="str">
            <v>9207426김　진　석</v>
          </cell>
          <cell r="D2812" t="str">
            <v>CK50</v>
          </cell>
          <cell r="E2812" t="str">
            <v>정비  담당</v>
          </cell>
          <cell r="F2812" t="str">
            <v>2730</v>
          </cell>
          <cell r="G2812" t="str">
            <v>2730</v>
          </cell>
          <cell r="H2812" t="str">
            <v>19921116</v>
          </cell>
          <cell r="I2812">
            <v>9522708</v>
          </cell>
        </row>
        <row r="2813">
          <cell r="A2813" t="str">
            <v>8300801</v>
          </cell>
          <cell r="B2813" t="str">
            <v>도　귀　진</v>
          </cell>
          <cell r="C2813" t="str">
            <v>8300801도　귀　진</v>
          </cell>
          <cell r="D2813" t="str">
            <v>CK50</v>
          </cell>
          <cell r="E2813" t="str">
            <v>정비  담당</v>
          </cell>
          <cell r="F2813" t="str">
            <v>2730</v>
          </cell>
          <cell r="G2813" t="str">
            <v>2799</v>
          </cell>
          <cell r="H2813" t="str">
            <v>19831115</v>
          </cell>
          <cell r="I2813">
            <v>28932194</v>
          </cell>
        </row>
        <row r="2814">
          <cell r="A2814" t="str">
            <v>8300215</v>
          </cell>
          <cell r="B2814" t="str">
            <v>도　상　목</v>
          </cell>
          <cell r="C2814" t="str">
            <v>8300215도　상　목</v>
          </cell>
          <cell r="D2814" t="str">
            <v>CK50</v>
          </cell>
          <cell r="E2814" t="str">
            <v>정비  담당</v>
          </cell>
          <cell r="F2814" t="str">
            <v>2730</v>
          </cell>
          <cell r="G2814" t="str">
            <v>2730</v>
          </cell>
          <cell r="H2814" t="str">
            <v>19830401</v>
          </cell>
          <cell r="I2814">
            <v>27232651</v>
          </cell>
        </row>
        <row r="2815">
          <cell r="A2815" t="str">
            <v>9306797</v>
          </cell>
          <cell r="B2815" t="str">
            <v>문　태　식</v>
          </cell>
          <cell r="C2815" t="str">
            <v>9306797문　태　식</v>
          </cell>
          <cell r="D2815" t="str">
            <v>CK50</v>
          </cell>
          <cell r="E2815" t="str">
            <v>정비  담당</v>
          </cell>
          <cell r="F2815" t="str">
            <v>2730</v>
          </cell>
          <cell r="G2815" t="str">
            <v>2730</v>
          </cell>
          <cell r="H2815" t="str">
            <v>19931018</v>
          </cell>
          <cell r="I2815">
            <v>8628608</v>
          </cell>
        </row>
        <row r="2816">
          <cell r="A2816" t="str">
            <v>9503447</v>
          </cell>
          <cell r="B2816" t="str">
            <v>박　기　철</v>
          </cell>
          <cell r="C2816" t="str">
            <v>9503447박　기　철</v>
          </cell>
          <cell r="D2816" t="str">
            <v>CK50</v>
          </cell>
          <cell r="E2816" t="str">
            <v>정비  담당</v>
          </cell>
          <cell r="F2816" t="str">
            <v>2730</v>
          </cell>
          <cell r="G2816" t="str">
            <v>2730</v>
          </cell>
          <cell r="H2816" t="str">
            <v>19951106</v>
          </cell>
          <cell r="I2816">
            <v>5354770</v>
          </cell>
        </row>
        <row r="2817">
          <cell r="A2817" t="str">
            <v>9010901</v>
          </cell>
          <cell r="B2817" t="str">
            <v>박　상　용</v>
          </cell>
          <cell r="C2817" t="str">
            <v>9010901박　상　용</v>
          </cell>
          <cell r="D2817" t="str">
            <v>CK50</v>
          </cell>
          <cell r="E2817" t="str">
            <v>정비  담당</v>
          </cell>
          <cell r="F2817" t="str">
            <v>2730</v>
          </cell>
          <cell r="G2817" t="str">
            <v>2740</v>
          </cell>
          <cell r="H2817" t="str">
            <v>19900601</v>
          </cell>
          <cell r="I2817">
            <v>18363410</v>
          </cell>
        </row>
        <row r="2818">
          <cell r="A2818" t="str">
            <v>8500623</v>
          </cell>
          <cell r="B2818" t="str">
            <v>박　선　충</v>
          </cell>
          <cell r="C2818" t="str">
            <v>8500623박　선　충</v>
          </cell>
          <cell r="D2818" t="str">
            <v>CK50</v>
          </cell>
          <cell r="E2818" t="str">
            <v>정비  담당</v>
          </cell>
          <cell r="F2818" t="str">
            <v>2730</v>
          </cell>
          <cell r="G2818" t="str">
            <v>2730</v>
          </cell>
          <cell r="H2818" t="str">
            <v>19850301</v>
          </cell>
          <cell r="I2818">
            <v>25347422</v>
          </cell>
        </row>
        <row r="2819">
          <cell r="A2819" t="str">
            <v>8401487</v>
          </cell>
          <cell r="B2819" t="str">
            <v>박　성　문</v>
          </cell>
          <cell r="C2819" t="str">
            <v>8401487박　성　문</v>
          </cell>
          <cell r="D2819" t="str">
            <v>CK50</v>
          </cell>
          <cell r="E2819" t="str">
            <v>정비  담당</v>
          </cell>
          <cell r="F2819" t="str">
            <v>2730</v>
          </cell>
          <cell r="G2819" t="str">
            <v>2730</v>
          </cell>
          <cell r="H2819" t="str">
            <v>19841201</v>
          </cell>
          <cell r="I2819">
            <v>26940364</v>
          </cell>
        </row>
        <row r="2820">
          <cell r="A2820" t="str">
            <v>9105906</v>
          </cell>
          <cell r="B2820" t="str">
            <v>박　성　수</v>
          </cell>
          <cell r="C2820" t="str">
            <v>9105906박　성　수</v>
          </cell>
          <cell r="D2820" t="str">
            <v>CK50</v>
          </cell>
          <cell r="E2820" t="str">
            <v>정비  담당</v>
          </cell>
          <cell r="F2820" t="str">
            <v>2730</v>
          </cell>
          <cell r="G2820" t="str">
            <v>2730</v>
          </cell>
          <cell r="H2820" t="str">
            <v>19911201</v>
          </cell>
          <cell r="I2820">
            <v>10709792</v>
          </cell>
        </row>
        <row r="2821">
          <cell r="A2821" t="str">
            <v>9700942</v>
          </cell>
          <cell r="B2821" t="str">
            <v>박　세　훈</v>
          </cell>
          <cell r="C2821" t="str">
            <v>9700942박　세　훈</v>
          </cell>
          <cell r="D2821" t="str">
            <v>CK50</v>
          </cell>
          <cell r="E2821" t="str">
            <v>정비  담당</v>
          </cell>
          <cell r="F2821" t="str">
            <v>2730</v>
          </cell>
          <cell r="G2821" t="str">
            <v>2730</v>
          </cell>
          <cell r="H2821" t="str">
            <v>19970421</v>
          </cell>
          <cell r="I2821">
            <v>3366727</v>
          </cell>
        </row>
        <row r="2822">
          <cell r="A2822" t="str">
            <v>8500228</v>
          </cell>
          <cell r="B2822" t="str">
            <v>박　재　순</v>
          </cell>
          <cell r="C2822" t="str">
            <v>8500228박　재　순</v>
          </cell>
          <cell r="D2822" t="str">
            <v>CK50</v>
          </cell>
          <cell r="E2822" t="str">
            <v>정비  담당</v>
          </cell>
          <cell r="F2822" t="str">
            <v>2730</v>
          </cell>
          <cell r="G2822" t="str">
            <v>2730</v>
          </cell>
          <cell r="H2822" t="str">
            <v>19850110</v>
          </cell>
          <cell r="I2822">
            <v>24342350</v>
          </cell>
        </row>
        <row r="2823">
          <cell r="A2823" t="str">
            <v>8800705</v>
          </cell>
          <cell r="B2823" t="str">
            <v>박　주　대</v>
          </cell>
          <cell r="C2823" t="str">
            <v>8800705박　주　대</v>
          </cell>
          <cell r="D2823" t="str">
            <v>CK50</v>
          </cell>
          <cell r="E2823" t="str">
            <v>정비  담당</v>
          </cell>
          <cell r="F2823" t="str">
            <v>2730</v>
          </cell>
          <cell r="G2823" t="str">
            <v>2730</v>
          </cell>
          <cell r="H2823" t="str">
            <v>19880430</v>
          </cell>
          <cell r="I2823">
            <v>17521543</v>
          </cell>
        </row>
        <row r="2824">
          <cell r="A2824" t="str">
            <v>9400937</v>
          </cell>
          <cell r="B2824" t="str">
            <v>박　찬　익</v>
          </cell>
          <cell r="C2824" t="str">
            <v>9400937박　찬　익</v>
          </cell>
          <cell r="D2824" t="str">
            <v>CK50</v>
          </cell>
          <cell r="E2824" t="str">
            <v>정비  담당</v>
          </cell>
          <cell r="F2824" t="str">
            <v>2730</v>
          </cell>
          <cell r="G2824" t="str">
            <v>2730</v>
          </cell>
          <cell r="H2824" t="str">
            <v>19940201</v>
          </cell>
          <cell r="I2824">
            <v>7754068</v>
          </cell>
        </row>
        <row r="2825">
          <cell r="A2825" t="str">
            <v>9207437</v>
          </cell>
          <cell r="B2825" t="str">
            <v>서　광　필</v>
          </cell>
          <cell r="C2825" t="str">
            <v>9207437서　광　필</v>
          </cell>
          <cell r="D2825" t="str">
            <v>CK50</v>
          </cell>
          <cell r="E2825" t="str">
            <v>정비  담당</v>
          </cell>
          <cell r="F2825" t="str">
            <v>2730</v>
          </cell>
          <cell r="G2825" t="str">
            <v>2730</v>
          </cell>
          <cell r="H2825" t="str">
            <v>19921116</v>
          </cell>
          <cell r="I2825">
            <v>10357042</v>
          </cell>
        </row>
        <row r="2826">
          <cell r="A2826" t="str">
            <v>9400206</v>
          </cell>
          <cell r="B2826" t="str">
            <v>서　성　제</v>
          </cell>
          <cell r="C2826" t="str">
            <v>9400206서　성　제</v>
          </cell>
          <cell r="D2826" t="str">
            <v>CK50</v>
          </cell>
          <cell r="E2826" t="str">
            <v>정비  담당</v>
          </cell>
          <cell r="F2826" t="str">
            <v>2730</v>
          </cell>
          <cell r="G2826" t="str">
            <v>2730</v>
          </cell>
          <cell r="H2826" t="str">
            <v>19940105</v>
          </cell>
          <cell r="I2826">
            <v>8172984</v>
          </cell>
        </row>
        <row r="2827">
          <cell r="A2827" t="str">
            <v>9701954</v>
          </cell>
          <cell r="B2827" t="str">
            <v>선　종　근</v>
          </cell>
          <cell r="C2827" t="str">
            <v>9701954선　종　근</v>
          </cell>
          <cell r="D2827" t="str">
            <v>CK50</v>
          </cell>
          <cell r="E2827" t="str">
            <v>정비  담당</v>
          </cell>
          <cell r="F2827" t="str">
            <v>2730</v>
          </cell>
          <cell r="G2827" t="str">
            <v>2730</v>
          </cell>
          <cell r="H2827" t="str">
            <v>19970701</v>
          </cell>
          <cell r="I2827">
            <v>3129288</v>
          </cell>
        </row>
        <row r="2828">
          <cell r="A2828" t="str">
            <v>9204658</v>
          </cell>
          <cell r="B2828" t="str">
            <v>성　경　충</v>
          </cell>
          <cell r="C2828" t="str">
            <v>9204658성　경　충</v>
          </cell>
          <cell r="D2828" t="str">
            <v>CK50</v>
          </cell>
          <cell r="E2828" t="str">
            <v>정비  담당</v>
          </cell>
          <cell r="F2828" t="str">
            <v>2730</v>
          </cell>
          <cell r="G2828" t="str">
            <v>2730</v>
          </cell>
          <cell r="H2828" t="str">
            <v>19920801</v>
          </cell>
          <cell r="I2828">
            <v>10665572</v>
          </cell>
        </row>
        <row r="2829">
          <cell r="A2829" t="str">
            <v>7700681</v>
          </cell>
          <cell r="B2829" t="str">
            <v>송　영　수</v>
          </cell>
          <cell r="C2829" t="str">
            <v>7700681송　영　수</v>
          </cell>
          <cell r="D2829" t="str">
            <v>CK50</v>
          </cell>
          <cell r="E2829" t="str">
            <v>정비  담당</v>
          </cell>
          <cell r="F2829" t="str">
            <v>2730</v>
          </cell>
          <cell r="G2829" t="str">
            <v>2730</v>
          </cell>
          <cell r="H2829" t="str">
            <v>19991101</v>
          </cell>
          <cell r="I2829">
            <v>308034</v>
          </cell>
        </row>
        <row r="2830">
          <cell r="A2830" t="str">
            <v>9201756</v>
          </cell>
          <cell r="B2830" t="str">
            <v>신　동　규</v>
          </cell>
          <cell r="C2830" t="str">
            <v>9201756신　동　규</v>
          </cell>
          <cell r="D2830" t="str">
            <v>CK50</v>
          </cell>
          <cell r="E2830" t="str">
            <v>정비  담당</v>
          </cell>
          <cell r="F2830" t="str">
            <v>2730</v>
          </cell>
          <cell r="G2830" t="str">
            <v>2730</v>
          </cell>
          <cell r="H2830" t="str">
            <v>19920401</v>
          </cell>
          <cell r="I2830">
            <v>11517675</v>
          </cell>
        </row>
        <row r="2831">
          <cell r="A2831" t="str">
            <v>8701896</v>
          </cell>
          <cell r="B2831" t="str">
            <v>심　향　섭</v>
          </cell>
          <cell r="C2831" t="str">
            <v>8701896심　향　섭</v>
          </cell>
          <cell r="D2831" t="str">
            <v>CK50</v>
          </cell>
          <cell r="E2831" t="str">
            <v>정비  담당</v>
          </cell>
          <cell r="F2831" t="str">
            <v>2730</v>
          </cell>
          <cell r="G2831" t="str">
            <v>2730</v>
          </cell>
          <cell r="H2831" t="str">
            <v>19870901</v>
          </cell>
          <cell r="I2831">
            <v>21585947</v>
          </cell>
        </row>
        <row r="2832">
          <cell r="A2832" t="str">
            <v>9300756</v>
          </cell>
          <cell r="B2832" t="str">
            <v>양　승　태</v>
          </cell>
          <cell r="C2832" t="str">
            <v>9300756양　승　태</v>
          </cell>
          <cell r="D2832" t="str">
            <v>CK50</v>
          </cell>
          <cell r="E2832" t="str">
            <v>정비  담당</v>
          </cell>
          <cell r="F2832" t="str">
            <v>2730</v>
          </cell>
          <cell r="G2832" t="str">
            <v>2730</v>
          </cell>
          <cell r="H2832" t="str">
            <v>19930201</v>
          </cell>
          <cell r="I2832">
            <v>9557677</v>
          </cell>
        </row>
        <row r="2833">
          <cell r="A2833" t="str">
            <v>9200305</v>
          </cell>
          <cell r="B2833" t="str">
            <v>양　진　국</v>
          </cell>
          <cell r="C2833" t="str">
            <v>9200305양　진　국</v>
          </cell>
          <cell r="D2833" t="str">
            <v>CK50</v>
          </cell>
          <cell r="E2833" t="str">
            <v>정비  담당</v>
          </cell>
          <cell r="F2833" t="str">
            <v>2730</v>
          </cell>
          <cell r="G2833" t="str">
            <v>2730</v>
          </cell>
          <cell r="H2833" t="str">
            <v>19920106</v>
          </cell>
          <cell r="I2833">
            <v>9799852</v>
          </cell>
        </row>
        <row r="2834">
          <cell r="A2834" t="str">
            <v>7700670</v>
          </cell>
          <cell r="B2834" t="str">
            <v>오　경　수</v>
          </cell>
          <cell r="C2834" t="str">
            <v>7700670오　경　수</v>
          </cell>
          <cell r="D2834" t="str">
            <v>CK50</v>
          </cell>
          <cell r="E2834" t="str">
            <v>정비  담당</v>
          </cell>
          <cell r="F2834" t="str">
            <v>2730</v>
          </cell>
          <cell r="G2834" t="str">
            <v>2730</v>
          </cell>
          <cell r="H2834" t="str">
            <v>19771029</v>
          </cell>
          <cell r="I2834">
            <v>37977041</v>
          </cell>
        </row>
        <row r="2835">
          <cell r="A2835" t="str">
            <v>9105300</v>
          </cell>
          <cell r="B2835" t="str">
            <v>우　병　탁</v>
          </cell>
          <cell r="C2835" t="str">
            <v>9105300우　병　탁</v>
          </cell>
          <cell r="D2835" t="str">
            <v>CK50</v>
          </cell>
          <cell r="E2835" t="str">
            <v>정비  담당</v>
          </cell>
          <cell r="F2835" t="str">
            <v>2730</v>
          </cell>
          <cell r="G2835" t="str">
            <v>2730</v>
          </cell>
          <cell r="H2835" t="str">
            <v>19911116</v>
          </cell>
          <cell r="I2835">
            <v>11810458</v>
          </cell>
        </row>
        <row r="2836">
          <cell r="A2836" t="str">
            <v>7900200</v>
          </cell>
          <cell r="B2836" t="str">
            <v>유　찬　상</v>
          </cell>
          <cell r="C2836" t="str">
            <v>7900200유　찬　상</v>
          </cell>
          <cell r="D2836" t="str">
            <v>CK50</v>
          </cell>
          <cell r="E2836" t="str">
            <v>정비  담당</v>
          </cell>
          <cell r="F2836" t="str">
            <v>2730</v>
          </cell>
          <cell r="G2836" t="str">
            <v>2730</v>
          </cell>
          <cell r="H2836" t="str">
            <v>19790320</v>
          </cell>
          <cell r="I2836">
            <v>36498996</v>
          </cell>
        </row>
        <row r="2837">
          <cell r="A2837" t="str">
            <v>9701965</v>
          </cell>
          <cell r="B2837" t="str">
            <v>유　태　형</v>
          </cell>
          <cell r="C2837" t="str">
            <v>9701965유　태　형</v>
          </cell>
          <cell r="D2837" t="str">
            <v>CK50</v>
          </cell>
          <cell r="E2837" t="str">
            <v>정비  담당</v>
          </cell>
          <cell r="F2837" t="str">
            <v>2730</v>
          </cell>
          <cell r="G2837" t="str">
            <v>2730</v>
          </cell>
          <cell r="H2837" t="str">
            <v>19970701</v>
          </cell>
          <cell r="I2837">
            <v>3188761</v>
          </cell>
        </row>
        <row r="2838">
          <cell r="A2838" t="str">
            <v>9010877</v>
          </cell>
          <cell r="B2838" t="str">
            <v>윤　상　열</v>
          </cell>
          <cell r="C2838" t="str">
            <v>9010877윤　상　열</v>
          </cell>
          <cell r="D2838" t="str">
            <v>CK50</v>
          </cell>
          <cell r="E2838" t="str">
            <v>정비  담당</v>
          </cell>
          <cell r="F2838" t="str">
            <v>2730</v>
          </cell>
          <cell r="G2838" t="str">
            <v>2730</v>
          </cell>
          <cell r="H2838" t="str">
            <v>19900601</v>
          </cell>
          <cell r="I2838">
            <v>18831797</v>
          </cell>
        </row>
        <row r="2839">
          <cell r="A2839" t="str">
            <v>8502434</v>
          </cell>
          <cell r="B2839" t="str">
            <v>이　경　열</v>
          </cell>
          <cell r="C2839" t="str">
            <v>8502434이　경　열</v>
          </cell>
          <cell r="D2839" t="str">
            <v>CK50</v>
          </cell>
          <cell r="E2839" t="str">
            <v>정비  담당</v>
          </cell>
          <cell r="F2839" t="str">
            <v>2730</v>
          </cell>
          <cell r="G2839" t="str">
            <v>2730</v>
          </cell>
          <cell r="H2839" t="str">
            <v>19851210</v>
          </cell>
          <cell r="I2839">
            <v>22743540</v>
          </cell>
        </row>
        <row r="2840">
          <cell r="A2840" t="str">
            <v>9105873</v>
          </cell>
          <cell r="B2840" t="str">
            <v>이　기　탁</v>
          </cell>
          <cell r="C2840" t="str">
            <v>9105873이　기　탁</v>
          </cell>
          <cell r="D2840" t="str">
            <v>CK50</v>
          </cell>
          <cell r="E2840" t="str">
            <v>정비  담당</v>
          </cell>
          <cell r="F2840" t="str">
            <v>2730</v>
          </cell>
          <cell r="G2840" t="str">
            <v>2730</v>
          </cell>
          <cell r="H2840" t="str">
            <v>19981211</v>
          </cell>
          <cell r="I2840">
            <v>1612334</v>
          </cell>
        </row>
        <row r="2841">
          <cell r="A2841" t="str">
            <v>8210193</v>
          </cell>
          <cell r="B2841" t="str">
            <v>이　병　길</v>
          </cell>
          <cell r="C2841" t="str">
            <v>8210193이　병　길</v>
          </cell>
          <cell r="D2841" t="str">
            <v>CK50</v>
          </cell>
          <cell r="E2841" t="str">
            <v>정비  담당</v>
          </cell>
          <cell r="F2841" t="str">
            <v>2730</v>
          </cell>
          <cell r="G2841" t="str">
            <v>2670</v>
          </cell>
          <cell r="H2841" t="str">
            <v>19821116</v>
          </cell>
          <cell r="I2841">
            <v>35549294</v>
          </cell>
        </row>
        <row r="2842">
          <cell r="A2842" t="str">
            <v>8701918</v>
          </cell>
          <cell r="B2842" t="str">
            <v>이　상　수</v>
          </cell>
          <cell r="C2842" t="str">
            <v>8701918이　상　수</v>
          </cell>
          <cell r="D2842" t="str">
            <v>CK50</v>
          </cell>
          <cell r="E2842" t="str">
            <v>정비  담당</v>
          </cell>
          <cell r="F2842" t="str">
            <v>2730</v>
          </cell>
          <cell r="G2842" t="str">
            <v>2730</v>
          </cell>
          <cell r="H2842" t="str">
            <v>19981001</v>
          </cell>
          <cell r="I2842">
            <v>1978263</v>
          </cell>
        </row>
        <row r="2843">
          <cell r="A2843" t="str">
            <v>9306753</v>
          </cell>
          <cell r="B2843" t="str">
            <v>이　영　식</v>
          </cell>
          <cell r="C2843" t="str">
            <v>9306753이　영　식</v>
          </cell>
          <cell r="D2843" t="str">
            <v>CK50</v>
          </cell>
          <cell r="E2843" t="str">
            <v>정비  담당</v>
          </cell>
          <cell r="F2843" t="str">
            <v>2730</v>
          </cell>
          <cell r="G2843" t="str">
            <v>2730</v>
          </cell>
          <cell r="H2843" t="str">
            <v>19931018</v>
          </cell>
          <cell r="I2843">
            <v>8266622</v>
          </cell>
        </row>
        <row r="2844">
          <cell r="A2844" t="str">
            <v>7700793</v>
          </cell>
          <cell r="B2844" t="str">
            <v>이　영　환</v>
          </cell>
          <cell r="C2844" t="str">
            <v>7700793이　영　환</v>
          </cell>
          <cell r="D2844" t="str">
            <v>CK50</v>
          </cell>
          <cell r="E2844" t="str">
            <v>정비  담당</v>
          </cell>
          <cell r="F2844" t="str">
            <v>2730</v>
          </cell>
          <cell r="G2844" t="str">
            <v>2730</v>
          </cell>
          <cell r="H2844" t="str">
            <v>19771129</v>
          </cell>
          <cell r="I2844">
            <v>41679062</v>
          </cell>
        </row>
        <row r="2845">
          <cell r="A2845" t="str">
            <v>7900920</v>
          </cell>
          <cell r="B2845" t="str">
            <v>이　중　구</v>
          </cell>
          <cell r="C2845" t="str">
            <v>7900920이　중　구</v>
          </cell>
          <cell r="D2845" t="str">
            <v>CK50</v>
          </cell>
          <cell r="E2845" t="str">
            <v>정비  담당</v>
          </cell>
          <cell r="F2845" t="str">
            <v>2730</v>
          </cell>
          <cell r="G2845" t="str">
            <v>2730</v>
          </cell>
          <cell r="H2845" t="str">
            <v>19971001</v>
          </cell>
          <cell r="I2845">
            <v>3928051</v>
          </cell>
        </row>
        <row r="2846">
          <cell r="A2846" t="str">
            <v>8401320</v>
          </cell>
          <cell r="B2846" t="str">
            <v>이　태　인</v>
          </cell>
          <cell r="C2846" t="str">
            <v>8401320이　태　인</v>
          </cell>
          <cell r="D2846" t="str">
            <v>CK50</v>
          </cell>
          <cell r="E2846" t="str">
            <v>정비  담당</v>
          </cell>
          <cell r="F2846" t="str">
            <v>2730</v>
          </cell>
          <cell r="G2846" t="str">
            <v>2730</v>
          </cell>
          <cell r="H2846" t="str">
            <v>19981201</v>
          </cell>
          <cell r="I2846">
            <v>1989525</v>
          </cell>
        </row>
        <row r="2847">
          <cell r="A2847" t="str">
            <v>9700018</v>
          </cell>
          <cell r="B2847" t="str">
            <v>이　현　채</v>
          </cell>
          <cell r="C2847" t="str">
            <v>9700018이　현　채</v>
          </cell>
          <cell r="D2847" t="str">
            <v>CK50</v>
          </cell>
          <cell r="E2847" t="str">
            <v>정비  담당</v>
          </cell>
          <cell r="F2847" t="str">
            <v>2730</v>
          </cell>
          <cell r="G2847" t="str">
            <v>2730</v>
          </cell>
          <cell r="H2847" t="str">
            <v>19970201</v>
          </cell>
          <cell r="I2847">
            <v>3733018</v>
          </cell>
        </row>
        <row r="2848">
          <cell r="A2848" t="str">
            <v>7600408</v>
          </cell>
          <cell r="B2848" t="str">
            <v>이　희　영</v>
          </cell>
          <cell r="C2848" t="str">
            <v>7600408이　희　영</v>
          </cell>
          <cell r="D2848" t="str">
            <v>CK50</v>
          </cell>
          <cell r="E2848" t="str">
            <v>정비  담당</v>
          </cell>
          <cell r="F2848" t="str">
            <v>2730</v>
          </cell>
          <cell r="G2848" t="str">
            <v>2730</v>
          </cell>
          <cell r="H2848" t="str">
            <v>19761115</v>
          </cell>
          <cell r="I2848">
            <v>46695180</v>
          </cell>
        </row>
        <row r="2849">
          <cell r="A2849" t="str">
            <v>9010923</v>
          </cell>
          <cell r="B2849" t="str">
            <v>임　봉　재</v>
          </cell>
          <cell r="C2849" t="str">
            <v>9010923임　봉　재</v>
          </cell>
          <cell r="D2849" t="str">
            <v>CK50</v>
          </cell>
          <cell r="E2849" t="str">
            <v>정비  담당</v>
          </cell>
          <cell r="F2849" t="str">
            <v>2730</v>
          </cell>
          <cell r="G2849" t="str">
            <v>2730</v>
          </cell>
          <cell r="H2849" t="str">
            <v>19900601</v>
          </cell>
          <cell r="I2849">
            <v>18031025</v>
          </cell>
        </row>
        <row r="2850">
          <cell r="A2850" t="str">
            <v>9003791</v>
          </cell>
          <cell r="B2850" t="str">
            <v>임　빈　태</v>
          </cell>
          <cell r="C2850" t="str">
            <v>9003791임　빈　태</v>
          </cell>
          <cell r="D2850" t="str">
            <v>CK50</v>
          </cell>
          <cell r="E2850" t="str">
            <v>정비  담당</v>
          </cell>
          <cell r="F2850" t="str">
            <v>2730</v>
          </cell>
          <cell r="G2850" t="str">
            <v>2730</v>
          </cell>
          <cell r="H2850" t="str">
            <v>19900818</v>
          </cell>
          <cell r="I2850">
            <v>14219790</v>
          </cell>
        </row>
        <row r="2851">
          <cell r="A2851" t="str">
            <v>9700964</v>
          </cell>
          <cell r="B2851" t="str">
            <v>전　길　용</v>
          </cell>
          <cell r="C2851" t="str">
            <v>9700964전　길　용</v>
          </cell>
          <cell r="D2851" t="str">
            <v>CK50</v>
          </cell>
          <cell r="E2851" t="str">
            <v>정비  담당</v>
          </cell>
          <cell r="F2851" t="str">
            <v>2730</v>
          </cell>
          <cell r="G2851" t="str">
            <v>2730</v>
          </cell>
          <cell r="H2851" t="str">
            <v>19970421</v>
          </cell>
          <cell r="I2851">
            <v>4157193</v>
          </cell>
        </row>
        <row r="2852">
          <cell r="A2852" t="str">
            <v>9402480</v>
          </cell>
          <cell r="B2852" t="str">
            <v>전　은　수</v>
          </cell>
          <cell r="C2852" t="str">
            <v>9402480전　은　수</v>
          </cell>
          <cell r="D2852" t="str">
            <v>CK50</v>
          </cell>
          <cell r="E2852" t="str">
            <v>정비  담당</v>
          </cell>
          <cell r="F2852" t="str">
            <v>2730</v>
          </cell>
          <cell r="G2852" t="str">
            <v>2730</v>
          </cell>
          <cell r="H2852" t="str">
            <v>19940418</v>
          </cell>
          <cell r="I2852">
            <v>7526316</v>
          </cell>
        </row>
        <row r="2853">
          <cell r="A2853" t="str">
            <v>9701976</v>
          </cell>
          <cell r="B2853" t="str">
            <v>전　진　안</v>
          </cell>
          <cell r="C2853" t="str">
            <v>9701976전　진　안</v>
          </cell>
          <cell r="D2853" t="str">
            <v>CK50</v>
          </cell>
          <cell r="E2853" t="str">
            <v>정비  담당</v>
          </cell>
          <cell r="F2853" t="str">
            <v>2730</v>
          </cell>
          <cell r="G2853" t="str">
            <v>2730</v>
          </cell>
          <cell r="H2853" t="str">
            <v>19970701</v>
          </cell>
          <cell r="I2853">
            <v>3163720</v>
          </cell>
        </row>
        <row r="2854">
          <cell r="A2854" t="str">
            <v>9303210</v>
          </cell>
          <cell r="B2854" t="str">
            <v>정　경　수</v>
          </cell>
          <cell r="C2854" t="str">
            <v>9303210정　경　수</v>
          </cell>
          <cell r="D2854" t="str">
            <v>CK50</v>
          </cell>
          <cell r="E2854" t="str">
            <v>정비  담당</v>
          </cell>
          <cell r="F2854" t="str">
            <v>2730</v>
          </cell>
          <cell r="G2854" t="str">
            <v>2730</v>
          </cell>
          <cell r="H2854" t="str">
            <v>19930601</v>
          </cell>
          <cell r="I2854">
            <v>9679661</v>
          </cell>
        </row>
        <row r="2855">
          <cell r="A2855" t="str">
            <v>7700523</v>
          </cell>
          <cell r="B2855" t="str">
            <v>정　광　섭</v>
          </cell>
          <cell r="C2855" t="str">
            <v>7700523정　광　섭</v>
          </cell>
          <cell r="D2855" t="str">
            <v>CK50</v>
          </cell>
          <cell r="E2855" t="str">
            <v>정비  담당</v>
          </cell>
          <cell r="F2855" t="str">
            <v>2730</v>
          </cell>
          <cell r="G2855" t="str">
            <v>2730</v>
          </cell>
          <cell r="H2855" t="str">
            <v>19981001</v>
          </cell>
          <cell r="I2855">
            <v>2446198</v>
          </cell>
        </row>
        <row r="2856">
          <cell r="A2856" t="str">
            <v>9100708</v>
          </cell>
          <cell r="B2856" t="str">
            <v>정　길　태</v>
          </cell>
          <cell r="C2856" t="str">
            <v>9100708정　길　태</v>
          </cell>
          <cell r="D2856" t="str">
            <v>CK50</v>
          </cell>
          <cell r="E2856" t="str">
            <v>정비  담당</v>
          </cell>
          <cell r="F2856" t="str">
            <v>2730</v>
          </cell>
          <cell r="G2856" t="str">
            <v>2730</v>
          </cell>
          <cell r="H2856" t="str">
            <v>19970705</v>
          </cell>
          <cell r="I2856">
            <v>3682722</v>
          </cell>
        </row>
        <row r="2857">
          <cell r="A2857" t="str">
            <v>9210677</v>
          </cell>
          <cell r="B2857" t="str">
            <v>정　남　표</v>
          </cell>
          <cell r="C2857" t="str">
            <v>9210677정　남　표</v>
          </cell>
          <cell r="D2857" t="str">
            <v>CK50</v>
          </cell>
          <cell r="E2857" t="str">
            <v>정비  담당</v>
          </cell>
          <cell r="F2857" t="str">
            <v>2730</v>
          </cell>
          <cell r="G2857" t="str">
            <v>2670</v>
          </cell>
          <cell r="H2857" t="str">
            <v>19920215</v>
          </cell>
          <cell r="I2857">
            <v>13992957</v>
          </cell>
        </row>
        <row r="2858">
          <cell r="A2858" t="str">
            <v>8000640</v>
          </cell>
          <cell r="B2858" t="str">
            <v>정　덕　상</v>
          </cell>
          <cell r="C2858" t="str">
            <v>8000640정　덕　상</v>
          </cell>
          <cell r="D2858" t="str">
            <v>CK50</v>
          </cell>
          <cell r="E2858" t="str">
            <v>정비  담당</v>
          </cell>
          <cell r="F2858" t="str">
            <v>2730</v>
          </cell>
          <cell r="G2858" t="str">
            <v>2730</v>
          </cell>
          <cell r="H2858" t="str">
            <v>19801211</v>
          </cell>
          <cell r="I2858">
            <v>34940325</v>
          </cell>
          <cell r="J2858" t="str">
            <v>5 월</v>
          </cell>
          <cell r="K2858">
            <v>35881783</v>
          </cell>
        </row>
        <row r="2859">
          <cell r="A2859" t="str">
            <v>9204647</v>
          </cell>
          <cell r="B2859" t="str">
            <v>정　재　웅</v>
          </cell>
          <cell r="C2859" t="str">
            <v>9204647정　재　웅</v>
          </cell>
          <cell r="D2859" t="str">
            <v>CK50</v>
          </cell>
          <cell r="E2859" t="str">
            <v>정비  담당</v>
          </cell>
          <cell r="F2859" t="str">
            <v>2730</v>
          </cell>
          <cell r="G2859" t="str">
            <v>2730</v>
          </cell>
          <cell r="H2859" t="str">
            <v>19920801</v>
          </cell>
          <cell r="I2859">
            <v>9926748</v>
          </cell>
        </row>
        <row r="2860">
          <cell r="A2860" t="str">
            <v>9200294</v>
          </cell>
          <cell r="B2860" t="str">
            <v>정　재　홍</v>
          </cell>
          <cell r="C2860" t="str">
            <v>9200294정　재　홍</v>
          </cell>
          <cell r="D2860" t="str">
            <v>CK50</v>
          </cell>
          <cell r="E2860" t="str">
            <v>정비  담당</v>
          </cell>
          <cell r="F2860" t="str">
            <v>2730</v>
          </cell>
          <cell r="G2860" t="str">
            <v>2730</v>
          </cell>
          <cell r="H2860" t="str">
            <v>19920106</v>
          </cell>
          <cell r="I2860">
            <v>11797090</v>
          </cell>
        </row>
        <row r="2861">
          <cell r="A2861" t="str">
            <v>7700354</v>
          </cell>
          <cell r="B2861" t="str">
            <v>조　문　형</v>
          </cell>
          <cell r="C2861" t="str">
            <v>7700354조　문　형</v>
          </cell>
          <cell r="D2861" t="str">
            <v>CK50</v>
          </cell>
          <cell r="E2861" t="str">
            <v>정비  담당</v>
          </cell>
          <cell r="F2861" t="str">
            <v>2730</v>
          </cell>
          <cell r="G2861" t="str">
            <v>2730</v>
          </cell>
          <cell r="H2861" t="str">
            <v>19770610</v>
          </cell>
          <cell r="I2861">
            <v>42220266</v>
          </cell>
        </row>
        <row r="2862">
          <cell r="A2862" t="str">
            <v>9306764</v>
          </cell>
          <cell r="B2862" t="str">
            <v>조　한　백</v>
          </cell>
          <cell r="C2862" t="str">
            <v>9306764조　한　백</v>
          </cell>
          <cell r="D2862" t="str">
            <v>CK50</v>
          </cell>
          <cell r="E2862" t="str">
            <v>정비  담당</v>
          </cell>
          <cell r="F2862" t="str">
            <v>2730</v>
          </cell>
          <cell r="G2862" t="str">
            <v>2730</v>
          </cell>
          <cell r="H2862" t="str">
            <v>19931018</v>
          </cell>
          <cell r="I2862">
            <v>8266622</v>
          </cell>
        </row>
        <row r="2863">
          <cell r="A2863" t="str">
            <v>7900154</v>
          </cell>
          <cell r="B2863" t="str">
            <v>조　휘　송</v>
          </cell>
          <cell r="C2863" t="str">
            <v>7900154조　휘　송</v>
          </cell>
          <cell r="D2863" t="str">
            <v>CK50</v>
          </cell>
          <cell r="E2863" t="str">
            <v>정비  담당</v>
          </cell>
          <cell r="F2863" t="str">
            <v>2730</v>
          </cell>
          <cell r="G2863" t="str">
            <v>2730</v>
          </cell>
          <cell r="H2863" t="str">
            <v>19981201</v>
          </cell>
          <cell r="I2863">
            <v>2663722</v>
          </cell>
        </row>
        <row r="2864">
          <cell r="A2864" t="str">
            <v>8401443</v>
          </cell>
          <cell r="B2864" t="str">
            <v>주　광　춘</v>
          </cell>
          <cell r="C2864" t="str">
            <v>8401443주　광　춘</v>
          </cell>
          <cell r="D2864" t="str">
            <v>CK50</v>
          </cell>
          <cell r="E2864" t="str">
            <v>정비  담당</v>
          </cell>
          <cell r="F2864" t="str">
            <v>2730</v>
          </cell>
          <cell r="G2864" t="str">
            <v>2730</v>
          </cell>
          <cell r="H2864" t="str">
            <v>19841201</v>
          </cell>
          <cell r="I2864">
            <v>27091213</v>
          </cell>
        </row>
        <row r="2865">
          <cell r="A2865" t="str">
            <v>9610198</v>
          </cell>
          <cell r="B2865" t="str">
            <v>지　준　희</v>
          </cell>
          <cell r="C2865" t="str">
            <v>9610198지　준　희</v>
          </cell>
          <cell r="D2865" t="str">
            <v>CK50</v>
          </cell>
          <cell r="E2865" t="str">
            <v>정비  담당</v>
          </cell>
          <cell r="F2865" t="str">
            <v>2730</v>
          </cell>
          <cell r="G2865" t="str">
            <v>2730</v>
          </cell>
          <cell r="H2865" t="str">
            <v>19960416</v>
          </cell>
          <cell r="I2865">
            <v>4933026</v>
          </cell>
        </row>
        <row r="2866">
          <cell r="A2866" t="str">
            <v>7810312</v>
          </cell>
          <cell r="B2866" t="str">
            <v>최　경　남</v>
          </cell>
          <cell r="C2866" t="str">
            <v>7810312최　경　남</v>
          </cell>
          <cell r="D2866" t="str">
            <v>CK50</v>
          </cell>
          <cell r="E2866" t="str">
            <v>정비  담당</v>
          </cell>
          <cell r="F2866" t="str">
            <v>2730</v>
          </cell>
          <cell r="G2866" t="str">
            <v>2670</v>
          </cell>
          <cell r="H2866" t="str">
            <v>19780516</v>
          </cell>
          <cell r="I2866">
            <v>39693028</v>
          </cell>
        </row>
        <row r="2867">
          <cell r="A2867" t="str">
            <v>9211173</v>
          </cell>
          <cell r="B2867" t="str">
            <v>최　상　규</v>
          </cell>
          <cell r="C2867" t="str">
            <v>9211173최　상　규</v>
          </cell>
          <cell r="D2867" t="str">
            <v>CK50</v>
          </cell>
          <cell r="E2867" t="str">
            <v>정비  담당</v>
          </cell>
          <cell r="F2867" t="str">
            <v>2730</v>
          </cell>
          <cell r="G2867" t="str">
            <v>2730</v>
          </cell>
          <cell r="H2867" t="str">
            <v>19920501</v>
          </cell>
          <cell r="I2867">
            <v>11392368</v>
          </cell>
        </row>
        <row r="2868">
          <cell r="A2868" t="str">
            <v>9002957</v>
          </cell>
          <cell r="B2868" t="str">
            <v>최　영　산</v>
          </cell>
          <cell r="C2868" t="str">
            <v>9002957최　영　산</v>
          </cell>
          <cell r="D2868" t="str">
            <v>CK50</v>
          </cell>
          <cell r="E2868" t="str">
            <v>정비  담당</v>
          </cell>
          <cell r="F2868" t="str">
            <v>2730</v>
          </cell>
          <cell r="G2868" t="str">
            <v>2730</v>
          </cell>
          <cell r="H2868" t="str">
            <v>19900302</v>
          </cell>
          <cell r="I2868">
            <v>13065768</v>
          </cell>
        </row>
        <row r="2869">
          <cell r="A2869" t="str">
            <v>9306180</v>
          </cell>
          <cell r="B2869" t="str">
            <v>한　성　한</v>
          </cell>
          <cell r="C2869" t="str">
            <v>9306180한　성　한</v>
          </cell>
          <cell r="D2869" t="str">
            <v>CK50</v>
          </cell>
          <cell r="E2869" t="str">
            <v>정비  담당</v>
          </cell>
          <cell r="F2869" t="str">
            <v>2730</v>
          </cell>
          <cell r="G2869" t="str">
            <v>2730</v>
          </cell>
          <cell r="H2869" t="str">
            <v>19930916</v>
          </cell>
          <cell r="I2869">
            <v>8249725</v>
          </cell>
        </row>
        <row r="2870">
          <cell r="A2870" t="str">
            <v>9402884</v>
          </cell>
          <cell r="B2870" t="str">
            <v>허　병　현</v>
          </cell>
          <cell r="C2870" t="str">
            <v>9402884허　병　현</v>
          </cell>
          <cell r="D2870" t="str">
            <v>CK50</v>
          </cell>
          <cell r="E2870" t="str">
            <v>정비  담당</v>
          </cell>
          <cell r="F2870" t="str">
            <v>2730</v>
          </cell>
          <cell r="G2870" t="str">
            <v>2730</v>
          </cell>
          <cell r="H2870" t="str">
            <v>19940502</v>
          </cell>
          <cell r="I2870">
            <v>7385925</v>
          </cell>
        </row>
        <row r="2871">
          <cell r="A2871" t="str">
            <v>8502063</v>
          </cell>
          <cell r="B2871" t="str">
            <v>허　영　태</v>
          </cell>
          <cell r="C2871" t="str">
            <v>8502063허　영　태</v>
          </cell>
          <cell r="D2871" t="str">
            <v>CK50</v>
          </cell>
          <cell r="E2871" t="str">
            <v>정비  담당</v>
          </cell>
          <cell r="F2871" t="str">
            <v>2730</v>
          </cell>
          <cell r="G2871" t="str">
            <v>2730</v>
          </cell>
          <cell r="H2871" t="str">
            <v>19850805</v>
          </cell>
          <cell r="I2871">
            <v>25311605</v>
          </cell>
        </row>
        <row r="2872">
          <cell r="A2872" t="str">
            <v>8250017</v>
          </cell>
          <cell r="B2872" t="str">
            <v>홍　성　영</v>
          </cell>
          <cell r="C2872" t="str">
            <v>8250017홍　성　영</v>
          </cell>
          <cell r="D2872" t="str">
            <v>CK50</v>
          </cell>
          <cell r="E2872" t="str">
            <v>정비  담당</v>
          </cell>
          <cell r="F2872" t="str">
            <v>2730</v>
          </cell>
          <cell r="G2872" t="str">
            <v>2730</v>
          </cell>
          <cell r="H2872" t="str">
            <v>19820104</v>
          </cell>
          <cell r="I2872">
            <v>23159815</v>
          </cell>
        </row>
        <row r="2873">
          <cell r="A2873" t="str">
            <v>9600682</v>
          </cell>
          <cell r="B2873" t="str">
            <v>황　희　섭</v>
          </cell>
          <cell r="C2873" t="str">
            <v>9600682황　희　섭</v>
          </cell>
          <cell r="D2873" t="str">
            <v>CK50</v>
          </cell>
          <cell r="E2873" t="str">
            <v>정비  담당</v>
          </cell>
          <cell r="F2873" t="str">
            <v>2730</v>
          </cell>
          <cell r="G2873" t="str">
            <v>2730</v>
          </cell>
          <cell r="H2873" t="str">
            <v>19960909</v>
          </cell>
          <cell r="I2873">
            <v>4158592</v>
          </cell>
        </row>
        <row r="2874">
          <cell r="A2874" t="str">
            <v>8811696</v>
          </cell>
          <cell r="B2874" t="str">
            <v>구　교　훈</v>
          </cell>
          <cell r="C2874" t="str">
            <v>8811696구　교　훈</v>
          </cell>
          <cell r="D2874" t="str">
            <v>CK70</v>
          </cell>
          <cell r="E2874" t="str">
            <v>정비  담당</v>
          </cell>
          <cell r="F2874" t="str">
            <v>2730</v>
          </cell>
          <cell r="G2874" t="str">
            <v>2653</v>
          </cell>
          <cell r="H2874" t="str">
            <v>19881101</v>
          </cell>
          <cell r="I2874">
            <v>19447426</v>
          </cell>
        </row>
        <row r="2875">
          <cell r="A2875" t="str">
            <v>8811707</v>
          </cell>
          <cell r="B2875" t="str">
            <v>김　광　년</v>
          </cell>
          <cell r="C2875" t="str">
            <v>8811707김　광　년</v>
          </cell>
          <cell r="D2875" t="str">
            <v>CK70</v>
          </cell>
          <cell r="E2875" t="str">
            <v>정비  담당</v>
          </cell>
          <cell r="F2875" t="str">
            <v>2730</v>
          </cell>
          <cell r="G2875" t="str">
            <v>2653</v>
          </cell>
          <cell r="H2875" t="str">
            <v>19881101</v>
          </cell>
          <cell r="I2875">
            <v>18470885</v>
          </cell>
        </row>
        <row r="2876">
          <cell r="A2876" t="str">
            <v>9210778</v>
          </cell>
          <cell r="B2876" t="str">
            <v>김　만　기</v>
          </cell>
          <cell r="C2876" t="str">
            <v>9210778김　만　기</v>
          </cell>
          <cell r="D2876" t="str">
            <v>CK70</v>
          </cell>
          <cell r="E2876" t="str">
            <v>정비  담당</v>
          </cell>
          <cell r="F2876" t="str">
            <v>2730</v>
          </cell>
          <cell r="G2876" t="str">
            <v>2654</v>
          </cell>
          <cell r="H2876" t="str">
            <v>19920215</v>
          </cell>
          <cell r="I2876">
            <v>13353818</v>
          </cell>
        </row>
        <row r="2877">
          <cell r="A2877" t="str">
            <v>9010091</v>
          </cell>
          <cell r="B2877" t="str">
            <v>김　성　수</v>
          </cell>
          <cell r="C2877" t="str">
            <v>9010091김　성　수</v>
          </cell>
          <cell r="D2877" t="str">
            <v>CK70</v>
          </cell>
          <cell r="E2877" t="str">
            <v>정비  담당</v>
          </cell>
          <cell r="F2877" t="str">
            <v>2730</v>
          </cell>
          <cell r="G2877" t="str">
            <v>2653</v>
          </cell>
          <cell r="H2877" t="str">
            <v>19900216</v>
          </cell>
          <cell r="I2877">
            <v>15679753</v>
          </cell>
        </row>
        <row r="2878">
          <cell r="A2878" t="str">
            <v>9310127</v>
          </cell>
          <cell r="B2878" t="str">
            <v>김　영　묘</v>
          </cell>
          <cell r="C2878" t="str">
            <v>9310127김　영　묘</v>
          </cell>
          <cell r="D2878" t="str">
            <v>CK70</v>
          </cell>
          <cell r="E2878" t="str">
            <v>정비  담당</v>
          </cell>
          <cell r="F2878" t="str">
            <v>2730</v>
          </cell>
          <cell r="G2878" t="str">
            <v>2653</v>
          </cell>
          <cell r="H2878" t="str">
            <v>19930316</v>
          </cell>
          <cell r="I2878">
            <v>9860514</v>
          </cell>
        </row>
        <row r="2879">
          <cell r="A2879" t="str">
            <v>9610132</v>
          </cell>
          <cell r="B2879" t="str">
            <v>김　준　석</v>
          </cell>
          <cell r="C2879" t="str">
            <v>9610132김　준　석</v>
          </cell>
          <cell r="D2879" t="str">
            <v>CK70</v>
          </cell>
          <cell r="E2879" t="str">
            <v>정비  담당</v>
          </cell>
          <cell r="F2879" t="str">
            <v>2730</v>
          </cell>
          <cell r="G2879" t="str">
            <v>2653</v>
          </cell>
          <cell r="H2879" t="str">
            <v>19960401</v>
          </cell>
          <cell r="I2879">
            <v>3952014</v>
          </cell>
        </row>
        <row r="2880">
          <cell r="A2880" t="str">
            <v>9011711</v>
          </cell>
          <cell r="B2880" t="str">
            <v>문　설　기</v>
          </cell>
          <cell r="C2880" t="str">
            <v>9011711문　설　기</v>
          </cell>
          <cell r="D2880" t="str">
            <v>CK70</v>
          </cell>
          <cell r="E2880" t="str">
            <v>정비  담당</v>
          </cell>
          <cell r="F2880" t="str">
            <v>2730</v>
          </cell>
          <cell r="G2880" t="str">
            <v>2654</v>
          </cell>
          <cell r="H2880" t="str">
            <v>19900601</v>
          </cell>
          <cell r="I2880">
            <v>19762905</v>
          </cell>
        </row>
        <row r="2881">
          <cell r="A2881" t="str">
            <v>9212466</v>
          </cell>
          <cell r="B2881" t="str">
            <v>안　성　호</v>
          </cell>
          <cell r="C2881" t="str">
            <v>9212466안　성　호</v>
          </cell>
          <cell r="D2881" t="str">
            <v>CK70</v>
          </cell>
          <cell r="E2881" t="str">
            <v>정비  담당</v>
          </cell>
          <cell r="F2881" t="str">
            <v>2730</v>
          </cell>
          <cell r="G2881" t="str">
            <v>2654</v>
          </cell>
          <cell r="H2881" t="str">
            <v>19921221</v>
          </cell>
          <cell r="I2881">
            <v>10328974</v>
          </cell>
        </row>
        <row r="2882">
          <cell r="A2882" t="str">
            <v>9310105</v>
          </cell>
          <cell r="B2882" t="str">
            <v>윤　민　수</v>
          </cell>
          <cell r="C2882" t="str">
            <v>9310105윤　민　수</v>
          </cell>
          <cell r="D2882" t="str">
            <v>CK70</v>
          </cell>
          <cell r="E2882" t="str">
            <v>정비  담당</v>
          </cell>
          <cell r="F2882" t="str">
            <v>2730</v>
          </cell>
          <cell r="G2882" t="str">
            <v>2653</v>
          </cell>
          <cell r="H2882" t="str">
            <v>19930316</v>
          </cell>
          <cell r="I2882">
            <v>9879159</v>
          </cell>
        </row>
        <row r="2883">
          <cell r="A2883" t="str">
            <v>9511661</v>
          </cell>
          <cell r="B2883" t="str">
            <v>윤　흥　국</v>
          </cell>
          <cell r="C2883" t="str">
            <v>9511661윤　흥　국</v>
          </cell>
          <cell r="D2883" t="str">
            <v>CK70</v>
          </cell>
          <cell r="E2883" t="str">
            <v>정비  담당</v>
          </cell>
          <cell r="F2883" t="str">
            <v>2730</v>
          </cell>
          <cell r="G2883" t="str">
            <v>2654</v>
          </cell>
          <cell r="H2883" t="str">
            <v>19951201</v>
          </cell>
          <cell r="I2883">
            <v>5322624</v>
          </cell>
        </row>
        <row r="2884">
          <cell r="A2884" t="str">
            <v>8110653</v>
          </cell>
          <cell r="B2884" t="str">
            <v>이　원　일</v>
          </cell>
          <cell r="C2884" t="str">
            <v>8110653이　원　일</v>
          </cell>
          <cell r="D2884" t="str">
            <v>CK70</v>
          </cell>
          <cell r="E2884" t="str">
            <v>정비  담당</v>
          </cell>
          <cell r="F2884" t="str">
            <v>2730</v>
          </cell>
          <cell r="G2884" t="str">
            <v>2654</v>
          </cell>
          <cell r="H2884" t="str">
            <v>19991001</v>
          </cell>
          <cell r="I2884">
            <v>514683</v>
          </cell>
        </row>
        <row r="2885">
          <cell r="A2885" t="str">
            <v>9010890</v>
          </cell>
          <cell r="B2885" t="str">
            <v>이　준　형</v>
          </cell>
          <cell r="C2885" t="str">
            <v>9010890이　준　형</v>
          </cell>
          <cell r="D2885" t="str">
            <v>CK70</v>
          </cell>
          <cell r="E2885" t="str">
            <v>정비  담당</v>
          </cell>
          <cell r="F2885" t="str">
            <v>2730</v>
          </cell>
          <cell r="G2885" t="str">
            <v>2654</v>
          </cell>
          <cell r="H2885" t="str">
            <v>19900601</v>
          </cell>
          <cell r="I2885">
            <v>18226863</v>
          </cell>
        </row>
        <row r="2886">
          <cell r="A2886" t="str">
            <v>9010078</v>
          </cell>
          <cell r="B2886" t="str">
            <v>이　준　호</v>
          </cell>
          <cell r="C2886" t="str">
            <v>9010078이　준　호</v>
          </cell>
          <cell r="D2886" t="str">
            <v>CK70</v>
          </cell>
          <cell r="E2886" t="str">
            <v>정비  담당</v>
          </cell>
          <cell r="F2886" t="str">
            <v>2730</v>
          </cell>
          <cell r="G2886" t="str">
            <v>2654</v>
          </cell>
          <cell r="H2886" t="str">
            <v>19900216</v>
          </cell>
          <cell r="I2886">
            <v>15284787</v>
          </cell>
        </row>
        <row r="2887">
          <cell r="A2887" t="str">
            <v>8510073</v>
          </cell>
          <cell r="B2887" t="str">
            <v>장　수　익</v>
          </cell>
          <cell r="C2887" t="str">
            <v>8510073장　수　익</v>
          </cell>
          <cell r="D2887" t="str">
            <v>CK70</v>
          </cell>
          <cell r="E2887" t="str">
            <v>정비  담당</v>
          </cell>
          <cell r="F2887" t="str">
            <v>2730</v>
          </cell>
          <cell r="G2887" t="str">
            <v>2653</v>
          </cell>
          <cell r="H2887" t="str">
            <v>19850401</v>
          </cell>
          <cell r="I2887">
            <v>29424903</v>
          </cell>
        </row>
        <row r="2888">
          <cell r="A2888" t="str">
            <v>9411197</v>
          </cell>
          <cell r="B2888" t="str">
            <v>정　진　한</v>
          </cell>
          <cell r="C2888" t="str">
            <v>9411197정　진　한</v>
          </cell>
          <cell r="D2888" t="str">
            <v>CK70</v>
          </cell>
          <cell r="E2888" t="str">
            <v>정비  담당</v>
          </cell>
          <cell r="F2888" t="str">
            <v>2730</v>
          </cell>
          <cell r="G2888" t="str">
            <v>2653</v>
          </cell>
          <cell r="H2888" t="str">
            <v>19940721</v>
          </cell>
          <cell r="I2888">
            <v>7263470</v>
          </cell>
        </row>
        <row r="2889">
          <cell r="A2889" t="str">
            <v>8811718</v>
          </cell>
          <cell r="B2889" t="str">
            <v>최　선　호</v>
          </cell>
          <cell r="C2889" t="str">
            <v>8811718최　선　호</v>
          </cell>
          <cell r="D2889" t="str">
            <v>CK70</v>
          </cell>
          <cell r="E2889" t="str">
            <v>정비  담당</v>
          </cell>
          <cell r="F2889" t="str">
            <v>2730</v>
          </cell>
          <cell r="G2889" t="str">
            <v>2654</v>
          </cell>
          <cell r="H2889" t="str">
            <v>19881101</v>
          </cell>
          <cell r="I2889">
            <v>18463861</v>
          </cell>
        </row>
        <row r="2890">
          <cell r="A2890" t="str">
            <v>9411186</v>
          </cell>
          <cell r="B2890" t="str">
            <v>홍　기　표</v>
          </cell>
          <cell r="C2890" t="str">
            <v>9411186홍　기　표</v>
          </cell>
          <cell r="D2890" t="str">
            <v>CK70</v>
          </cell>
          <cell r="E2890" t="str">
            <v>정비  담당</v>
          </cell>
          <cell r="F2890" t="str">
            <v>2730</v>
          </cell>
          <cell r="G2890" t="str">
            <v>2653</v>
          </cell>
          <cell r="H2890" t="str">
            <v>19940721</v>
          </cell>
          <cell r="I2890">
            <v>7769655</v>
          </cell>
        </row>
        <row r="2891">
          <cell r="A2891" t="str">
            <v>9612180</v>
          </cell>
          <cell r="B2891" t="str">
            <v>황　양　호</v>
          </cell>
          <cell r="C2891" t="str">
            <v>9612180황　양　호</v>
          </cell>
          <cell r="D2891" t="str">
            <v>CK70</v>
          </cell>
          <cell r="E2891" t="str">
            <v>정비  담당</v>
          </cell>
          <cell r="F2891" t="str">
            <v>2730</v>
          </cell>
          <cell r="G2891" t="str">
            <v>2653</v>
          </cell>
          <cell r="H2891" t="str">
            <v>19960816</v>
          </cell>
          <cell r="I2891">
            <v>4348046</v>
          </cell>
        </row>
        <row r="2892">
          <cell r="A2892" t="str">
            <v>9001078</v>
          </cell>
          <cell r="B2892" t="str">
            <v>강　원　　</v>
          </cell>
          <cell r="C2892" t="str">
            <v>9001078강　원　　</v>
          </cell>
          <cell r="D2892" t="str">
            <v>CK60</v>
          </cell>
          <cell r="E2892" t="str">
            <v>GSE지원담당</v>
          </cell>
          <cell r="F2892" t="str">
            <v>2740</v>
          </cell>
          <cell r="G2892" t="str">
            <v>2740</v>
          </cell>
          <cell r="H2892" t="str">
            <v>19900301</v>
          </cell>
          <cell r="I2892">
            <v>15152142</v>
          </cell>
        </row>
        <row r="2893">
          <cell r="A2893" t="str">
            <v>9503100</v>
          </cell>
          <cell r="B2893" t="str">
            <v>권　태　운</v>
          </cell>
          <cell r="C2893" t="str">
            <v>9503100권　태　운</v>
          </cell>
          <cell r="D2893" t="str">
            <v>CK60</v>
          </cell>
          <cell r="E2893" t="str">
            <v>GSE지원담당</v>
          </cell>
          <cell r="F2893" t="str">
            <v>2740</v>
          </cell>
          <cell r="G2893" t="str">
            <v>2740</v>
          </cell>
          <cell r="H2893" t="str">
            <v>19951106</v>
          </cell>
          <cell r="I2893">
            <v>5471410</v>
          </cell>
        </row>
        <row r="2894">
          <cell r="A2894" t="str">
            <v>9104578</v>
          </cell>
          <cell r="B2894" t="str">
            <v>김　도　환</v>
          </cell>
          <cell r="C2894" t="str">
            <v>9104578김　도　환</v>
          </cell>
          <cell r="D2894" t="str">
            <v>CK60</v>
          </cell>
          <cell r="E2894" t="str">
            <v>GSE지원담당</v>
          </cell>
          <cell r="F2894" t="str">
            <v>2740</v>
          </cell>
          <cell r="G2894" t="str">
            <v>2740</v>
          </cell>
          <cell r="H2894" t="str">
            <v>19911016</v>
          </cell>
          <cell r="I2894">
            <v>12771915</v>
          </cell>
        </row>
        <row r="2895">
          <cell r="A2895" t="str">
            <v>9001067</v>
          </cell>
          <cell r="B2895" t="str">
            <v>김　문　수</v>
          </cell>
          <cell r="C2895" t="str">
            <v>9001067김　문　수</v>
          </cell>
          <cell r="D2895" t="str">
            <v>CK60</v>
          </cell>
          <cell r="E2895" t="str">
            <v>GSE지원담당</v>
          </cell>
          <cell r="F2895" t="str">
            <v>2740</v>
          </cell>
          <cell r="G2895" t="str">
            <v>2740</v>
          </cell>
          <cell r="H2895" t="str">
            <v>19900301</v>
          </cell>
          <cell r="I2895">
            <v>15000121</v>
          </cell>
        </row>
        <row r="2896">
          <cell r="A2896" t="str">
            <v>9402873</v>
          </cell>
          <cell r="B2896" t="str">
            <v>김　용　주</v>
          </cell>
          <cell r="C2896" t="str">
            <v>9402873김　용　주</v>
          </cell>
          <cell r="D2896" t="str">
            <v>CK60</v>
          </cell>
          <cell r="E2896" t="str">
            <v>GSE지원담당</v>
          </cell>
          <cell r="F2896" t="str">
            <v>2740</v>
          </cell>
          <cell r="G2896" t="e">
            <v>#N/A</v>
          </cell>
          <cell r="H2896" t="str">
            <v>19940502</v>
          </cell>
          <cell r="I2896">
            <v>7260744</v>
          </cell>
          <cell r="J2896" t="str">
            <v>7 월</v>
          </cell>
          <cell r="K2896">
            <v>8078543</v>
          </cell>
        </row>
        <row r="2897">
          <cell r="A2897" t="str">
            <v>9701998</v>
          </cell>
          <cell r="B2897" t="str">
            <v>김　종　근</v>
          </cell>
          <cell r="C2897" t="str">
            <v>9701998김　종　근</v>
          </cell>
          <cell r="D2897" t="str">
            <v>CK60</v>
          </cell>
          <cell r="E2897" t="str">
            <v>GSE지원담당</v>
          </cell>
          <cell r="F2897" t="str">
            <v>2740</v>
          </cell>
          <cell r="G2897" t="str">
            <v>2740</v>
          </cell>
          <cell r="H2897" t="str">
            <v>19970701</v>
          </cell>
          <cell r="I2897">
            <v>3184248</v>
          </cell>
        </row>
        <row r="2898">
          <cell r="A2898" t="str">
            <v>8000414</v>
          </cell>
          <cell r="B2898" t="str">
            <v>김　진　수</v>
          </cell>
          <cell r="C2898" t="str">
            <v>8000414김　진　수</v>
          </cell>
          <cell r="D2898" t="str">
            <v>CK60</v>
          </cell>
          <cell r="E2898" t="str">
            <v>GSE지원담당</v>
          </cell>
          <cell r="F2898" t="str">
            <v>2740</v>
          </cell>
          <cell r="G2898" t="str">
            <v>2740</v>
          </cell>
          <cell r="H2898" t="str">
            <v>19801101</v>
          </cell>
          <cell r="I2898">
            <v>35324965</v>
          </cell>
        </row>
        <row r="2899">
          <cell r="A2899" t="str">
            <v>8500386</v>
          </cell>
          <cell r="B2899" t="str">
            <v>김　한　기</v>
          </cell>
          <cell r="C2899" t="str">
            <v>8500386김　한　기</v>
          </cell>
          <cell r="D2899" t="str">
            <v>CK60</v>
          </cell>
          <cell r="E2899" t="str">
            <v>GSE지원담당</v>
          </cell>
          <cell r="F2899" t="str">
            <v>2740</v>
          </cell>
          <cell r="G2899" t="str">
            <v>2740</v>
          </cell>
          <cell r="H2899" t="str">
            <v>19981211</v>
          </cell>
          <cell r="I2899">
            <v>1810720</v>
          </cell>
        </row>
        <row r="2900">
          <cell r="A2900" t="str">
            <v>9550620</v>
          </cell>
          <cell r="B2900" t="str">
            <v>나　지　영</v>
          </cell>
          <cell r="C2900" t="str">
            <v>9550620나　지　영</v>
          </cell>
          <cell r="D2900" t="str">
            <v>CK60</v>
          </cell>
          <cell r="E2900" t="str">
            <v>GSE지원담당</v>
          </cell>
          <cell r="F2900" t="str">
            <v>2740</v>
          </cell>
          <cell r="G2900" t="str">
            <v>2730</v>
          </cell>
          <cell r="H2900" t="str">
            <v>19951005</v>
          </cell>
          <cell r="I2900">
            <v>3780495</v>
          </cell>
        </row>
        <row r="2901">
          <cell r="A2901" t="str">
            <v>9402794</v>
          </cell>
          <cell r="B2901" t="str">
            <v>선　석　민</v>
          </cell>
          <cell r="C2901" t="str">
            <v>9402794선　석　민</v>
          </cell>
          <cell r="D2901" t="str">
            <v>CK60</v>
          </cell>
          <cell r="E2901" t="str">
            <v>GSE지원담당</v>
          </cell>
          <cell r="F2901" t="str">
            <v>2740</v>
          </cell>
          <cell r="G2901" t="str">
            <v>2740</v>
          </cell>
          <cell r="H2901" t="str">
            <v>19940502</v>
          </cell>
          <cell r="I2901">
            <v>8245923</v>
          </cell>
        </row>
        <row r="2902">
          <cell r="A2902" t="str">
            <v>9701987</v>
          </cell>
          <cell r="B2902" t="str">
            <v>성　의　현</v>
          </cell>
          <cell r="C2902" t="str">
            <v>9701987성　의　현</v>
          </cell>
          <cell r="D2902" t="str">
            <v>CK60</v>
          </cell>
          <cell r="E2902" t="str">
            <v>GSE지원담당</v>
          </cell>
          <cell r="F2902" t="str">
            <v>2740</v>
          </cell>
          <cell r="G2902" t="str">
            <v>2740</v>
          </cell>
          <cell r="H2902" t="str">
            <v>19970701</v>
          </cell>
          <cell r="I2902">
            <v>3124072</v>
          </cell>
        </row>
        <row r="2903">
          <cell r="A2903" t="str">
            <v>8604448</v>
          </cell>
          <cell r="B2903" t="str">
            <v>신　유　호</v>
          </cell>
          <cell r="C2903" t="str">
            <v>8604448신　유　호</v>
          </cell>
          <cell r="D2903" t="str">
            <v>CK60</v>
          </cell>
          <cell r="E2903" t="str">
            <v>GSE지원담당</v>
          </cell>
          <cell r="F2903" t="str">
            <v>2740</v>
          </cell>
          <cell r="G2903" t="str">
            <v>2740</v>
          </cell>
          <cell r="H2903" t="str">
            <v>19861020</v>
          </cell>
          <cell r="I2903">
            <v>23921818</v>
          </cell>
        </row>
        <row r="2904">
          <cell r="A2904" t="str">
            <v>9203815</v>
          </cell>
          <cell r="B2904" t="str">
            <v>왕　석　훈</v>
          </cell>
          <cell r="C2904" t="str">
            <v>9203815왕　석　훈</v>
          </cell>
          <cell r="D2904" t="str">
            <v>CK60</v>
          </cell>
          <cell r="E2904" t="str">
            <v>GSE지원담당</v>
          </cell>
          <cell r="F2904" t="str">
            <v>2740</v>
          </cell>
          <cell r="G2904" t="str">
            <v>2740</v>
          </cell>
          <cell r="H2904" t="str">
            <v>19920701</v>
          </cell>
          <cell r="I2904">
            <v>9849754</v>
          </cell>
        </row>
        <row r="2905">
          <cell r="A2905" t="str">
            <v>8400701</v>
          </cell>
          <cell r="B2905" t="str">
            <v>윤　자　근</v>
          </cell>
          <cell r="C2905" t="str">
            <v>8400701윤　자　근</v>
          </cell>
          <cell r="D2905" t="str">
            <v>CK60</v>
          </cell>
          <cell r="E2905" t="str">
            <v>GSE지원담당</v>
          </cell>
          <cell r="F2905" t="str">
            <v>2740</v>
          </cell>
          <cell r="G2905" t="str">
            <v>2740</v>
          </cell>
          <cell r="H2905" t="str">
            <v>19840813</v>
          </cell>
          <cell r="I2905">
            <v>25375855</v>
          </cell>
        </row>
        <row r="2906">
          <cell r="A2906" t="str">
            <v>9402895</v>
          </cell>
          <cell r="B2906" t="str">
            <v>이　강　현</v>
          </cell>
          <cell r="C2906" t="str">
            <v>9402895이　강　현</v>
          </cell>
          <cell r="D2906" t="str">
            <v>CK60</v>
          </cell>
          <cell r="E2906" t="str">
            <v>GSE지원담당</v>
          </cell>
          <cell r="F2906" t="str">
            <v>2740</v>
          </cell>
          <cell r="G2906" t="str">
            <v>2740</v>
          </cell>
          <cell r="H2906" t="str">
            <v>19940502</v>
          </cell>
          <cell r="I2906">
            <v>7645724</v>
          </cell>
        </row>
        <row r="2907">
          <cell r="A2907" t="str">
            <v>9304841</v>
          </cell>
          <cell r="B2907" t="str">
            <v>이　관　호</v>
          </cell>
          <cell r="C2907" t="str">
            <v>9304841이　관　호</v>
          </cell>
          <cell r="D2907" t="str">
            <v>CK60</v>
          </cell>
          <cell r="E2907" t="str">
            <v>GSE지원담당</v>
          </cell>
          <cell r="F2907" t="str">
            <v>2740</v>
          </cell>
          <cell r="G2907" t="str">
            <v>2740</v>
          </cell>
          <cell r="H2907" t="str">
            <v>19930801</v>
          </cell>
          <cell r="I2907">
            <v>8425601</v>
          </cell>
        </row>
        <row r="2908">
          <cell r="A2908" t="str">
            <v>9202375</v>
          </cell>
          <cell r="B2908" t="str">
            <v>이　기　종</v>
          </cell>
          <cell r="C2908" t="str">
            <v>9202375이　기　종</v>
          </cell>
          <cell r="D2908" t="str">
            <v>CK60</v>
          </cell>
          <cell r="E2908" t="str">
            <v>GSE지원담당</v>
          </cell>
          <cell r="F2908" t="str">
            <v>2740</v>
          </cell>
          <cell r="G2908" t="str">
            <v>2740</v>
          </cell>
          <cell r="H2908" t="str">
            <v>19920501</v>
          </cell>
          <cell r="I2908">
            <v>10339442</v>
          </cell>
        </row>
        <row r="2909">
          <cell r="A2909" t="str">
            <v>9306808</v>
          </cell>
          <cell r="B2909" t="str">
            <v>이　동　욱</v>
          </cell>
          <cell r="C2909" t="str">
            <v>9306808이　동　욱</v>
          </cell>
          <cell r="D2909" t="str">
            <v>CK60</v>
          </cell>
          <cell r="E2909" t="str">
            <v>GSE지원담당</v>
          </cell>
          <cell r="F2909" t="str">
            <v>2740</v>
          </cell>
          <cell r="G2909" t="str">
            <v>2740</v>
          </cell>
          <cell r="H2909" t="str">
            <v>19931018</v>
          </cell>
          <cell r="I2909">
            <v>8183886</v>
          </cell>
        </row>
        <row r="2910">
          <cell r="A2910" t="str">
            <v>9303546</v>
          </cell>
          <cell r="B2910" t="str">
            <v>이　해　봉</v>
          </cell>
          <cell r="C2910" t="str">
            <v>9303546이　해　봉</v>
          </cell>
          <cell r="D2910" t="str">
            <v>CK60</v>
          </cell>
          <cell r="E2910" t="str">
            <v>GSE지원담당</v>
          </cell>
          <cell r="F2910" t="str">
            <v>2740</v>
          </cell>
          <cell r="G2910" t="str">
            <v>2740</v>
          </cell>
          <cell r="H2910" t="str">
            <v>19930616</v>
          </cell>
          <cell r="I2910">
            <v>8940193</v>
          </cell>
        </row>
        <row r="2911">
          <cell r="A2911" t="str">
            <v>8400958</v>
          </cell>
          <cell r="B2911" t="str">
            <v>장　봉　익</v>
          </cell>
          <cell r="C2911" t="str">
            <v>8400958장　봉　익</v>
          </cell>
          <cell r="D2911" t="str">
            <v>CK60</v>
          </cell>
          <cell r="E2911" t="str">
            <v>GSE지원담당</v>
          </cell>
          <cell r="F2911" t="str">
            <v>2740</v>
          </cell>
          <cell r="G2911" t="str">
            <v>2740</v>
          </cell>
          <cell r="H2911" t="str">
            <v>19840901</v>
          </cell>
          <cell r="I2911">
            <v>25720022</v>
          </cell>
        </row>
        <row r="2912">
          <cell r="A2912" t="str">
            <v>9701943</v>
          </cell>
          <cell r="B2912" t="str">
            <v>장　윤　식</v>
          </cell>
          <cell r="C2912" t="str">
            <v>9701943장　윤　식</v>
          </cell>
          <cell r="D2912" t="str">
            <v>CK60</v>
          </cell>
          <cell r="E2912" t="str">
            <v>GSE지원담당</v>
          </cell>
          <cell r="F2912" t="str">
            <v>2740</v>
          </cell>
          <cell r="G2912" t="str">
            <v>2740</v>
          </cell>
          <cell r="H2912" t="str">
            <v>19970701</v>
          </cell>
          <cell r="I2912">
            <v>3217976</v>
          </cell>
        </row>
        <row r="2913">
          <cell r="A2913" t="str">
            <v>8901325</v>
          </cell>
          <cell r="B2913" t="str">
            <v>전　민　수</v>
          </cell>
          <cell r="C2913" t="str">
            <v>8901325전　민　수</v>
          </cell>
          <cell r="D2913" t="str">
            <v>CK60</v>
          </cell>
          <cell r="E2913" t="str">
            <v>GSE지원담당</v>
          </cell>
          <cell r="F2913" t="str">
            <v>2740</v>
          </cell>
          <cell r="G2913" t="str">
            <v>2740</v>
          </cell>
          <cell r="H2913" t="str">
            <v>19890416</v>
          </cell>
          <cell r="I2913">
            <v>16906965</v>
          </cell>
        </row>
        <row r="2914">
          <cell r="A2914" t="str">
            <v>8100865</v>
          </cell>
          <cell r="B2914" t="str">
            <v>정　진　호</v>
          </cell>
          <cell r="C2914" t="str">
            <v>8100865정　진　호</v>
          </cell>
          <cell r="D2914" t="str">
            <v>CK60</v>
          </cell>
          <cell r="E2914" t="str">
            <v>GSE지원담당</v>
          </cell>
          <cell r="F2914" t="str">
            <v>2740</v>
          </cell>
          <cell r="G2914" t="str">
            <v>2740</v>
          </cell>
          <cell r="H2914" t="str">
            <v>19811124</v>
          </cell>
          <cell r="I2914">
            <v>33358053</v>
          </cell>
        </row>
        <row r="2915">
          <cell r="A2915" t="str">
            <v>8602222</v>
          </cell>
          <cell r="B2915" t="str">
            <v>조　병　일</v>
          </cell>
          <cell r="C2915" t="str">
            <v>8602222조　병　일</v>
          </cell>
          <cell r="D2915" t="str">
            <v>CK60</v>
          </cell>
          <cell r="E2915" t="str">
            <v>GSE지원담당</v>
          </cell>
          <cell r="F2915" t="str">
            <v>2740</v>
          </cell>
          <cell r="G2915" t="str">
            <v>2740</v>
          </cell>
          <cell r="H2915" t="str">
            <v>19860801</v>
          </cell>
          <cell r="I2915">
            <v>22075533</v>
          </cell>
        </row>
        <row r="2916">
          <cell r="A2916" t="str">
            <v>7800658</v>
          </cell>
          <cell r="B2916" t="str">
            <v>조　용　소</v>
          </cell>
          <cell r="C2916" t="str">
            <v>7800658조　용　소</v>
          </cell>
          <cell r="D2916" t="str">
            <v>CK60</v>
          </cell>
          <cell r="E2916" t="str">
            <v>GSE지원담당</v>
          </cell>
          <cell r="F2916" t="str">
            <v>2740</v>
          </cell>
          <cell r="G2916" t="str">
            <v>2740</v>
          </cell>
          <cell r="H2916" t="str">
            <v>19780822</v>
          </cell>
          <cell r="I2916">
            <v>47193883</v>
          </cell>
        </row>
        <row r="2917">
          <cell r="A2917" t="str">
            <v>9306786</v>
          </cell>
          <cell r="B2917" t="str">
            <v>조　재　현</v>
          </cell>
          <cell r="C2917" t="str">
            <v>9306786조　재　현</v>
          </cell>
          <cell r="D2917" t="str">
            <v>CK60</v>
          </cell>
          <cell r="E2917" t="str">
            <v>GSE지원담당</v>
          </cell>
          <cell r="F2917" t="str">
            <v>2740</v>
          </cell>
          <cell r="G2917" t="str">
            <v>2740</v>
          </cell>
          <cell r="H2917" t="str">
            <v>19931018</v>
          </cell>
          <cell r="I2917">
            <v>8277842</v>
          </cell>
        </row>
        <row r="2918">
          <cell r="A2918" t="str">
            <v>8300384</v>
          </cell>
          <cell r="B2918" t="str">
            <v>조　정　근</v>
          </cell>
          <cell r="C2918" t="str">
            <v>8300384조　정　근</v>
          </cell>
          <cell r="D2918" t="str">
            <v>CK60</v>
          </cell>
          <cell r="E2918" t="str">
            <v>GSE지원담당</v>
          </cell>
          <cell r="F2918" t="str">
            <v>2740</v>
          </cell>
          <cell r="G2918" t="str">
            <v>2740</v>
          </cell>
          <cell r="H2918" t="str">
            <v>19830601</v>
          </cell>
          <cell r="I2918">
            <v>28228091</v>
          </cell>
        </row>
        <row r="2919">
          <cell r="A2919" t="str">
            <v>9001102</v>
          </cell>
          <cell r="B2919" t="str">
            <v>채　동　철</v>
          </cell>
          <cell r="C2919" t="str">
            <v>9001102채　동　철</v>
          </cell>
          <cell r="D2919" t="str">
            <v>CK60</v>
          </cell>
          <cell r="E2919" t="str">
            <v>GSE지원담당</v>
          </cell>
          <cell r="F2919" t="str">
            <v>2740</v>
          </cell>
          <cell r="G2919" t="str">
            <v>2740</v>
          </cell>
          <cell r="H2919" t="str">
            <v>19900301</v>
          </cell>
          <cell r="I2919">
            <v>14290130</v>
          </cell>
        </row>
        <row r="2920">
          <cell r="A2920" t="str">
            <v>9201802</v>
          </cell>
          <cell r="B2920" t="str">
            <v>최　영　상</v>
          </cell>
          <cell r="C2920" t="str">
            <v>9201802최　영　상</v>
          </cell>
          <cell r="D2920" t="str">
            <v>CK60</v>
          </cell>
          <cell r="E2920" t="str">
            <v>GSE지원담당</v>
          </cell>
          <cell r="F2920" t="str">
            <v>2740</v>
          </cell>
          <cell r="G2920" t="str">
            <v>2740</v>
          </cell>
          <cell r="H2920" t="str">
            <v>19920401</v>
          </cell>
          <cell r="I2920">
            <v>11249532</v>
          </cell>
        </row>
        <row r="2921">
          <cell r="A2921" t="str">
            <v>9503054</v>
          </cell>
          <cell r="B2921" t="str">
            <v>최　지　돈</v>
          </cell>
          <cell r="C2921" t="str">
            <v>9503054최　지　돈</v>
          </cell>
          <cell r="D2921" t="str">
            <v>CK60</v>
          </cell>
          <cell r="E2921" t="str">
            <v>GSE지원담당</v>
          </cell>
          <cell r="F2921" t="str">
            <v>2740</v>
          </cell>
          <cell r="G2921" t="str">
            <v>2740</v>
          </cell>
          <cell r="H2921" t="str">
            <v>19951023</v>
          </cell>
          <cell r="I2921">
            <v>5388069</v>
          </cell>
        </row>
        <row r="2922">
          <cell r="A2922" t="str">
            <v>9105851</v>
          </cell>
          <cell r="B2922" t="str">
            <v>하　도　종</v>
          </cell>
          <cell r="C2922" t="str">
            <v>9105851하　도　종</v>
          </cell>
          <cell r="D2922" t="str">
            <v>CK60</v>
          </cell>
          <cell r="E2922" t="str">
            <v>GSE지원담당</v>
          </cell>
          <cell r="F2922" t="str">
            <v>2740</v>
          </cell>
          <cell r="G2922" t="str">
            <v>2740</v>
          </cell>
          <cell r="H2922" t="str">
            <v>19911201</v>
          </cell>
          <cell r="I2922">
            <v>11845429</v>
          </cell>
        </row>
        <row r="2923">
          <cell r="A2923" t="str">
            <v>0009033</v>
          </cell>
          <cell r="B2923" t="str">
            <v>김　태　조</v>
          </cell>
          <cell r="C2923" t="str">
            <v>0009033김　태　조</v>
          </cell>
          <cell r="D2923" t="str">
            <v>조업통제팀</v>
          </cell>
          <cell r="E2923" t="str">
            <v>조업통제팀</v>
          </cell>
          <cell r="F2923" t="str">
            <v>2810</v>
          </cell>
          <cell r="G2923" t="str">
            <v>2810</v>
          </cell>
          <cell r="H2923" t="str">
            <v>19900714</v>
          </cell>
          <cell r="I2923">
            <v>356186667</v>
          </cell>
        </row>
        <row r="2924">
          <cell r="A2924" t="str">
            <v>0009055</v>
          </cell>
          <cell r="B2924" t="str">
            <v>이　진　희</v>
          </cell>
          <cell r="C2924" t="str">
            <v>0009055이　진　희</v>
          </cell>
          <cell r="D2924" t="str">
            <v>조업통제팀</v>
          </cell>
          <cell r="E2924" t="str">
            <v>조업통제팀</v>
          </cell>
          <cell r="F2924" t="str">
            <v>2810</v>
          </cell>
          <cell r="G2924" t="str">
            <v>2810</v>
          </cell>
          <cell r="H2924" t="str">
            <v>19930401</v>
          </cell>
          <cell r="I2924">
            <v>177887500</v>
          </cell>
        </row>
        <row r="2925">
          <cell r="A2925" t="str">
            <v>7910010</v>
          </cell>
          <cell r="B2925" t="str">
            <v>이　종　후</v>
          </cell>
          <cell r="C2925" t="str">
            <v>7910010이　종　후</v>
          </cell>
          <cell r="D2925" t="str">
            <v>BE40</v>
          </cell>
          <cell r="E2925" t="str">
            <v>조업통제팀</v>
          </cell>
          <cell r="F2925" t="str">
            <v>2810</v>
          </cell>
          <cell r="G2925" t="str">
            <v>2810</v>
          </cell>
          <cell r="H2925" t="str">
            <v>19790402</v>
          </cell>
          <cell r="I2925">
            <v>58323628</v>
          </cell>
        </row>
        <row r="2926">
          <cell r="A2926" t="str">
            <v>7700556</v>
          </cell>
          <cell r="B2926" t="str">
            <v>김　호　원</v>
          </cell>
          <cell r="C2926" t="str">
            <v>7700556김　호　원</v>
          </cell>
          <cell r="D2926" t="str">
            <v>CA10</v>
          </cell>
          <cell r="E2926" t="str">
            <v>조업통제팀</v>
          </cell>
          <cell r="F2926" t="str">
            <v>2810</v>
          </cell>
          <cell r="G2926" t="str">
            <v>2810</v>
          </cell>
          <cell r="H2926" t="str">
            <v>19981211</v>
          </cell>
          <cell r="I2926">
            <v>3343064</v>
          </cell>
        </row>
        <row r="2927">
          <cell r="A2927" t="str">
            <v>9160018</v>
          </cell>
          <cell r="B2927" t="str">
            <v>강　명　희</v>
          </cell>
          <cell r="C2927" t="str">
            <v>9160018강　명　희</v>
          </cell>
          <cell r="D2927" t="str">
            <v>CA20</v>
          </cell>
          <cell r="E2927" t="str">
            <v>조업통제팀</v>
          </cell>
          <cell r="F2927" t="str">
            <v>2810</v>
          </cell>
          <cell r="G2927" t="str">
            <v>2330</v>
          </cell>
          <cell r="H2927" t="str">
            <v>19910107</v>
          </cell>
          <cell r="I2927">
            <v>14893915</v>
          </cell>
        </row>
        <row r="2928">
          <cell r="A2928" t="str">
            <v>9000731</v>
          </cell>
          <cell r="B2928" t="str">
            <v>고　권　옥</v>
          </cell>
          <cell r="C2928" t="str">
            <v>9000731고　권　옥</v>
          </cell>
          <cell r="D2928" t="str">
            <v>CA20</v>
          </cell>
          <cell r="E2928" t="str">
            <v>조업통제팀</v>
          </cell>
          <cell r="F2928" t="str">
            <v>2810</v>
          </cell>
          <cell r="G2928" t="str">
            <v>2810</v>
          </cell>
          <cell r="H2928" t="str">
            <v>19981001</v>
          </cell>
          <cell r="I2928">
            <v>2549175</v>
          </cell>
        </row>
        <row r="2929">
          <cell r="A2929" t="str">
            <v>9600118</v>
          </cell>
          <cell r="B2929" t="str">
            <v>고　원　태</v>
          </cell>
          <cell r="C2929" t="str">
            <v>9600118고　원　태</v>
          </cell>
          <cell r="D2929" t="str">
            <v>CA20</v>
          </cell>
          <cell r="E2929" t="str">
            <v>조업통제팀</v>
          </cell>
          <cell r="F2929" t="str">
            <v>2810</v>
          </cell>
          <cell r="G2929" t="str">
            <v>2810</v>
          </cell>
          <cell r="H2929" t="str">
            <v>19960108</v>
          </cell>
          <cell r="I2929">
            <v>6631913</v>
          </cell>
        </row>
        <row r="2930">
          <cell r="A2930" t="str">
            <v>9051862</v>
          </cell>
          <cell r="B2930" t="str">
            <v>박　계　현</v>
          </cell>
          <cell r="C2930" t="str">
            <v>9051862박　계　현</v>
          </cell>
          <cell r="D2930" t="str">
            <v>CA20</v>
          </cell>
          <cell r="E2930" t="str">
            <v>조업통제팀</v>
          </cell>
          <cell r="F2930" t="str">
            <v>2810</v>
          </cell>
          <cell r="G2930" t="e">
            <v>#N/A</v>
          </cell>
          <cell r="H2930" t="str">
            <v>19901116</v>
          </cell>
          <cell r="I2930">
            <v>11700764</v>
          </cell>
          <cell r="J2930" t="str">
            <v>3 월</v>
          </cell>
          <cell r="K2930">
            <v>12184295</v>
          </cell>
        </row>
        <row r="2931">
          <cell r="A2931" t="str">
            <v>9300295</v>
          </cell>
          <cell r="B2931" t="str">
            <v>박　언　규</v>
          </cell>
          <cell r="C2931" t="str">
            <v>9300295박　언　규</v>
          </cell>
          <cell r="D2931" t="str">
            <v>CA20</v>
          </cell>
          <cell r="E2931" t="str">
            <v>조업통제팀</v>
          </cell>
          <cell r="F2931" t="str">
            <v>2810</v>
          </cell>
          <cell r="G2931" t="str">
            <v>2810</v>
          </cell>
          <cell r="H2931" t="str">
            <v>19930105</v>
          </cell>
          <cell r="I2931">
            <v>11834934</v>
          </cell>
        </row>
        <row r="2932">
          <cell r="A2932" t="str">
            <v>8501321</v>
          </cell>
          <cell r="B2932" t="str">
            <v>박　제　화</v>
          </cell>
          <cell r="C2932" t="str">
            <v>8501321박　제　화</v>
          </cell>
          <cell r="D2932" t="str">
            <v>CA20</v>
          </cell>
          <cell r="E2932" t="str">
            <v>조업통제팀</v>
          </cell>
          <cell r="F2932" t="str">
            <v>2810</v>
          </cell>
          <cell r="G2932" t="str">
            <v>2810</v>
          </cell>
          <cell r="H2932" t="str">
            <v>19850501</v>
          </cell>
          <cell r="I2932">
            <v>29931243</v>
          </cell>
        </row>
        <row r="2933">
          <cell r="A2933" t="str">
            <v>9400274</v>
          </cell>
          <cell r="B2933" t="str">
            <v>신　형　배</v>
          </cell>
          <cell r="C2933" t="str">
            <v>9400274신　형　배</v>
          </cell>
          <cell r="D2933" t="str">
            <v>CA20</v>
          </cell>
          <cell r="E2933" t="str">
            <v>조업통제팀</v>
          </cell>
          <cell r="F2933" t="str">
            <v>2810</v>
          </cell>
          <cell r="G2933" t="str">
            <v>1120</v>
          </cell>
          <cell r="H2933" t="str">
            <v>19940117</v>
          </cell>
          <cell r="I2933">
            <v>10137776</v>
          </cell>
        </row>
        <row r="2934">
          <cell r="A2934" t="str">
            <v>9650013</v>
          </cell>
          <cell r="B2934" t="str">
            <v>안　소　영</v>
          </cell>
          <cell r="C2934" t="str">
            <v>9650013안　소　영</v>
          </cell>
          <cell r="D2934" t="str">
            <v>CA20</v>
          </cell>
          <cell r="E2934" t="str">
            <v>조업통제팀</v>
          </cell>
          <cell r="F2934" t="str">
            <v>2810</v>
          </cell>
          <cell r="G2934" t="str">
            <v>2810</v>
          </cell>
          <cell r="H2934" t="str">
            <v>19960108</v>
          </cell>
          <cell r="I2934">
            <v>6025601</v>
          </cell>
        </row>
        <row r="2935">
          <cell r="A2935" t="str">
            <v>9003317</v>
          </cell>
          <cell r="B2935" t="str">
            <v>이　창　훈</v>
          </cell>
          <cell r="C2935" t="str">
            <v>9003317이　창　훈</v>
          </cell>
          <cell r="D2935" t="str">
            <v>CA20</v>
          </cell>
          <cell r="E2935" t="str">
            <v>조업통제팀</v>
          </cell>
          <cell r="F2935" t="str">
            <v>2810</v>
          </cell>
          <cell r="G2935" t="str">
            <v>2810</v>
          </cell>
          <cell r="H2935" t="str">
            <v>19900528</v>
          </cell>
          <cell r="I2935">
            <v>16392746</v>
          </cell>
        </row>
        <row r="2936">
          <cell r="A2936" t="str">
            <v>7200077</v>
          </cell>
          <cell r="B2936" t="str">
            <v>배　인　화</v>
          </cell>
          <cell r="C2936" t="str">
            <v>7200077배　인　화</v>
          </cell>
          <cell r="D2936" t="str">
            <v>CA30</v>
          </cell>
          <cell r="E2936" t="str">
            <v>조업통제팀</v>
          </cell>
          <cell r="F2936" t="str">
            <v>2810</v>
          </cell>
          <cell r="G2936" t="str">
            <v>2810</v>
          </cell>
          <cell r="H2936" t="str">
            <v>19720104</v>
          </cell>
          <cell r="I2936">
            <v>59117910</v>
          </cell>
        </row>
        <row r="2937">
          <cell r="A2937" t="str">
            <v>8200754</v>
          </cell>
          <cell r="B2937" t="str">
            <v>백　관　하</v>
          </cell>
          <cell r="C2937" t="str">
            <v>8200754백　관　하</v>
          </cell>
          <cell r="D2937" t="str">
            <v>CA30</v>
          </cell>
          <cell r="E2937" t="str">
            <v>조업통제팀</v>
          </cell>
          <cell r="F2937" t="str">
            <v>2810</v>
          </cell>
          <cell r="G2937" t="str">
            <v>2810</v>
          </cell>
          <cell r="H2937" t="str">
            <v>19820901</v>
          </cell>
          <cell r="I2937">
            <v>39660458</v>
          </cell>
        </row>
        <row r="2938">
          <cell r="A2938" t="str">
            <v>7200156</v>
          </cell>
          <cell r="B2938" t="str">
            <v>양　재　근</v>
          </cell>
          <cell r="C2938" t="str">
            <v>7200156양　재　근</v>
          </cell>
          <cell r="D2938" t="str">
            <v>CA30</v>
          </cell>
          <cell r="E2938" t="str">
            <v>조업통제팀</v>
          </cell>
          <cell r="F2938" t="str">
            <v>2810</v>
          </cell>
          <cell r="G2938" t="str">
            <v>2810</v>
          </cell>
          <cell r="H2938" t="str">
            <v>19711231</v>
          </cell>
          <cell r="I2938">
            <v>58843417</v>
          </cell>
        </row>
        <row r="2939">
          <cell r="A2939" t="str">
            <v>8501040</v>
          </cell>
          <cell r="B2939" t="str">
            <v>이　부　현</v>
          </cell>
          <cell r="C2939" t="str">
            <v>8501040이　부　현</v>
          </cell>
          <cell r="D2939" t="str">
            <v>CA30</v>
          </cell>
          <cell r="E2939" t="str">
            <v>조업통제팀</v>
          </cell>
          <cell r="F2939" t="str">
            <v>2810</v>
          </cell>
          <cell r="G2939" t="str">
            <v>2810</v>
          </cell>
          <cell r="H2939" t="str">
            <v>19850501</v>
          </cell>
          <cell r="I2939">
            <v>24301551</v>
          </cell>
        </row>
        <row r="2940">
          <cell r="A2940" t="str">
            <v>9600142</v>
          </cell>
          <cell r="B2940" t="str">
            <v>이　원　태</v>
          </cell>
          <cell r="C2940" t="str">
            <v>9600142이　원　태</v>
          </cell>
          <cell r="D2940" t="str">
            <v>CA30</v>
          </cell>
          <cell r="E2940" t="str">
            <v>조업통제팀</v>
          </cell>
          <cell r="F2940" t="str">
            <v>2810</v>
          </cell>
          <cell r="G2940" t="str">
            <v>2810</v>
          </cell>
          <cell r="H2940" t="str">
            <v>19960108</v>
          </cell>
          <cell r="I2940">
            <v>6680725</v>
          </cell>
        </row>
        <row r="2941">
          <cell r="A2941" t="str">
            <v>9200013</v>
          </cell>
          <cell r="B2941" t="str">
            <v>이　재　호</v>
          </cell>
          <cell r="C2941" t="str">
            <v>9200013이　재　호</v>
          </cell>
          <cell r="D2941" t="str">
            <v>CA30</v>
          </cell>
          <cell r="E2941" t="str">
            <v>조업통제팀</v>
          </cell>
          <cell r="F2941" t="str">
            <v>2810</v>
          </cell>
          <cell r="G2941" t="str">
            <v>2810</v>
          </cell>
          <cell r="H2941" t="str">
            <v>19920106</v>
          </cell>
          <cell r="I2941">
            <v>14568760</v>
          </cell>
        </row>
        <row r="2942">
          <cell r="A2942" t="str">
            <v>8900234</v>
          </cell>
          <cell r="B2942" t="str">
            <v>임　기　한</v>
          </cell>
          <cell r="C2942" t="str">
            <v>8900234임　기　한</v>
          </cell>
          <cell r="D2942" t="str">
            <v>CA30</v>
          </cell>
          <cell r="E2942" t="str">
            <v>조업통제팀</v>
          </cell>
          <cell r="F2942" t="str">
            <v>2810</v>
          </cell>
          <cell r="G2942" t="str">
            <v>2810</v>
          </cell>
          <cell r="H2942" t="str">
            <v>19981001</v>
          </cell>
          <cell r="I2942">
            <v>2573738</v>
          </cell>
        </row>
        <row r="2943">
          <cell r="A2943" t="str">
            <v>9800087</v>
          </cell>
          <cell r="B2943" t="str">
            <v>최　경　식</v>
          </cell>
          <cell r="C2943" t="str">
            <v>9800087최　경　식</v>
          </cell>
          <cell r="D2943" t="str">
            <v>CA30</v>
          </cell>
          <cell r="E2943" t="str">
            <v>조업통제팀</v>
          </cell>
          <cell r="F2943" t="str">
            <v>2810</v>
          </cell>
          <cell r="G2943" t="str">
            <v>2810</v>
          </cell>
          <cell r="H2943" t="str">
            <v>19980201</v>
          </cell>
          <cell r="I2943">
            <v>2522692</v>
          </cell>
        </row>
        <row r="2944">
          <cell r="A2944" t="str">
            <v>7700152</v>
          </cell>
          <cell r="B2944" t="str">
            <v>최　재　옥</v>
          </cell>
          <cell r="C2944" t="str">
            <v>7700152최　재　옥</v>
          </cell>
          <cell r="D2944" t="str">
            <v>CA30</v>
          </cell>
          <cell r="E2944" t="str">
            <v>조업통제팀</v>
          </cell>
          <cell r="F2944" t="str">
            <v>2810</v>
          </cell>
          <cell r="G2944" t="str">
            <v>2810</v>
          </cell>
          <cell r="H2944" t="str">
            <v>19770406</v>
          </cell>
          <cell r="I2944">
            <v>43372202</v>
          </cell>
        </row>
        <row r="2945">
          <cell r="A2945" t="str">
            <v>9405630</v>
          </cell>
          <cell r="B2945" t="str">
            <v>한　재　호</v>
          </cell>
          <cell r="C2945" t="str">
            <v>9405630한　재　호</v>
          </cell>
          <cell r="D2945" t="str">
            <v>CA30</v>
          </cell>
          <cell r="E2945" t="str">
            <v>조업통제팀</v>
          </cell>
          <cell r="F2945" t="str">
            <v>2810</v>
          </cell>
          <cell r="G2945" t="str">
            <v>2810</v>
          </cell>
          <cell r="H2945" t="str">
            <v>19940901</v>
          </cell>
          <cell r="I2945">
            <v>7361478</v>
          </cell>
        </row>
        <row r="2946">
          <cell r="A2946" t="str">
            <v>8900245</v>
          </cell>
          <cell r="B2946" t="str">
            <v>황　규　창</v>
          </cell>
          <cell r="C2946" t="str">
            <v>8900245황　규　창</v>
          </cell>
          <cell r="D2946" t="str">
            <v>CA30</v>
          </cell>
          <cell r="E2946" t="str">
            <v>조업통제팀</v>
          </cell>
          <cell r="F2946" t="str">
            <v>2810</v>
          </cell>
          <cell r="G2946" t="str">
            <v>2810</v>
          </cell>
          <cell r="H2946" t="str">
            <v>19890109</v>
          </cell>
          <cell r="I2946">
            <v>24345932</v>
          </cell>
        </row>
        <row r="2947">
          <cell r="A2947" t="str">
            <v>7500058</v>
          </cell>
          <cell r="B2947" t="str">
            <v>황　우　순</v>
          </cell>
          <cell r="C2947" t="str">
            <v>7500058황　우　순</v>
          </cell>
          <cell r="D2947" t="str">
            <v>CA30</v>
          </cell>
          <cell r="E2947" t="str">
            <v>조업통제팀</v>
          </cell>
          <cell r="F2947" t="str">
            <v>2810</v>
          </cell>
          <cell r="G2947" t="str">
            <v>2320</v>
          </cell>
          <cell r="H2947" t="str">
            <v>19750425</v>
          </cell>
          <cell r="I2947">
            <v>64083405</v>
          </cell>
        </row>
        <row r="2948">
          <cell r="A2948" t="str">
            <v>9200441</v>
          </cell>
          <cell r="B2948" t="str">
            <v>김　응　우</v>
          </cell>
          <cell r="C2948" t="str">
            <v>9200441김　응　우</v>
          </cell>
          <cell r="D2948" t="str">
            <v>CD20</v>
          </cell>
          <cell r="E2948" t="str">
            <v>조업통제팀</v>
          </cell>
          <cell r="F2948" t="str">
            <v>2810</v>
          </cell>
          <cell r="G2948" t="str">
            <v>2810</v>
          </cell>
          <cell r="H2948" t="str">
            <v>19920107</v>
          </cell>
          <cell r="I2948">
            <v>15516930</v>
          </cell>
        </row>
        <row r="2949">
          <cell r="A2949" t="str">
            <v>8300428</v>
          </cell>
          <cell r="B2949" t="str">
            <v>이　희　수</v>
          </cell>
          <cell r="C2949" t="str">
            <v>8300428이　희　수</v>
          </cell>
          <cell r="D2949" t="str">
            <v>CE20</v>
          </cell>
          <cell r="E2949" t="str">
            <v>조업통제팀</v>
          </cell>
          <cell r="F2949" t="str">
            <v>2810</v>
          </cell>
          <cell r="G2949" t="str">
            <v>2810</v>
          </cell>
          <cell r="H2949" t="str">
            <v>19980101</v>
          </cell>
          <cell r="I2949">
            <v>4212196</v>
          </cell>
        </row>
        <row r="2950">
          <cell r="A2950" t="str">
            <v>9800111</v>
          </cell>
          <cell r="B2950" t="str">
            <v>김　경　태</v>
          </cell>
          <cell r="C2950" t="str">
            <v>9800111김　경　태</v>
          </cell>
          <cell r="D2950" t="str">
            <v>CG32</v>
          </cell>
          <cell r="E2950" t="str">
            <v>조업통제팀</v>
          </cell>
          <cell r="F2950" t="str">
            <v>2810</v>
          </cell>
          <cell r="G2950" t="str">
            <v>2810</v>
          </cell>
          <cell r="H2950" t="str">
            <v>19980201</v>
          </cell>
          <cell r="I2950">
            <v>2844745</v>
          </cell>
        </row>
        <row r="2951">
          <cell r="A2951" t="str">
            <v>9100383</v>
          </cell>
          <cell r="B2951" t="str">
            <v>강　창　규</v>
          </cell>
          <cell r="C2951" t="str">
            <v>9100383강　창　규</v>
          </cell>
          <cell r="D2951" t="str">
            <v>부산캐터링</v>
          </cell>
          <cell r="E2951" t="str">
            <v>부산C R/H 용역</v>
          </cell>
          <cell r="F2951" t="str">
            <v>3112</v>
          </cell>
          <cell r="G2951" t="str">
            <v>3120</v>
          </cell>
          <cell r="H2951" t="str">
            <v>19910125</v>
          </cell>
          <cell r="I2951">
            <v>10828688</v>
          </cell>
        </row>
        <row r="2952">
          <cell r="A2952" t="str">
            <v>8751317</v>
          </cell>
          <cell r="B2952" t="str">
            <v>구　순　자</v>
          </cell>
          <cell r="C2952" t="str">
            <v>8751317구　순　자</v>
          </cell>
          <cell r="D2952" t="str">
            <v>부산캐터링</v>
          </cell>
          <cell r="E2952" t="str">
            <v>부산C R/H 용역</v>
          </cell>
          <cell r="F2952" t="str">
            <v>3112</v>
          </cell>
          <cell r="G2952" t="str">
            <v>3120</v>
          </cell>
          <cell r="H2952" t="str">
            <v>19871102</v>
          </cell>
          <cell r="I2952">
            <v>14959510</v>
          </cell>
        </row>
        <row r="2953">
          <cell r="A2953" t="str">
            <v>9207156</v>
          </cell>
          <cell r="B2953" t="str">
            <v>김　극　수</v>
          </cell>
          <cell r="C2953" t="str">
            <v>9207156김　극　수</v>
          </cell>
          <cell r="D2953" t="str">
            <v>부산캐터링</v>
          </cell>
          <cell r="E2953" t="str">
            <v>부산C R/H 용역</v>
          </cell>
          <cell r="F2953" t="str">
            <v>3112</v>
          </cell>
          <cell r="G2953" t="str">
            <v>3120</v>
          </cell>
          <cell r="H2953" t="str">
            <v>19921101</v>
          </cell>
          <cell r="I2953">
            <v>8891862</v>
          </cell>
        </row>
        <row r="2954">
          <cell r="A2954" t="str">
            <v>9002035</v>
          </cell>
          <cell r="B2954" t="str">
            <v>김　두　홍</v>
          </cell>
          <cell r="C2954" t="str">
            <v>9002035김　두　홍</v>
          </cell>
          <cell r="D2954" t="str">
            <v>부산캐터링</v>
          </cell>
          <cell r="E2954" t="str">
            <v>부산C R/H 용역</v>
          </cell>
          <cell r="F2954" t="str">
            <v>3112</v>
          </cell>
          <cell r="G2954" t="str">
            <v>3120</v>
          </cell>
          <cell r="H2954" t="str">
            <v>19891211</v>
          </cell>
          <cell r="I2954">
            <v>13089705</v>
          </cell>
        </row>
        <row r="2955">
          <cell r="A2955" t="str">
            <v>9051930</v>
          </cell>
          <cell r="B2955" t="str">
            <v>김　양　숙</v>
          </cell>
          <cell r="C2955" t="str">
            <v>9051930김　양　숙</v>
          </cell>
          <cell r="D2955" t="str">
            <v>부산캐터링</v>
          </cell>
          <cell r="E2955" t="str">
            <v>부산C R/H 용역</v>
          </cell>
          <cell r="F2955" t="str">
            <v>3112</v>
          </cell>
          <cell r="G2955" t="str">
            <v>3120</v>
          </cell>
          <cell r="H2955" t="str">
            <v>19901201</v>
          </cell>
          <cell r="I2955">
            <v>9476486</v>
          </cell>
        </row>
        <row r="2956">
          <cell r="A2956" t="str">
            <v>8702392</v>
          </cell>
          <cell r="B2956" t="str">
            <v>김　영　진</v>
          </cell>
          <cell r="C2956" t="str">
            <v>8702392김　영　진</v>
          </cell>
          <cell r="D2956" t="str">
            <v>부산캐터링</v>
          </cell>
          <cell r="E2956" t="str">
            <v>부산C R/H 용역</v>
          </cell>
          <cell r="F2956" t="str">
            <v>3112</v>
          </cell>
          <cell r="G2956" t="str">
            <v>3223</v>
          </cell>
          <cell r="H2956" t="str">
            <v>19871026</v>
          </cell>
          <cell r="I2956">
            <v>18133105</v>
          </cell>
        </row>
        <row r="2957">
          <cell r="A2957" t="str">
            <v>8451000</v>
          </cell>
          <cell r="B2957" t="str">
            <v>김　은　순</v>
          </cell>
          <cell r="C2957" t="str">
            <v>8451000김　은　순</v>
          </cell>
          <cell r="D2957" t="str">
            <v>부산캐터링</v>
          </cell>
          <cell r="E2957" t="str">
            <v>부산C R/H 용역</v>
          </cell>
          <cell r="F2957" t="str">
            <v>3112</v>
          </cell>
          <cell r="G2957" t="str">
            <v>3120</v>
          </cell>
          <cell r="H2957" t="str">
            <v>19840901</v>
          </cell>
          <cell r="I2957">
            <v>19433629</v>
          </cell>
        </row>
        <row r="2958">
          <cell r="A2958" t="str">
            <v>9252628</v>
          </cell>
          <cell r="B2958" t="str">
            <v>김　은　정</v>
          </cell>
          <cell r="C2958" t="str">
            <v>9252628김　은　정</v>
          </cell>
          <cell r="D2958" t="str">
            <v>부산캐터링</v>
          </cell>
          <cell r="E2958" t="str">
            <v>부산C R/H 용역</v>
          </cell>
          <cell r="F2958" t="str">
            <v>3112</v>
          </cell>
          <cell r="G2958" t="str">
            <v>3120</v>
          </cell>
          <cell r="H2958" t="str">
            <v>19921201</v>
          </cell>
          <cell r="I2958">
            <v>7280365</v>
          </cell>
        </row>
        <row r="2959">
          <cell r="A2959" t="str">
            <v>9451901</v>
          </cell>
          <cell r="B2959" t="str">
            <v>김　정　숙</v>
          </cell>
          <cell r="C2959" t="str">
            <v>9451901김　정　숙</v>
          </cell>
          <cell r="D2959" t="str">
            <v>부산캐터링</v>
          </cell>
          <cell r="E2959" t="str">
            <v>부산C R/H 용역</v>
          </cell>
          <cell r="F2959" t="str">
            <v>3112</v>
          </cell>
          <cell r="G2959" t="str">
            <v>3120</v>
          </cell>
          <cell r="H2959" t="str">
            <v>19940901</v>
          </cell>
          <cell r="I2959">
            <v>5298039</v>
          </cell>
        </row>
        <row r="2960">
          <cell r="A2960" t="str">
            <v>8800457</v>
          </cell>
          <cell r="B2960" t="str">
            <v>김　종　대</v>
          </cell>
          <cell r="C2960" t="str">
            <v>8800457김　종　대</v>
          </cell>
          <cell r="D2960" t="str">
            <v>부산캐터링</v>
          </cell>
          <cell r="E2960" t="str">
            <v>부산C R/H 용역</v>
          </cell>
          <cell r="F2960" t="str">
            <v>3112</v>
          </cell>
          <cell r="G2960" t="str">
            <v>3410</v>
          </cell>
          <cell r="H2960" t="str">
            <v>19880601</v>
          </cell>
          <cell r="I2960">
            <v>17225931</v>
          </cell>
        </row>
        <row r="2961">
          <cell r="A2961" t="str">
            <v>9351224</v>
          </cell>
          <cell r="B2961" t="str">
            <v>문　윤　옥</v>
          </cell>
          <cell r="C2961" t="str">
            <v>9351224문　윤　옥</v>
          </cell>
          <cell r="D2961" t="str">
            <v>부산캐터링</v>
          </cell>
          <cell r="E2961" t="str">
            <v>부산C R/H 용역</v>
          </cell>
          <cell r="F2961" t="str">
            <v>3112</v>
          </cell>
          <cell r="G2961" t="str">
            <v>3120</v>
          </cell>
          <cell r="H2961" t="str">
            <v>19930701</v>
          </cell>
          <cell r="I2961">
            <v>6550175</v>
          </cell>
        </row>
        <row r="2962">
          <cell r="A2962" t="str">
            <v>8750856</v>
          </cell>
          <cell r="B2962" t="str">
            <v>박　두　수</v>
          </cell>
          <cell r="C2962" t="str">
            <v>8750856박　두　수</v>
          </cell>
          <cell r="D2962" t="str">
            <v>부산캐터링</v>
          </cell>
          <cell r="E2962" t="str">
            <v>부산C R/H 용역</v>
          </cell>
          <cell r="F2962" t="str">
            <v>3112</v>
          </cell>
          <cell r="G2962" t="str">
            <v>3120</v>
          </cell>
          <cell r="H2962" t="str">
            <v>19870615</v>
          </cell>
          <cell r="I2962">
            <v>14341597</v>
          </cell>
        </row>
        <row r="2963">
          <cell r="A2963" t="str">
            <v>8801111</v>
          </cell>
          <cell r="B2963" t="str">
            <v>박　진　호</v>
          </cell>
          <cell r="C2963" t="str">
            <v>8801111박　진　호</v>
          </cell>
          <cell r="D2963" t="str">
            <v>부산캐터링</v>
          </cell>
          <cell r="E2963" t="str">
            <v>부산C R/H 용역</v>
          </cell>
          <cell r="F2963" t="str">
            <v>3112</v>
          </cell>
          <cell r="G2963" t="str">
            <v>3120</v>
          </cell>
          <cell r="H2963" t="str">
            <v>19880718</v>
          </cell>
          <cell r="I2963">
            <v>16953651</v>
          </cell>
        </row>
        <row r="2964">
          <cell r="A2964" t="str">
            <v>8600130</v>
          </cell>
          <cell r="B2964" t="str">
            <v>박　해　은</v>
          </cell>
          <cell r="C2964" t="str">
            <v>8600130박　해　은</v>
          </cell>
          <cell r="D2964" t="str">
            <v>부산캐터링</v>
          </cell>
          <cell r="E2964" t="str">
            <v>부산C R/H 용역</v>
          </cell>
          <cell r="F2964" t="str">
            <v>3112</v>
          </cell>
          <cell r="G2964" t="str">
            <v>3120</v>
          </cell>
          <cell r="H2964" t="str">
            <v>19860912</v>
          </cell>
          <cell r="I2964">
            <v>24637836</v>
          </cell>
        </row>
        <row r="2965">
          <cell r="A2965" t="str">
            <v>9105344</v>
          </cell>
          <cell r="B2965" t="str">
            <v>배　준　환</v>
          </cell>
          <cell r="C2965" t="str">
            <v>9105344배　준　환</v>
          </cell>
          <cell r="D2965" t="str">
            <v>부산캐터링</v>
          </cell>
          <cell r="E2965" t="str">
            <v>부산C R/H 용역</v>
          </cell>
          <cell r="F2965" t="str">
            <v>3112</v>
          </cell>
          <cell r="G2965" t="str">
            <v>3120</v>
          </cell>
          <cell r="H2965" t="str">
            <v>19911116</v>
          </cell>
          <cell r="I2965">
            <v>10713805</v>
          </cell>
        </row>
        <row r="2966">
          <cell r="A2966" t="str">
            <v>9307170</v>
          </cell>
          <cell r="B2966" t="str">
            <v>서　영　진</v>
          </cell>
          <cell r="C2966" t="str">
            <v>9307170서　영　진</v>
          </cell>
          <cell r="D2966" t="str">
            <v>부산캐터링</v>
          </cell>
          <cell r="E2966" t="str">
            <v>부산C R/H 용역</v>
          </cell>
          <cell r="F2966" t="str">
            <v>3112</v>
          </cell>
          <cell r="G2966" t="str">
            <v>3120</v>
          </cell>
          <cell r="H2966" t="str">
            <v>19931110</v>
          </cell>
          <cell r="I2966">
            <v>7391352</v>
          </cell>
        </row>
        <row r="2967">
          <cell r="A2967" t="str">
            <v>9350537</v>
          </cell>
          <cell r="B2967" t="str">
            <v>석　현　숙</v>
          </cell>
          <cell r="C2967" t="str">
            <v>9350537석　현　숙</v>
          </cell>
          <cell r="D2967" t="str">
            <v>부산캐터링</v>
          </cell>
          <cell r="E2967" t="str">
            <v>부산C R/H 용역</v>
          </cell>
          <cell r="F2967" t="str">
            <v>3112</v>
          </cell>
          <cell r="G2967" t="str">
            <v>3120</v>
          </cell>
          <cell r="H2967" t="str">
            <v>19930501</v>
          </cell>
          <cell r="I2967">
            <v>6796458</v>
          </cell>
        </row>
        <row r="2968">
          <cell r="A2968" t="str">
            <v>9252235</v>
          </cell>
          <cell r="B2968" t="str">
            <v>신　정　숙</v>
          </cell>
          <cell r="C2968" t="str">
            <v>9252235신　정　숙</v>
          </cell>
          <cell r="D2968" t="str">
            <v>부산캐터링</v>
          </cell>
          <cell r="E2968" t="str">
            <v>부산C R/H 용역</v>
          </cell>
          <cell r="F2968" t="str">
            <v>3112</v>
          </cell>
          <cell r="G2968" t="str">
            <v>3120</v>
          </cell>
          <cell r="H2968" t="str">
            <v>19920916</v>
          </cell>
          <cell r="I2968">
            <v>7552719</v>
          </cell>
        </row>
        <row r="2969">
          <cell r="A2969" t="str">
            <v>9306450</v>
          </cell>
          <cell r="B2969" t="str">
            <v>안　강　수</v>
          </cell>
          <cell r="C2969" t="str">
            <v>9306450안　강　수</v>
          </cell>
          <cell r="D2969" t="str">
            <v>부산캐터링</v>
          </cell>
          <cell r="E2969" t="str">
            <v>부산C R/H 용역</v>
          </cell>
          <cell r="F2969" t="str">
            <v>3112</v>
          </cell>
          <cell r="G2969" t="str">
            <v>3120</v>
          </cell>
          <cell r="H2969" t="str">
            <v>19931016</v>
          </cell>
          <cell r="I2969">
            <v>6883745</v>
          </cell>
        </row>
        <row r="2970">
          <cell r="A2970" t="str">
            <v>8650743</v>
          </cell>
          <cell r="B2970" t="str">
            <v>안　현　옥</v>
          </cell>
          <cell r="C2970" t="str">
            <v>8650743안　현　옥</v>
          </cell>
          <cell r="D2970" t="str">
            <v>부산캐터링</v>
          </cell>
          <cell r="E2970" t="str">
            <v>부산C R/H 용역</v>
          </cell>
          <cell r="F2970" t="str">
            <v>3112</v>
          </cell>
          <cell r="G2970" t="str">
            <v>3120</v>
          </cell>
          <cell r="H2970" t="str">
            <v>19860801</v>
          </cell>
          <cell r="I2970">
            <v>16814481</v>
          </cell>
        </row>
        <row r="2971">
          <cell r="A2971" t="str">
            <v>9307923</v>
          </cell>
          <cell r="B2971" t="str">
            <v>오　정　환</v>
          </cell>
          <cell r="C2971" t="str">
            <v>9307923오　정　환</v>
          </cell>
          <cell r="D2971" t="str">
            <v>부산캐터링</v>
          </cell>
          <cell r="E2971" t="str">
            <v>부산C R/H 용역</v>
          </cell>
          <cell r="F2971" t="str">
            <v>3112</v>
          </cell>
          <cell r="G2971" t="str">
            <v>3120</v>
          </cell>
          <cell r="H2971" t="str">
            <v>19931201</v>
          </cell>
          <cell r="I2971">
            <v>7205215</v>
          </cell>
        </row>
        <row r="2972">
          <cell r="A2972" t="str">
            <v>8901797</v>
          </cell>
          <cell r="B2972" t="str">
            <v>우　해　선</v>
          </cell>
          <cell r="C2972" t="str">
            <v>8901797우　해　선</v>
          </cell>
          <cell r="D2972" t="str">
            <v>부산캐터링</v>
          </cell>
          <cell r="E2972" t="str">
            <v>부산C R/H 용역</v>
          </cell>
          <cell r="F2972" t="str">
            <v>3112</v>
          </cell>
          <cell r="G2972" t="str">
            <v>3120</v>
          </cell>
          <cell r="H2972" t="str">
            <v>19881123</v>
          </cell>
          <cell r="I2972">
            <v>15539723</v>
          </cell>
        </row>
        <row r="2973">
          <cell r="A2973" t="str">
            <v>9205165</v>
          </cell>
          <cell r="B2973" t="str">
            <v>유　길　종</v>
          </cell>
          <cell r="C2973" t="str">
            <v>9205165유　길　종</v>
          </cell>
          <cell r="D2973" t="str">
            <v>부산캐터링</v>
          </cell>
          <cell r="E2973" t="str">
            <v>부산C R/H 용역</v>
          </cell>
          <cell r="F2973" t="str">
            <v>3112</v>
          </cell>
          <cell r="G2973" t="str">
            <v>3120</v>
          </cell>
          <cell r="H2973" t="str">
            <v>19920817</v>
          </cell>
          <cell r="I2973">
            <v>8291061</v>
          </cell>
        </row>
        <row r="2974">
          <cell r="A2974" t="str">
            <v>9100877</v>
          </cell>
          <cell r="B2974" t="str">
            <v>유　한　석</v>
          </cell>
          <cell r="C2974" t="str">
            <v>9100877유　한　석</v>
          </cell>
          <cell r="D2974" t="str">
            <v>부산캐터링</v>
          </cell>
          <cell r="E2974" t="str">
            <v>부산C R/H 용역</v>
          </cell>
          <cell r="F2974" t="str">
            <v>3112</v>
          </cell>
          <cell r="G2974" t="str">
            <v>3120</v>
          </cell>
          <cell r="H2974" t="str">
            <v>19910306</v>
          </cell>
          <cell r="I2974">
            <v>12104041</v>
          </cell>
        </row>
        <row r="2975">
          <cell r="A2975" t="str">
            <v>8900910</v>
          </cell>
          <cell r="B2975" t="str">
            <v>유　현　종</v>
          </cell>
          <cell r="C2975" t="str">
            <v>8900910유　현　종</v>
          </cell>
          <cell r="D2975" t="str">
            <v>부산캐터링</v>
          </cell>
          <cell r="E2975" t="str">
            <v>부산C R/H 용역</v>
          </cell>
          <cell r="F2975" t="str">
            <v>3112</v>
          </cell>
          <cell r="G2975" t="str">
            <v>3120</v>
          </cell>
          <cell r="H2975" t="str">
            <v>19880901</v>
          </cell>
          <cell r="I2975">
            <v>16627407</v>
          </cell>
        </row>
        <row r="2976">
          <cell r="A2976" t="str">
            <v>9252674</v>
          </cell>
          <cell r="B2976" t="str">
            <v>이　윤　순</v>
          </cell>
          <cell r="C2976" t="str">
            <v>9252674이　윤　순</v>
          </cell>
          <cell r="D2976" t="str">
            <v>부산캐터링</v>
          </cell>
          <cell r="E2976" t="str">
            <v>부산C R/H 용역</v>
          </cell>
          <cell r="F2976" t="str">
            <v>3112</v>
          </cell>
          <cell r="G2976" t="str">
            <v>3120</v>
          </cell>
          <cell r="H2976" t="str">
            <v>19921201</v>
          </cell>
          <cell r="I2976">
            <v>7185796</v>
          </cell>
        </row>
        <row r="2977">
          <cell r="A2977" t="str">
            <v>8200528</v>
          </cell>
          <cell r="B2977" t="str">
            <v>이　찬　걸</v>
          </cell>
          <cell r="C2977" t="str">
            <v>8200528이　찬　걸</v>
          </cell>
          <cell r="D2977" t="str">
            <v>부산캐터링</v>
          </cell>
          <cell r="E2977" t="str">
            <v>부산C R/H 용역</v>
          </cell>
          <cell r="F2977" t="str">
            <v>3112</v>
          </cell>
          <cell r="G2977" t="str">
            <v>3120</v>
          </cell>
          <cell r="H2977" t="str">
            <v>19820723</v>
          </cell>
          <cell r="I2977">
            <v>28923634</v>
          </cell>
        </row>
        <row r="2978">
          <cell r="A2978" t="str">
            <v>9104927</v>
          </cell>
          <cell r="B2978" t="str">
            <v>이　충　권</v>
          </cell>
          <cell r="C2978" t="str">
            <v>9104927이　충　권</v>
          </cell>
          <cell r="D2978" t="str">
            <v>부산캐터링</v>
          </cell>
          <cell r="E2978" t="str">
            <v>부산C R/H 용역</v>
          </cell>
          <cell r="F2978" t="str">
            <v>3112</v>
          </cell>
          <cell r="G2978" t="str">
            <v>3120</v>
          </cell>
          <cell r="H2978" t="str">
            <v>19911101</v>
          </cell>
          <cell r="I2978">
            <v>9375144</v>
          </cell>
        </row>
        <row r="2979">
          <cell r="A2979" t="str">
            <v>9350673</v>
          </cell>
          <cell r="B2979" t="str">
            <v>전　미　숙</v>
          </cell>
          <cell r="C2979" t="str">
            <v>9350673전　미　숙</v>
          </cell>
          <cell r="D2979" t="str">
            <v>부산캐터링</v>
          </cell>
          <cell r="E2979" t="str">
            <v>부산C R/H 용역</v>
          </cell>
          <cell r="F2979" t="str">
            <v>3112</v>
          </cell>
          <cell r="G2979" t="str">
            <v>3120</v>
          </cell>
          <cell r="H2979" t="str">
            <v>19930517</v>
          </cell>
          <cell r="I2979">
            <v>6674247</v>
          </cell>
        </row>
        <row r="2980">
          <cell r="A2980" t="str">
            <v>8603021</v>
          </cell>
          <cell r="B2980" t="str">
            <v>정　당　효</v>
          </cell>
          <cell r="C2980" t="str">
            <v>8603021정　당　효</v>
          </cell>
          <cell r="D2980" t="str">
            <v>부산캐터링</v>
          </cell>
          <cell r="E2980" t="str">
            <v>부산C R/H 용역</v>
          </cell>
          <cell r="F2980" t="str">
            <v>3112</v>
          </cell>
          <cell r="G2980" t="str">
            <v>3120</v>
          </cell>
          <cell r="H2980" t="str">
            <v>19860818</v>
          </cell>
          <cell r="I2980">
            <v>21106910</v>
          </cell>
        </row>
        <row r="2981">
          <cell r="A2981" t="str">
            <v>9103588</v>
          </cell>
          <cell r="B2981" t="str">
            <v>정　병　기</v>
          </cell>
          <cell r="C2981" t="str">
            <v>9103588정　병　기</v>
          </cell>
          <cell r="D2981" t="str">
            <v>부산캐터링</v>
          </cell>
          <cell r="E2981" t="str">
            <v>부산C R/H 용역</v>
          </cell>
          <cell r="F2981" t="str">
            <v>3112</v>
          </cell>
          <cell r="G2981" t="str">
            <v>3120</v>
          </cell>
          <cell r="H2981" t="str">
            <v>19910816</v>
          </cell>
          <cell r="I2981">
            <v>11063149</v>
          </cell>
        </row>
        <row r="2982">
          <cell r="A2982" t="str">
            <v>8400846</v>
          </cell>
          <cell r="B2982" t="str">
            <v>정　연　걸</v>
          </cell>
          <cell r="C2982" t="str">
            <v>8400846정　연　걸</v>
          </cell>
          <cell r="D2982" t="str">
            <v>부산캐터링</v>
          </cell>
          <cell r="E2982" t="str">
            <v>부산C R/H 용역</v>
          </cell>
          <cell r="F2982" t="str">
            <v>3112</v>
          </cell>
          <cell r="G2982" t="str">
            <v>3120</v>
          </cell>
          <cell r="H2982" t="str">
            <v>19840816</v>
          </cell>
          <cell r="I2982">
            <v>24696099</v>
          </cell>
        </row>
        <row r="2983">
          <cell r="A2983" t="str">
            <v>9402052</v>
          </cell>
          <cell r="B2983" t="str">
            <v>주　현　우</v>
          </cell>
          <cell r="C2983" t="str">
            <v>9402052주　현　우</v>
          </cell>
          <cell r="D2983" t="str">
            <v>부산캐터링</v>
          </cell>
          <cell r="E2983" t="str">
            <v>부산C R/H 용역</v>
          </cell>
          <cell r="F2983" t="str">
            <v>3112</v>
          </cell>
          <cell r="G2983" t="str">
            <v>3410</v>
          </cell>
          <cell r="H2983" t="str">
            <v>19940401</v>
          </cell>
          <cell r="I2983">
            <v>6285589</v>
          </cell>
        </row>
        <row r="2984">
          <cell r="A2984" t="str">
            <v>9302883</v>
          </cell>
          <cell r="B2984" t="str">
            <v>차　동　욱</v>
          </cell>
          <cell r="C2984" t="str">
            <v>9302883차　동　욱</v>
          </cell>
          <cell r="D2984" t="str">
            <v>부산캐터링</v>
          </cell>
          <cell r="E2984" t="str">
            <v>부산C R/H 용역</v>
          </cell>
          <cell r="F2984" t="str">
            <v>3112</v>
          </cell>
          <cell r="G2984" t="str">
            <v>3120</v>
          </cell>
          <cell r="H2984" t="str">
            <v>19930521</v>
          </cell>
          <cell r="I2984">
            <v>8103978</v>
          </cell>
        </row>
        <row r="2985">
          <cell r="A2985" t="str">
            <v>9100113</v>
          </cell>
          <cell r="B2985" t="str">
            <v>최　동　철</v>
          </cell>
          <cell r="C2985" t="str">
            <v>9100113최　동　철</v>
          </cell>
          <cell r="D2985" t="str">
            <v>부산캐터링</v>
          </cell>
          <cell r="E2985" t="str">
            <v>부산C R/H 용역</v>
          </cell>
          <cell r="F2985" t="str">
            <v>3112</v>
          </cell>
          <cell r="G2985" t="str">
            <v>3120</v>
          </cell>
          <cell r="H2985" t="str">
            <v>19910116</v>
          </cell>
          <cell r="I2985">
            <v>11830227</v>
          </cell>
        </row>
        <row r="2986">
          <cell r="A2986" t="str">
            <v>8501231</v>
          </cell>
          <cell r="B2986" t="str">
            <v>최　석　림</v>
          </cell>
          <cell r="C2986" t="str">
            <v>8501231최　석　림</v>
          </cell>
          <cell r="D2986" t="str">
            <v>부산캐터링</v>
          </cell>
          <cell r="E2986" t="str">
            <v>부산C R/H 용역</v>
          </cell>
          <cell r="F2986" t="str">
            <v>3112</v>
          </cell>
          <cell r="G2986" t="str">
            <v>3120</v>
          </cell>
          <cell r="H2986" t="str">
            <v>19850501</v>
          </cell>
          <cell r="I2986">
            <v>23621057</v>
          </cell>
        </row>
        <row r="2987">
          <cell r="A2987" t="str">
            <v>8300856</v>
          </cell>
          <cell r="B2987" t="str">
            <v>최　영　주</v>
          </cell>
          <cell r="C2987" t="str">
            <v>8300856최　영　주</v>
          </cell>
          <cell r="D2987" t="str">
            <v>부산캐터링</v>
          </cell>
          <cell r="E2987" t="str">
            <v>부산C R/H 용역</v>
          </cell>
          <cell r="F2987" t="str">
            <v>3112</v>
          </cell>
          <cell r="G2987" t="str">
            <v>3120</v>
          </cell>
          <cell r="H2987" t="str">
            <v>19831115</v>
          </cell>
          <cell r="I2987">
            <v>24260242</v>
          </cell>
        </row>
        <row r="2988">
          <cell r="A2988" t="str">
            <v>8603032</v>
          </cell>
          <cell r="B2988" t="str">
            <v>형　남　규</v>
          </cell>
          <cell r="C2988" t="str">
            <v>8603032형　남　규</v>
          </cell>
          <cell r="D2988" t="str">
            <v>부산캐터링</v>
          </cell>
          <cell r="E2988" t="str">
            <v>부산C R/H 용역</v>
          </cell>
          <cell r="F2988" t="str">
            <v>3112</v>
          </cell>
          <cell r="G2988" t="str">
            <v>3120</v>
          </cell>
          <cell r="H2988" t="str">
            <v>19860818</v>
          </cell>
          <cell r="I2988">
            <v>21996322</v>
          </cell>
        </row>
        <row r="2989">
          <cell r="A2989" t="str">
            <v>9400375</v>
          </cell>
          <cell r="B2989" t="str">
            <v>권　대　식</v>
          </cell>
          <cell r="C2989" t="str">
            <v>9400375권　대　식</v>
          </cell>
          <cell r="D2989" t="str">
            <v>HA20</v>
          </cell>
          <cell r="E2989" t="str">
            <v>부산조업담당</v>
          </cell>
          <cell r="F2989" t="str">
            <v>3120</v>
          </cell>
          <cell r="G2989" t="str">
            <v>3310</v>
          </cell>
          <cell r="H2989" t="str">
            <v>19940120</v>
          </cell>
          <cell r="I2989">
            <v>8107975</v>
          </cell>
        </row>
        <row r="2990">
          <cell r="A2990" t="str">
            <v>7810492</v>
          </cell>
          <cell r="B2990" t="str">
            <v>김　대　언</v>
          </cell>
          <cell r="C2990" t="str">
            <v>7810492김　대　언</v>
          </cell>
          <cell r="D2990" t="str">
            <v>HA20</v>
          </cell>
          <cell r="E2990" t="str">
            <v>부산조업담당</v>
          </cell>
          <cell r="F2990" t="str">
            <v>3120</v>
          </cell>
          <cell r="G2990" t="str">
            <v>3223</v>
          </cell>
          <cell r="H2990" t="str">
            <v>19780516</v>
          </cell>
          <cell r="I2990">
            <v>38599757</v>
          </cell>
        </row>
        <row r="2991">
          <cell r="A2991" t="str">
            <v>9206458</v>
          </cell>
          <cell r="B2991" t="str">
            <v>김　수　곤</v>
          </cell>
          <cell r="C2991" t="str">
            <v>9206458김　수　곤</v>
          </cell>
          <cell r="D2991" t="str">
            <v>HA20</v>
          </cell>
          <cell r="E2991" t="str">
            <v>부산조업담당</v>
          </cell>
          <cell r="F2991" t="str">
            <v>3120</v>
          </cell>
          <cell r="G2991" t="str">
            <v>3310</v>
          </cell>
          <cell r="H2991" t="str">
            <v>19921016</v>
          </cell>
          <cell r="I2991">
            <v>12056624</v>
          </cell>
        </row>
        <row r="2992">
          <cell r="A2992" t="str">
            <v>8910112</v>
          </cell>
          <cell r="B2992" t="str">
            <v>김　인　호</v>
          </cell>
          <cell r="C2992" t="str">
            <v>8910112김　인　호</v>
          </cell>
          <cell r="D2992" t="str">
            <v>HA20</v>
          </cell>
          <cell r="E2992" t="str">
            <v>부산조업담당</v>
          </cell>
          <cell r="F2992" t="str">
            <v>3120</v>
          </cell>
          <cell r="G2992" t="str">
            <v>3410</v>
          </cell>
          <cell r="H2992" t="str">
            <v>19890306</v>
          </cell>
          <cell r="I2992">
            <v>17743457</v>
          </cell>
        </row>
        <row r="2993">
          <cell r="A2993" t="str">
            <v>9110158</v>
          </cell>
          <cell r="B2993" t="str">
            <v>김　일　곤</v>
          </cell>
          <cell r="C2993" t="str">
            <v>9110158김　일　곤</v>
          </cell>
          <cell r="D2993" t="str">
            <v>HA20</v>
          </cell>
          <cell r="E2993" t="str">
            <v>부산조업담당</v>
          </cell>
          <cell r="F2993" t="str">
            <v>3120</v>
          </cell>
          <cell r="G2993" t="str">
            <v>3310</v>
          </cell>
          <cell r="H2993" t="str">
            <v>19910316</v>
          </cell>
          <cell r="I2993">
            <v>15166953</v>
          </cell>
        </row>
        <row r="2994">
          <cell r="A2994" t="str">
            <v>9104861</v>
          </cell>
          <cell r="B2994" t="str">
            <v>김　종　필</v>
          </cell>
          <cell r="C2994" t="str">
            <v>9104861김　종　필</v>
          </cell>
          <cell r="D2994" t="str">
            <v>HA20</v>
          </cell>
          <cell r="E2994" t="str">
            <v>부산조업담당</v>
          </cell>
          <cell r="F2994" t="str">
            <v>3120</v>
          </cell>
          <cell r="G2994" t="str">
            <v>3310</v>
          </cell>
          <cell r="H2994" t="str">
            <v>19911101</v>
          </cell>
          <cell r="I2994">
            <v>12142435</v>
          </cell>
        </row>
        <row r="2995">
          <cell r="A2995" t="str">
            <v>9360180</v>
          </cell>
          <cell r="B2995" t="str">
            <v>김　현　영</v>
          </cell>
          <cell r="C2995" t="str">
            <v>9360180김　현　영</v>
          </cell>
          <cell r="D2995" t="str">
            <v>HA20</v>
          </cell>
          <cell r="E2995" t="str">
            <v>부산조업담당</v>
          </cell>
          <cell r="F2995" t="str">
            <v>3120</v>
          </cell>
          <cell r="G2995" t="str">
            <v>3310</v>
          </cell>
          <cell r="H2995" t="str">
            <v>19930401</v>
          </cell>
          <cell r="I2995">
            <v>8376545</v>
          </cell>
        </row>
        <row r="2996">
          <cell r="A2996" t="str">
            <v>8610963</v>
          </cell>
          <cell r="B2996" t="str">
            <v>김　효　원</v>
          </cell>
          <cell r="C2996" t="str">
            <v>8610963김　효　원</v>
          </cell>
          <cell r="D2996" t="str">
            <v>HA20</v>
          </cell>
          <cell r="E2996" t="str">
            <v>부산조업담당</v>
          </cell>
          <cell r="F2996" t="str">
            <v>3120</v>
          </cell>
          <cell r="G2996" t="str">
            <v>3310</v>
          </cell>
          <cell r="H2996" t="str">
            <v>19861001</v>
          </cell>
          <cell r="I2996">
            <v>25410391</v>
          </cell>
        </row>
        <row r="2997">
          <cell r="A2997" t="str">
            <v>9502615</v>
          </cell>
          <cell r="B2997" t="str">
            <v>나　춘　식</v>
          </cell>
          <cell r="C2997" t="str">
            <v>9502615나　춘　식</v>
          </cell>
          <cell r="D2997" t="str">
            <v>HA20</v>
          </cell>
          <cell r="E2997" t="str">
            <v>부산조업담당</v>
          </cell>
          <cell r="F2997" t="str">
            <v>3120</v>
          </cell>
          <cell r="G2997" t="str">
            <v>3223</v>
          </cell>
          <cell r="H2997" t="str">
            <v>19951005</v>
          </cell>
          <cell r="I2997">
            <v>4532568</v>
          </cell>
        </row>
        <row r="2998">
          <cell r="A2998" t="str">
            <v>9711764</v>
          </cell>
          <cell r="B2998" t="str">
            <v>노　소　조</v>
          </cell>
          <cell r="C2998" t="str">
            <v>9711764노　소　조</v>
          </cell>
          <cell r="D2998" t="str">
            <v>HA20</v>
          </cell>
          <cell r="E2998" t="str">
            <v>부산조업담당</v>
          </cell>
          <cell r="F2998" t="str">
            <v>3120</v>
          </cell>
          <cell r="G2998" t="str">
            <v>3410</v>
          </cell>
          <cell r="H2998" t="str">
            <v>19970929</v>
          </cell>
          <cell r="I2998">
            <v>3021824</v>
          </cell>
        </row>
        <row r="2999">
          <cell r="A2999" t="str">
            <v>8400666</v>
          </cell>
          <cell r="B2999" t="str">
            <v>박　창　현</v>
          </cell>
          <cell r="C2999" t="str">
            <v>8400666박　창　현</v>
          </cell>
          <cell r="D2999" t="str">
            <v>HA20</v>
          </cell>
          <cell r="E2999" t="str">
            <v>부산조업담당</v>
          </cell>
          <cell r="F2999" t="str">
            <v>3120</v>
          </cell>
          <cell r="G2999" t="str">
            <v>3310</v>
          </cell>
          <cell r="H2999" t="str">
            <v>19840813</v>
          </cell>
          <cell r="I2999">
            <v>25189927</v>
          </cell>
        </row>
        <row r="3000">
          <cell r="A3000" t="str">
            <v>9402491</v>
          </cell>
          <cell r="B3000" t="str">
            <v>배　성　완</v>
          </cell>
          <cell r="C3000" t="str">
            <v>9402491배　성　완</v>
          </cell>
          <cell r="D3000" t="str">
            <v>HA20</v>
          </cell>
          <cell r="E3000" t="str">
            <v>부산조업담당</v>
          </cell>
          <cell r="F3000" t="str">
            <v>3120</v>
          </cell>
          <cell r="G3000" t="str">
            <v>3310</v>
          </cell>
          <cell r="H3000" t="str">
            <v>19940418</v>
          </cell>
          <cell r="I3000">
            <v>7673739</v>
          </cell>
        </row>
        <row r="3001">
          <cell r="A3001" t="str">
            <v>8811011</v>
          </cell>
          <cell r="B3001" t="str">
            <v>서　종　철</v>
          </cell>
          <cell r="C3001" t="str">
            <v>8811011서　종　철</v>
          </cell>
          <cell r="D3001" t="str">
            <v>HA20</v>
          </cell>
          <cell r="E3001" t="str">
            <v>부산조업담당</v>
          </cell>
          <cell r="F3001" t="str">
            <v>3120</v>
          </cell>
          <cell r="G3001" t="str">
            <v>3410</v>
          </cell>
          <cell r="H3001" t="str">
            <v>19880701</v>
          </cell>
          <cell r="I3001">
            <v>21019900</v>
          </cell>
        </row>
        <row r="3002">
          <cell r="A3002" t="str">
            <v>7400013</v>
          </cell>
          <cell r="B3002" t="str">
            <v>신　기　홍</v>
          </cell>
          <cell r="C3002" t="str">
            <v>7400013신　기　홍</v>
          </cell>
          <cell r="D3002" t="str">
            <v>HA20</v>
          </cell>
          <cell r="E3002" t="str">
            <v>부산조업담당</v>
          </cell>
          <cell r="F3002" t="str">
            <v>3120</v>
          </cell>
          <cell r="G3002" t="str">
            <v>3310</v>
          </cell>
          <cell r="H3002" t="str">
            <v>19970624</v>
          </cell>
          <cell r="I3002">
            <v>7053938</v>
          </cell>
        </row>
        <row r="3003">
          <cell r="A3003" t="str">
            <v>9500657</v>
          </cell>
          <cell r="B3003" t="str">
            <v>신　용　희</v>
          </cell>
          <cell r="C3003" t="str">
            <v>9500657신　용　희</v>
          </cell>
          <cell r="D3003" t="str">
            <v>HA20</v>
          </cell>
          <cell r="E3003" t="str">
            <v>부산조업담당</v>
          </cell>
          <cell r="F3003" t="str">
            <v>3120</v>
          </cell>
          <cell r="G3003" t="str">
            <v>3310</v>
          </cell>
          <cell r="H3003" t="str">
            <v>19950415</v>
          </cell>
          <cell r="I3003">
            <v>6180968</v>
          </cell>
        </row>
        <row r="3004">
          <cell r="A3004" t="str">
            <v>8910055</v>
          </cell>
          <cell r="B3004" t="str">
            <v>안　철　수</v>
          </cell>
          <cell r="C3004" t="str">
            <v>8910055안　철　수</v>
          </cell>
          <cell r="D3004" t="str">
            <v>HA20</v>
          </cell>
          <cell r="E3004" t="str">
            <v>부산조업담당</v>
          </cell>
          <cell r="F3004" t="str">
            <v>3120</v>
          </cell>
          <cell r="G3004" t="e">
            <v>#N/A</v>
          </cell>
          <cell r="H3004" t="str">
            <v>19890120</v>
          </cell>
          <cell r="I3004">
            <v>17691806</v>
          </cell>
          <cell r="J3004" t="str">
            <v>5 월</v>
          </cell>
          <cell r="K3004">
            <v>18418793</v>
          </cell>
        </row>
        <row r="3005">
          <cell r="A3005" t="str">
            <v>9004994</v>
          </cell>
          <cell r="B3005" t="str">
            <v>오　제　성</v>
          </cell>
          <cell r="C3005" t="str">
            <v>9004994오　제　성</v>
          </cell>
          <cell r="D3005" t="str">
            <v>HA20</v>
          </cell>
          <cell r="E3005" t="str">
            <v>부산조업담당</v>
          </cell>
          <cell r="F3005" t="str">
            <v>3120</v>
          </cell>
          <cell r="G3005" t="str">
            <v>3310</v>
          </cell>
          <cell r="H3005" t="str">
            <v>19901116</v>
          </cell>
          <cell r="I3005">
            <v>15762272</v>
          </cell>
        </row>
        <row r="3006">
          <cell r="A3006" t="str">
            <v>9110147</v>
          </cell>
          <cell r="B3006" t="str">
            <v>유　병　욱</v>
          </cell>
          <cell r="C3006" t="str">
            <v>9110147유　병　욱</v>
          </cell>
          <cell r="D3006" t="str">
            <v>HA20</v>
          </cell>
          <cell r="E3006" t="str">
            <v>부산조업담당</v>
          </cell>
          <cell r="F3006" t="str">
            <v>3120</v>
          </cell>
          <cell r="G3006" t="str">
            <v>3410</v>
          </cell>
          <cell r="H3006" t="str">
            <v>19910316</v>
          </cell>
          <cell r="I3006">
            <v>15462539</v>
          </cell>
        </row>
        <row r="3007">
          <cell r="A3007" t="str">
            <v>9210846</v>
          </cell>
          <cell r="B3007" t="str">
            <v>유　선　기</v>
          </cell>
          <cell r="C3007" t="str">
            <v>9210846유　선　기</v>
          </cell>
          <cell r="D3007" t="str">
            <v>HA20</v>
          </cell>
          <cell r="E3007" t="str">
            <v>부산조업담당</v>
          </cell>
          <cell r="F3007" t="str">
            <v>3120</v>
          </cell>
          <cell r="G3007" t="str">
            <v>3410</v>
          </cell>
          <cell r="H3007" t="str">
            <v>19920215</v>
          </cell>
          <cell r="I3007">
            <v>18158416</v>
          </cell>
        </row>
        <row r="3008">
          <cell r="A3008" t="str">
            <v>9110777</v>
          </cell>
          <cell r="B3008" t="str">
            <v>윤　순　표</v>
          </cell>
          <cell r="C3008" t="str">
            <v>9110777윤　순　표</v>
          </cell>
          <cell r="D3008" t="str">
            <v>HA20</v>
          </cell>
          <cell r="E3008" t="str">
            <v>부산조업담당</v>
          </cell>
          <cell r="F3008" t="str">
            <v>3120</v>
          </cell>
          <cell r="G3008" t="str">
            <v>3410</v>
          </cell>
          <cell r="H3008" t="str">
            <v>19910601</v>
          </cell>
          <cell r="I3008">
            <v>14628187</v>
          </cell>
        </row>
        <row r="3009">
          <cell r="A3009" t="str">
            <v>7700804</v>
          </cell>
          <cell r="B3009" t="str">
            <v>이　근　옥</v>
          </cell>
          <cell r="C3009" t="str">
            <v>7700804이　근　옥</v>
          </cell>
          <cell r="D3009" t="str">
            <v>HA20</v>
          </cell>
          <cell r="E3009" t="str">
            <v>부산조업담당</v>
          </cell>
          <cell r="F3009" t="str">
            <v>3120</v>
          </cell>
          <cell r="G3009" t="str">
            <v>3310</v>
          </cell>
          <cell r="H3009" t="str">
            <v>19771210</v>
          </cell>
          <cell r="I3009">
            <v>40096244</v>
          </cell>
        </row>
        <row r="3010">
          <cell r="A3010" t="str">
            <v>9100091</v>
          </cell>
          <cell r="B3010" t="str">
            <v>이　명　식</v>
          </cell>
          <cell r="C3010" t="str">
            <v>9100091이　명　식</v>
          </cell>
          <cell r="D3010" t="str">
            <v>HA20</v>
          </cell>
          <cell r="E3010" t="str">
            <v>부산조업담당</v>
          </cell>
          <cell r="F3010" t="str">
            <v>3120</v>
          </cell>
          <cell r="G3010" t="str">
            <v>3310</v>
          </cell>
          <cell r="H3010" t="str">
            <v>19910116</v>
          </cell>
          <cell r="I3010">
            <v>13248716</v>
          </cell>
        </row>
        <row r="3011">
          <cell r="A3011" t="str">
            <v>8602176</v>
          </cell>
          <cell r="B3011" t="str">
            <v>이　상　근</v>
          </cell>
          <cell r="C3011" t="str">
            <v>8602176이　상　근</v>
          </cell>
          <cell r="D3011" t="str">
            <v>HA20</v>
          </cell>
          <cell r="E3011" t="str">
            <v>부산조업담당</v>
          </cell>
          <cell r="F3011" t="str">
            <v>3120</v>
          </cell>
          <cell r="G3011" t="str">
            <v>3310</v>
          </cell>
          <cell r="H3011" t="str">
            <v>19860801</v>
          </cell>
          <cell r="I3011">
            <v>23911950</v>
          </cell>
        </row>
        <row r="3012">
          <cell r="A3012" t="str">
            <v>8100775</v>
          </cell>
          <cell r="B3012" t="str">
            <v>이　성　권</v>
          </cell>
          <cell r="C3012" t="str">
            <v>8100775이　성　권</v>
          </cell>
          <cell r="D3012" t="str">
            <v>HA20</v>
          </cell>
          <cell r="E3012" t="str">
            <v>부산조업담당</v>
          </cell>
          <cell r="F3012" t="str">
            <v>3120</v>
          </cell>
          <cell r="G3012" t="str">
            <v>3310</v>
          </cell>
          <cell r="H3012" t="str">
            <v>19811015</v>
          </cell>
          <cell r="I3012">
            <v>37385126</v>
          </cell>
        </row>
        <row r="3013">
          <cell r="A3013" t="str">
            <v>8410138</v>
          </cell>
          <cell r="B3013" t="str">
            <v>이　우　조</v>
          </cell>
          <cell r="C3013" t="str">
            <v>8410138이　우　조</v>
          </cell>
          <cell r="D3013" t="str">
            <v>HA20</v>
          </cell>
          <cell r="E3013" t="str">
            <v>부산조업담당</v>
          </cell>
          <cell r="F3013" t="str">
            <v>3120</v>
          </cell>
          <cell r="G3013" t="str">
            <v>3410</v>
          </cell>
          <cell r="H3013" t="str">
            <v>19840416</v>
          </cell>
          <cell r="I3013">
            <v>26121698</v>
          </cell>
        </row>
        <row r="3014">
          <cell r="A3014" t="str">
            <v>9004522</v>
          </cell>
          <cell r="B3014" t="str">
            <v>이　재　춘</v>
          </cell>
          <cell r="C3014" t="str">
            <v>9004522이　재　춘</v>
          </cell>
          <cell r="D3014" t="str">
            <v>HA20</v>
          </cell>
          <cell r="E3014" t="str">
            <v>부산조업담당</v>
          </cell>
          <cell r="F3014" t="str">
            <v>3120</v>
          </cell>
          <cell r="G3014" t="str">
            <v>3223</v>
          </cell>
          <cell r="H3014" t="str">
            <v>19901005</v>
          </cell>
          <cell r="I3014">
            <v>10534740</v>
          </cell>
        </row>
        <row r="3015">
          <cell r="A3015" t="str">
            <v>9210993</v>
          </cell>
          <cell r="B3015" t="str">
            <v>이　화　영</v>
          </cell>
          <cell r="C3015" t="str">
            <v>9210993이　화　영</v>
          </cell>
          <cell r="D3015" t="str">
            <v>HA20</v>
          </cell>
          <cell r="E3015" t="str">
            <v>부산조업담당</v>
          </cell>
          <cell r="F3015" t="str">
            <v>3120</v>
          </cell>
          <cell r="G3015" t="e">
            <v>#N/A</v>
          </cell>
          <cell r="H3015" t="str">
            <v>19920215</v>
          </cell>
          <cell r="I3015">
            <v>15402225</v>
          </cell>
          <cell r="J3015" t="str">
            <v>3 월</v>
          </cell>
          <cell r="K3015">
            <v>16055404</v>
          </cell>
        </row>
        <row r="3016">
          <cell r="A3016" t="str">
            <v>9402906</v>
          </cell>
          <cell r="B3016" t="str">
            <v>임　봉　석</v>
          </cell>
          <cell r="C3016" t="str">
            <v>9402906임　봉　석</v>
          </cell>
          <cell r="D3016" t="str">
            <v>HA20</v>
          </cell>
          <cell r="E3016" t="str">
            <v>부산조업담당</v>
          </cell>
          <cell r="F3016" t="str">
            <v>3120</v>
          </cell>
          <cell r="G3016" t="str">
            <v>3310</v>
          </cell>
          <cell r="H3016" t="str">
            <v>19940502</v>
          </cell>
          <cell r="I3016">
            <v>7341048</v>
          </cell>
        </row>
        <row r="3017">
          <cell r="A3017" t="str">
            <v>9307855</v>
          </cell>
          <cell r="B3017" t="str">
            <v>정　영　호</v>
          </cell>
          <cell r="C3017" t="str">
            <v>9307855정　영　호</v>
          </cell>
          <cell r="D3017" t="str">
            <v>HA20</v>
          </cell>
          <cell r="E3017" t="str">
            <v>부산조업담당</v>
          </cell>
          <cell r="F3017" t="str">
            <v>3120</v>
          </cell>
          <cell r="G3017" t="str">
            <v>3410</v>
          </cell>
          <cell r="H3017" t="str">
            <v>19931201</v>
          </cell>
          <cell r="I3017">
            <v>8024966</v>
          </cell>
        </row>
        <row r="3018">
          <cell r="A3018" t="str">
            <v>8100472</v>
          </cell>
          <cell r="B3018" t="str">
            <v>정　원　용</v>
          </cell>
          <cell r="C3018" t="str">
            <v>8100472정　원　용</v>
          </cell>
          <cell r="D3018" t="str">
            <v>HA20</v>
          </cell>
          <cell r="E3018" t="str">
            <v>부산조업담당</v>
          </cell>
          <cell r="F3018" t="str">
            <v>3120</v>
          </cell>
          <cell r="G3018" t="str">
            <v>3310</v>
          </cell>
          <cell r="H3018" t="str">
            <v>19811015</v>
          </cell>
          <cell r="I3018">
            <v>33537302</v>
          </cell>
        </row>
        <row r="3019">
          <cell r="A3019" t="str">
            <v>8910876</v>
          </cell>
          <cell r="B3019" t="str">
            <v>정　유　한</v>
          </cell>
          <cell r="C3019" t="str">
            <v>8910876정　유　한</v>
          </cell>
          <cell r="D3019" t="str">
            <v>HA20</v>
          </cell>
          <cell r="E3019" t="str">
            <v>부산조업담당</v>
          </cell>
          <cell r="F3019" t="str">
            <v>3120</v>
          </cell>
          <cell r="G3019" t="str">
            <v>3410</v>
          </cell>
          <cell r="H3019" t="str">
            <v>19890710</v>
          </cell>
          <cell r="I3019">
            <v>17764322</v>
          </cell>
        </row>
        <row r="3020">
          <cell r="A3020" t="str">
            <v>9211151</v>
          </cell>
          <cell r="B3020" t="str">
            <v>정　일　한</v>
          </cell>
          <cell r="C3020" t="str">
            <v>9211151정　일　한</v>
          </cell>
          <cell r="D3020" t="str">
            <v>HA20</v>
          </cell>
          <cell r="E3020" t="str">
            <v>부산조업담당</v>
          </cell>
          <cell r="F3020" t="str">
            <v>3120</v>
          </cell>
          <cell r="G3020" t="str">
            <v>3410</v>
          </cell>
          <cell r="H3020" t="str">
            <v>19920501</v>
          </cell>
          <cell r="I3020">
            <v>10700679</v>
          </cell>
        </row>
        <row r="3021">
          <cell r="A3021" t="str">
            <v>8811055</v>
          </cell>
          <cell r="B3021" t="str">
            <v>정　종　민</v>
          </cell>
          <cell r="C3021" t="str">
            <v>8811055정　종　민</v>
          </cell>
          <cell r="D3021" t="str">
            <v>HA20</v>
          </cell>
          <cell r="E3021" t="str">
            <v>부산조업담당</v>
          </cell>
          <cell r="F3021" t="str">
            <v>3120</v>
          </cell>
          <cell r="G3021" t="str">
            <v>3410</v>
          </cell>
          <cell r="H3021" t="str">
            <v>19880701</v>
          </cell>
          <cell r="I3021">
            <v>20699706</v>
          </cell>
        </row>
        <row r="3022">
          <cell r="A3022" t="str">
            <v>9206460</v>
          </cell>
          <cell r="B3022" t="str">
            <v>조　두　명</v>
          </cell>
          <cell r="C3022" t="str">
            <v>9206460조　두　명</v>
          </cell>
          <cell r="D3022" t="str">
            <v>HA20</v>
          </cell>
          <cell r="E3022" t="str">
            <v>부산조업담당</v>
          </cell>
          <cell r="F3022" t="str">
            <v>3120</v>
          </cell>
          <cell r="G3022" t="str">
            <v>3310</v>
          </cell>
          <cell r="H3022" t="str">
            <v>19921016</v>
          </cell>
          <cell r="I3022">
            <v>10309178</v>
          </cell>
        </row>
        <row r="3023">
          <cell r="B3023" t="str">
            <v>조　면　호</v>
          </cell>
          <cell r="C3023" t="str">
            <v>조　면　호</v>
          </cell>
          <cell r="D3023" t="str">
            <v>HA20</v>
          </cell>
          <cell r="E3023" t="str">
            <v>부산조업담당</v>
          </cell>
          <cell r="F3023" t="str">
            <v>3120</v>
          </cell>
          <cell r="G3023" t="e">
            <v>#N/A</v>
          </cell>
          <cell r="J3023" t="str">
            <v>3 월</v>
          </cell>
          <cell r="K3023">
            <v>99628409</v>
          </cell>
        </row>
        <row r="3024">
          <cell r="A3024" t="str">
            <v>7100460</v>
          </cell>
          <cell r="B3024" t="str">
            <v>조　복　래</v>
          </cell>
          <cell r="C3024" t="str">
            <v>7100460조　복　래</v>
          </cell>
          <cell r="D3024" t="str">
            <v>HA20</v>
          </cell>
          <cell r="E3024" t="str">
            <v>부산조업담당</v>
          </cell>
          <cell r="F3024" t="str">
            <v>3120</v>
          </cell>
          <cell r="G3024" t="str">
            <v>3222</v>
          </cell>
          <cell r="H3024" t="str">
            <v>19710610</v>
          </cell>
          <cell r="I3024">
            <v>52655737</v>
          </cell>
        </row>
        <row r="3025">
          <cell r="A3025" t="str">
            <v>8811022</v>
          </cell>
          <cell r="B3025" t="str">
            <v>조　성　구</v>
          </cell>
          <cell r="C3025" t="str">
            <v>8811022조　성　구</v>
          </cell>
          <cell r="D3025" t="str">
            <v>HA20</v>
          </cell>
          <cell r="E3025" t="str">
            <v>부산조업담당</v>
          </cell>
          <cell r="F3025" t="str">
            <v>3120</v>
          </cell>
          <cell r="G3025" t="str">
            <v>3410</v>
          </cell>
          <cell r="H3025" t="str">
            <v>19880701</v>
          </cell>
          <cell r="I3025">
            <v>23508628</v>
          </cell>
        </row>
        <row r="3026">
          <cell r="A3026" t="str">
            <v>8910977</v>
          </cell>
          <cell r="B3026" t="str">
            <v>지　승　현</v>
          </cell>
          <cell r="C3026" t="str">
            <v>8910977지　승　현</v>
          </cell>
          <cell r="D3026" t="str">
            <v>HA20</v>
          </cell>
          <cell r="E3026" t="str">
            <v>부산조업담당</v>
          </cell>
          <cell r="F3026" t="str">
            <v>3120</v>
          </cell>
          <cell r="G3026" t="str">
            <v>3410</v>
          </cell>
          <cell r="H3026" t="str">
            <v>19890904</v>
          </cell>
          <cell r="I3026">
            <v>17616734</v>
          </cell>
        </row>
        <row r="3027">
          <cell r="A3027" t="str">
            <v>9203512</v>
          </cell>
          <cell r="B3027" t="str">
            <v>최　영　완</v>
          </cell>
          <cell r="C3027" t="str">
            <v>9203512최　영　완</v>
          </cell>
          <cell r="D3027" t="str">
            <v>HA20</v>
          </cell>
          <cell r="E3027" t="str">
            <v>부산조업담당</v>
          </cell>
          <cell r="F3027" t="str">
            <v>3120</v>
          </cell>
          <cell r="G3027" t="str">
            <v>3310</v>
          </cell>
          <cell r="H3027" t="str">
            <v>19920601</v>
          </cell>
          <cell r="I3027">
            <v>10958622</v>
          </cell>
        </row>
        <row r="3028">
          <cell r="A3028" t="str">
            <v>8602672</v>
          </cell>
          <cell r="B3028" t="str">
            <v>최　영　준</v>
          </cell>
          <cell r="C3028" t="str">
            <v>8602672최　영　준</v>
          </cell>
          <cell r="D3028" t="str">
            <v>HA20</v>
          </cell>
          <cell r="E3028" t="str">
            <v>부산조업담당</v>
          </cell>
          <cell r="F3028" t="str">
            <v>3120</v>
          </cell>
          <cell r="G3028" t="str">
            <v>3310</v>
          </cell>
          <cell r="H3028" t="str">
            <v>19860811</v>
          </cell>
          <cell r="I3028">
            <v>24384410</v>
          </cell>
        </row>
        <row r="3029">
          <cell r="A3029" t="str">
            <v>8701716</v>
          </cell>
          <cell r="B3029" t="str">
            <v>강　경　문</v>
          </cell>
          <cell r="C3029" t="str">
            <v>8701716강　경　문</v>
          </cell>
          <cell r="D3029" t="str">
            <v>HA30</v>
          </cell>
          <cell r="E3029" t="str">
            <v>부산조업담당</v>
          </cell>
          <cell r="F3029" t="str">
            <v>3120</v>
          </cell>
          <cell r="G3029" t="str">
            <v>3120</v>
          </cell>
          <cell r="H3029" t="str">
            <v>19870722</v>
          </cell>
          <cell r="I3029">
            <v>17046514</v>
          </cell>
        </row>
        <row r="3030">
          <cell r="A3030" t="str">
            <v>9502435</v>
          </cell>
          <cell r="B3030" t="str">
            <v>강　만　오</v>
          </cell>
          <cell r="C3030" t="str">
            <v>9502435강　만　오</v>
          </cell>
          <cell r="D3030" t="str">
            <v>HA30</v>
          </cell>
          <cell r="E3030" t="str">
            <v>부산조업담당</v>
          </cell>
          <cell r="F3030" t="str">
            <v>3120</v>
          </cell>
          <cell r="G3030" t="str">
            <v>3120</v>
          </cell>
          <cell r="H3030" t="str">
            <v>19950916</v>
          </cell>
          <cell r="I3030">
            <v>4588250</v>
          </cell>
        </row>
        <row r="3031">
          <cell r="A3031" t="str">
            <v>9001765</v>
          </cell>
          <cell r="B3031" t="str">
            <v>강　문　석</v>
          </cell>
          <cell r="C3031" t="str">
            <v>9001765강　문　석</v>
          </cell>
          <cell r="D3031" t="str">
            <v>HA30</v>
          </cell>
          <cell r="E3031" t="str">
            <v>부산조업담당</v>
          </cell>
          <cell r="F3031" t="str">
            <v>3120</v>
          </cell>
          <cell r="G3031" t="str">
            <v>3120</v>
          </cell>
          <cell r="H3031" t="str">
            <v>19891120</v>
          </cell>
          <cell r="I3031">
            <v>14962613</v>
          </cell>
        </row>
        <row r="3032">
          <cell r="A3032" t="str">
            <v>7800107</v>
          </cell>
          <cell r="B3032" t="str">
            <v>강　재　황</v>
          </cell>
          <cell r="C3032" t="str">
            <v>7800107강　재　황</v>
          </cell>
          <cell r="D3032" t="str">
            <v>HA30</v>
          </cell>
          <cell r="E3032" t="str">
            <v>부산조업담당</v>
          </cell>
          <cell r="F3032" t="str">
            <v>3120</v>
          </cell>
          <cell r="G3032" t="str">
            <v>3120</v>
          </cell>
          <cell r="H3032" t="str">
            <v>19780201</v>
          </cell>
          <cell r="I3032">
            <v>34698742</v>
          </cell>
        </row>
        <row r="3033">
          <cell r="A3033" t="str">
            <v>8000752</v>
          </cell>
          <cell r="B3033" t="str">
            <v>강　종　영</v>
          </cell>
          <cell r="C3033" t="str">
            <v>8000752강　종　영</v>
          </cell>
          <cell r="D3033" t="str">
            <v>HA30</v>
          </cell>
          <cell r="E3033" t="str">
            <v>부산조업담당</v>
          </cell>
          <cell r="F3033" t="str">
            <v>3120</v>
          </cell>
          <cell r="G3033" t="str">
            <v>3120</v>
          </cell>
          <cell r="H3033" t="str">
            <v>19801230</v>
          </cell>
          <cell r="I3033">
            <v>34733945</v>
          </cell>
        </row>
        <row r="3034">
          <cell r="A3034" t="str">
            <v>8602514</v>
          </cell>
          <cell r="B3034" t="str">
            <v>강　진　수</v>
          </cell>
          <cell r="C3034" t="str">
            <v>8602514강　진　수</v>
          </cell>
          <cell r="D3034" t="str">
            <v>HA30</v>
          </cell>
          <cell r="E3034" t="str">
            <v>부산조업담당</v>
          </cell>
          <cell r="F3034" t="str">
            <v>3120</v>
          </cell>
          <cell r="G3034" t="str">
            <v>3120</v>
          </cell>
          <cell r="H3034" t="str">
            <v>19860811</v>
          </cell>
          <cell r="I3034">
            <v>19931309</v>
          </cell>
        </row>
        <row r="3035">
          <cell r="A3035" t="str">
            <v>9103331</v>
          </cell>
          <cell r="B3035" t="str">
            <v>강　징　원</v>
          </cell>
          <cell r="C3035" t="str">
            <v>9103331강　징　원</v>
          </cell>
          <cell r="D3035" t="str">
            <v>HA30</v>
          </cell>
          <cell r="E3035" t="str">
            <v>부산조업담당</v>
          </cell>
          <cell r="F3035" t="str">
            <v>3120</v>
          </cell>
          <cell r="G3035" t="str">
            <v>3120</v>
          </cell>
          <cell r="H3035" t="str">
            <v>19910801</v>
          </cell>
          <cell r="I3035">
            <v>10250953</v>
          </cell>
        </row>
        <row r="3036">
          <cell r="A3036" t="str">
            <v>8401116</v>
          </cell>
          <cell r="B3036" t="str">
            <v>강　필　재</v>
          </cell>
          <cell r="C3036" t="str">
            <v>8401116강　필　재</v>
          </cell>
          <cell r="D3036" t="str">
            <v>HA30</v>
          </cell>
          <cell r="E3036" t="str">
            <v>부산조업담당</v>
          </cell>
          <cell r="F3036" t="str">
            <v>3120</v>
          </cell>
          <cell r="G3036" t="str">
            <v>3310</v>
          </cell>
          <cell r="H3036" t="str">
            <v>19840901</v>
          </cell>
          <cell r="I3036">
            <v>27289754</v>
          </cell>
        </row>
        <row r="3037">
          <cell r="A3037" t="str">
            <v>9002068</v>
          </cell>
          <cell r="B3037" t="str">
            <v>강　형　진</v>
          </cell>
          <cell r="C3037" t="str">
            <v>9002068강　형　진</v>
          </cell>
          <cell r="D3037" t="str">
            <v>HA30</v>
          </cell>
          <cell r="E3037" t="str">
            <v>부산조업담당</v>
          </cell>
          <cell r="F3037" t="str">
            <v>3120</v>
          </cell>
          <cell r="G3037" t="str">
            <v>3120</v>
          </cell>
          <cell r="H3037" t="str">
            <v>19891211</v>
          </cell>
          <cell r="I3037">
            <v>13318372</v>
          </cell>
        </row>
        <row r="3038">
          <cell r="A3038" t="str">
            <v>8903070</v>
          </cell>
          <cell r="B3038" t="str">
            <v>고　준　길</v>
          </cell>
          <cell r="C3038" t="str">
            <v>8903070고　준　길</v>
          </cell>
          <cell r="D3038" t="str">
            <v>HA30</v>
          </cell>
          <cell r="E3038" t="str">
            <v>부산조업담당</v>
          </cell>
          <cell r="F3038" t="str">
            <v>3120</v>
          </cell>
          <cell r="G3038" t="str">
            <v>3120</v>
          </cell>
          <cell r="H3038" t="str">
            <v>19890317</v>
          </cell>
          <cell r="I3038">
            <v>16300634</v>
          </cell>
          <cell r="J3038" t="str">
            <v>5 월</v>
          </cell>
          <cell r="K3038">
            <v>16851784</v>
          </cell>
        </row>
        <row r="3039">
          <cell r="A3039" t="str">
            <v>8604843</v>
          </cell>
          <cell r="B3039" t="str">
            <v>공　영　식</v>
          </cell>
          <cell r="C3039" t="str">
            <v>8604843공　영　식</v>
          </cell>
          <cell r="D3039" t="str">
            <v>HA30</v>
          </cell>
          <cell r="E3039" t="str">
            <v>부산조업담당</v>
          </cell>
          <cell r="F3039" t="str">
            <v>3120</v>
          </cell>
          <cell r="G3039" t="str">
            <v>3120</v>
          </cell>
          <cell r="H3039" t="str">
            <v>19861119</v>
          </cell>
          <cell r="I3039">
            <v>20437532</v>
          </cell>
        </row>
        <row r="3040">
          <cell r="A3040" t="str">
            <v>9101518</v>
          </cell>
          <cell r="B3040" t="str">
            <v>공　원　철</v>
          </cell>
          <cell r="C3040" t="str">
            <v>9101518공　원　철</v>
          </cell>
          <cell r="D3040" t="str">
            <v>HA30</v>
          </cell>
          <cell r="E3040" t="str">
            <v>부산조업담당</v>
          </cell>
          <cell r="F3040" t="str">
            <v>3120</v>
          </cell>
          <cell r="G3040" t="str">
            <v>3120</v>
          </cell>
          <cell r="H3040" t="str">
            <v>19910423</v>
          </cell>
          <cell r="I3040">
            <v>11729156</v>
          </cell>
        </row>
        <row r="3041">
          <cell r="A3041" t="str">
            <v>9403964</v>
          </cell>
          <cell r="B3041" t="str">
            <v>구　자　훈</v>
          </cell>
          <cell r="C3041" t="str">
            <v>9403964구　자　훈</v>
          </cell>
          <cell r="D3041" t="str">
            <v>HA30</v>
          </cell>
          <cell r="E3041" t="str">
            <v>부산조업담당</v>
          </cell>
          <cell r="F3041" t="str">
            <v>3120</v>
          </cell>
          <cell r="G3041" t="str">
            <v>3120</v>
          </cell>
          <cell r="H3041" t="str">
            <v>19940616</v>
          </cell>
          <cell r="I3041">
            <v>6083749</v>
          </cell>
        </row>
        <row r="3042">
          <cell r="A3042" t="str">
            <v>8200484</v>
          </cell>
          <cell r="B3042" t="str">
            <v>권　대　웅</v>
          </cell>
          <cell r="C3042" t="str">
            <v>8200484권　대　웅</v>
          </cell>
          <cell r="D3042" t="str">
            <v>HA30</v>
          </cell>
          <cell r="E3042" t="str">
            <v>부산조업담당</v>
          </cell>
          <cell r="F3042" t="str">
            <v>3120</v>
          </cell>
          <cell r="G3042" t="str">
            <v>3120</v>
          </cell>
          <cell r="H3042" t="str">
            <v>19820615</v>
          </cell>
          <cell r="I3042">
            <v>29606220</v>
          </cell>
        </row>
        <row r="3043">
          <cell r="A3043" t="str">
            <v>9200586</v>
          </cell>
          <cell r="B3043" t="str">
            <v>권　주　국</v>
          </cell>
          <cell r="C3043" t="str">
            <v>9200586권　주　국</v>
          </cell>
          <cell r="D3043" t="str">
            <v>HA30</v>
          </cell>
          <cell r="E3043" t="str">
            <v>부산조업담당</v>
          </cell>
          <cell r="F3043" t="str">
            <v>3120</v>
          </cell>
          <cell r="G3043" t="str">
            <v>3120</v>
          </cell>
          <cell r="H3043" t="str">
            <v>19920116</v>
          </cell>
          <cell r="I3043">
            <v>9829241</v>
          </cell>
        </row>
        <row r="3044">
          <cell r="A3044" t="str">
            <v>8602435</v>
          </cell>
          <cell r="B3044" t="str">
            <v>김　경　식</v>
          </cell>
          <cell r="C3044" t="str">
            <v>8602435김　경　식</v>
          </cell>
          <cell r="D3044" t="str">
            <v>HA30</v>
          </cell>
          <cell r="E3044" t="str">
            <v>부산조업담당</v>
          </cell>
          <cell r="F3044" t="str">
            <v>3120</v>
          </cell>
          <cell r="G3044" t="str">
            <v>3120</v>
          </cell>
          <cell r="H3044" t="str">
            <v>19860811</v>
          </cell>
          <cell r="I3044">
            <v>20355384</v>
          </cell>
        </row>
        <row r="3045">
          <cell r="A3045" t="str">
            <v>9004601</v>
          </cell>
          <cell r="B3045" t="str">
            <v>김　경　주</v>
          </cell>
          <cell r="C3045" t="str">
            <v>9004601김　경　주</v>
          </cell>
          <cell r="D3045" t="str">
            <v>HA30</v>
          </cell>
          <cell r="E3045" t="str">
            <v>부산조업담당</v>
          </cell>
          <cell r="F3045" t="str">
            <v>3120</v>
          </cell>
          <cell r="G3045" t="str">
            <v>3310</v>
          </cell>
          <cell r="H3045" t="str">
            <v>19901016</v>
          </cell>
          <cell r="I3045">
            <v>15704796</v>
          </cell>
        </row>
        <row r="3046">
          <cell r="A3046" t="str">
            <v>9502637</v>
          </cell>
          <cell r="B3046" t="str">
            <v>김　경　찬</v>
          </cell>
          <cell r="C3046" t="str">
            <v>9502637김　경　찬</v>
          </cell>
          <cell r="D3046" t="str">
            <v>HA30</v>
          </cell>
          <cell r="E3046" t="str">
            <v>부산조업담당</v>
          </cell>
          <cell r="F3046" t="str">
            <v>3120</v>
          </cell>
          <cell r="G3046" t="e">
            <v>#N/A</v>
          </cell>
          <cell r="H3046" t="str">
            <v>19951005</v>
          </cell>
          <cell r="I3046">
            <v>4813721</v>
          </cell>
          <cell r="J3046" t="str">
            <v>3 월</v>
          </cell>
          <cell r="K3046">
            <v>4998913</v>
          </cell>
        </row>
        <row r="3047">
          <cell r="A3047" t="str">
            <v>9504112</v>
          </cell>
          <cell r="B3047" t="str">
            <v>김　경　훈</v>
          </cell>
          <cell r="C3047" t="str">
            <v>9504112김　경　훈</v>
          </cell>
          <cell r="D3047" t="str">
            <v>HA30</v>
          </cell>
          <cell r="E3047" t="str">
            <v>부산조업담당</v>
          </cell>
          <cell r="F3047" t="str">
            <v>3120</v>
          </cell>
          <cell r="G3047" t="str">
            <v>3120</v>
          </cell>
          <cell r="H3047" t="str">
            <v>19951229</v>
          </cell>
          <cell r="I3047">
            <v>4283763</v>
          </cell>
        </row>
        <row r="3048">
          <cell r="A3048" t="str">
            <v>8401678</v>
          </cell>
          <cell r="B3048" t="str">
            <v>김　광　열</v>
          </cell>
          <cell r="C3048" t="str">
            <v>8401678김　광　열</v>
          </cell>
          <cell r="D3048" t="str">
            <v>HA30</v>
          </cell>
          <cell r="E3048" t="str">
            <v>부산조업담당</v>
          </cell>
          <cell r="F3048" t="str">
            <v>3120</v>
          </cell>
          <cell r="G3048" t="str">
            <v>3120</v>
          </cell>
          <cell r="H3048" t="str">
            <v>19841126</v>
          </cell>
          <cell r="I3048">
            <v>22352209</v>
          </cell>
        </row>
        <row r="3049">
          <cell r="A3049" t="str">
            <v>8602470</v>
          </cell>
          <cell r="B3049" t="str">
            <v>김　광　원</v>
          </cell>
          <cell r="C3049" t="str">
            <v>8602470김　광　원</v>
          </cell>
          <cell r="D3049" t="str">
            <v>HA30</v>
          </cell>
          <cell r="E3049" t="str">
            <v>부산조업담당</v>
          </cell>
          <cell r="F3049" t="str">
            <v>3120</v>
          </cell>
          <cell r="G3049" t="str">
            <v>3120</v>
          </cell>
          <cell r="H3049" t="str">
            <v>19860811</v>
          </cell>
          <cell r="I3049">
            <v>19719278</v>
          </cell>
        </row>
        <row r="3050">
          <cell r="A3050" t="str">
            <v>8501758</v>
          </cell>
          <cell r="B3050" t="str">
            <v>김　덕　근</v>
          </cell>
          <cell r="C3050" t="str">
            <v>8501758김　덕　근</v>
          </cell>
          <cell r="D3050" t="str">
            <v>HA30</v>
          </cell>
          <cell r="E3050" t="str">
            <v>부산조업담당</v>
          </cell>
          <cell r="F3050" t="str">
            <v>3120</v>
          </cell>
          <cell r="G3050" t="str">
            <v>3120</v>
          </cell>
          <cell r="H3050" t="str">
            <v>19850701</v>
          </cell>
          <cell r="I3050">
            <v>25474029</v>
          </cell>
        </row>
        <row r="3051">
          <cell r="A3051" t="str">
            <v>8451011</v>
          </cell>
          <cell r="B3051" t="str">
            <v>김　덕　임</v>
          </cell>
          <cell r="C3051" t="str">
            <v>8451011김　덕　임</v>
          </cell>
          <cell r="D3051" t="str">
            <v>HA30</v>
          </cell>
          <cell r="E3051" t="str">
            <v>부산조업담당</v>
          </cell>
          <cell r="F3051" t="str">
            <v>3120</v>
          </cell>
          <cell r="G3051" t="str">
            <v>3120</v>
          </cell>
          <cell r="H3051" t="str">
            <v>19840901</v>
          </cell>
          <cell r="I3051">
            <v>17871872</v>
          </cell>
        </row>
        <row r="3052">
          <cell r="A3052" t="str">
            <v>9301105</v>
          </cell>
          <cell r="B3052" t="str">
            <v>김　덕　현</v>
          </cell>
          <cell r="C3052" t="str">
            <v>9301105김　덕　현</v>
          </cell>
          <cell r="D3052" t="str">
            <v>HA30</v>
          </cell>
          <cell r="E3052" t="str">
            <v>부산조업담당</v>
          </cell>
          <cell r="F3052" t="str">
            <v>3120</v>
          </cell>
          <cell r="G3052" t="str">
            <v>3120</v>
          </cell>
          <cell r="H3052" t="str">
            <v>19930216</v>
          </cell>
          <cell r="I3052">
            <v>8086902</v>
          </cell>
        </row>
        <row r="3053">
          <cell r="A3053" t="str">
            <v>9002092</v>
          </cell>
          <cell r="B3053" t="str">
            <v>김　도　곤</v>
          </cell>
          <cell r="C3053" t="str">
            <v>9002092김　도　곤</v>
          </cell>
          <cell r="D3053" t="str">
            <v>HA30</v>
          </cell>
          <cell r="E3053" t="str">
            <v>부산조업담당</v>
          </cell>
          <cell r="F3053" t="str">
            <v>3120</v>
          </cell>
          <cell r="G3053" t="str">
            <v>3120</v>
          </cell>
          <cell r="H3053" t="str">
            <v>19891211</v>
          </cell>
          <cell r="I3053">
            <v>14776981</v>
          </cell>
        </row>
        <row r="3054">
          <cell r="A3054" t="str">
            <v>9100890</v>
          </cell>
          <cell r="B3054" t="str">
            <v>김　도　균</v>
          </cell>
          <cell r="C3054" t="str">
            <v>9100890김　도　균</v>
          </cell>
          <cell r="D3054" t="str">
            <v>HA30</v>
          </cell>
          <cell r="E3054" t="str">
            <v>부산조업담당</v>
          </cell>
          <cell r="F3054" t="str">
            <v>3120</v>
          </cell>
          <cell r="G3054" t="str">
            <v>3223</v>
          </cell>
          <cell r="H3054" t="str">
            <v>19910306</v>
          </cell>
          <cell r="I3054">
            <v>10199763</v>
          </cell>
        </row>
        <row r="3055">
          <cell r="A3055" t="str">
            <v>9504055</v>
          </cell>
          <cell r="B3055" t="str">
            <v>김　동　영</v>
          </cell>
          <cell r="C3055" t="str">
            <v>9504055김　동　영</v>
          </cell>
          <cell r="D3055" t="str">
            <v>HA30</v>
          </cell>
          <cell r="E3055" t="str">
            <v>부산조업담당</v>
          </cell>
          <cell r="F3055" t="str">
            <v>3120</v>
          </cell>
          <cell r="G3055" t="e">
            <v>#N/A</v>
          </cell>
          <cell r="H3055" t="str">
            <v>19951218</v>
          </cell>
          <cell r="I3055">
            <v>4315933</v>
          </cell>
          <cell r="J3055" t="str">
            <v>10 월</v>
          </cell>
          <cell r="K3055">
            <v>6156090</v>
          </cell>
        </row>
        <row r="3056">
          <cell r="A3056" t="str">
            <v>9600265</v>
          </cell>
          <cell r="B3056" t="str">
            <v>김　만　식</v>
          </cell>
          <cell r="C3056" t="str">
            <v>9600265김　만　식</v>
          </cell>
          <cell r="D3056" t="str">
            <v>HA30</v>
          </cell>
          <cell r="E3056" t="str">
            <v>부산조업담당</v>
          </cell>
          <cell r="F3056" t="str">
            <v>3120</v>
          </cell>
          <cell r="G3056" t="str">
            <v>3120</v>
          </cell>
          <cell r="H3056" t="str">
            <v>19960122</v>
          </cell>
          <cell r="I3056">
            <v>4608500</v>
          </cell>
        </row>
        <row r="3057">
          <cell r="A3057" t="str">
            <v>8000190</v>
          </cell>
          <cell r="B3057" t="str">
            <v>김　말　두</v>
          </cell>
          <cell r="C3057" t="str">
            <v>8000190김　말　두</v>
          </cell>
          <cell r="D3057" t="str">
            <v>HA30</v>
          </cell>
          <cell r="E3057" t="str">
            <v>부산조업담당</v>
          </cell>
          <cell r="F3057" t="str">
            <v>3120</v>
          </cell>
          <cell r="G3057" t="str">
            <v>3120</v>
          </cell>
          <cell r="H3057" t="str">
            <v>19801016</v>
          </cell>
          <cell r="I3057">
            <v>34084939</v>
          </cell>
        </row>
        <row r="3058">
          <cell r="A3058" t="str">
            <v>9351933</v>
          </cell>
          <cell r="B3058" t="str">
            <v>김　민　자</v>
          </cell>
          <cell r="C3058" t="str">
            <v>9351933김　민　자</v>
          </cell>
          <cell r="D3058" t="str">
            <v>HA30</v>
          </cell>
          <cell r="E3058" t="str">
            <v>부산조업담당</v>
          </cell>
          <cell r="F3058" t="str">
            <v>3120</v>
          </cell>
          <cell r="G3058" t="str">
            <v>3120</v>
          </cell>
          <cell r="H3058" t="str">
            <v>19930922</v>
          </cell>
          <cell r="I3058">
            <v>5880677</v>
          </cell>
        </row>
        <row r="3059">
          <cell r="A3059" t="str">
            <v>8800154</v>
          </cell>
          <cell r="B3059" t="str">
            <v>김　병　권</v>
          </cell>
          <cell r="C3059" t="str">
            <v>8800154김　병　권</v>
          </cell>
          <cell r="D3059" t="str">
            <v>HA30</v>
          </cell>
          <cell r="E3059" t="str">
            <v>부산조업담당</v>
          </cell>
          <cell r="F3059" t="str">
            <v>3120</v>
          </cell>
          <cell r="G3059" t="str">
            <v>3310</v>
          </cell>
          <cell r="H3059" t="str">
            <v>19880225</v>
          </cell>
          <cell r="I3059">
            <v>20224776</v>
          </cell>
        </row>
        <row r="3060">
          <cell r="A3060" t="str">
            <v>8300068</v>
          </cell>
          <cell r="B3060" t="str">
            <v>김　병　학</v>
          </cell>
          <cell r="C3060" t="str">
            <v>8300068김　병　학</v>
          </cell>
          <cell r="D3060" t="str">
            <v>HA30</v>
          </cell>
          <cell r="E3060" t="str">
            <v>부산조업담당</v>
          </cell>
          <cell r="F3060" t="str">
            <v>3120</v>
          </cell>
          <cell r="G3060" t="str">
            <v>3120</v>
          </cell>
          <cell r="H3060" t="str">
            <v>19830101</v>
          </cell>
          <cell r="I3060">
            <v>25705411</v>
          </cell>
        </row>
        <row r="3061">
          <cell r="A3061" t="str">
            <v>9600107</v>
          </cell>
          <cell r="B3061" t="str">
            <v>김　봉　건</v>
          </cell>
          <cell r="C3061" t="str">
            <v>9600107김　봉　건</v>
          </cell>
          <cell r="D3061" t="str">
            <v>HA30</v>
          </cell>
          <cell r="E3061" t="str">
            <v>부산조업담당</v>
          </cell>
          <cell r="F3061" t="str">
            <v>3120</v>
          </cell>
          <cell r="G3061" t="str">
            <v>3120</v>
          </cell>
          <cell r="H3061" t="str">
            <v>19960108</v>
          </cell>
          <cell r="I3061">
            <v>4240821</v>
          </cell>
        </row>
        <row r="3062">
          <cell r="A3062" t="str">
            <v>9100170</v>
          </cell>
          <cell r="B3062" t="str">
            <v>김　봉　수</v>
          </cell>
          <cell r="C3062" t="str">
            <v>9100170김　봉　수</v>
          </cell>
          <cell r="D3062" t="str">
            <v>HA30</v>
          </cell>
          <cell r="E3062" t="str">
            <v>부산조업담당</v>
          </cell>
          <cell r="F3062" t="str">
            <v>3120</v>
          </cell>
          <cell r="G3062" t="str">
            <v>3120</v>
          </cell>
          <cell r="H3062" t="str">
            <v>19910116</v>
          </cell>
          <cell r="I3062">
            <v>13058125</v>
          </cell>
        </row>
        <row r="3063">
          <cell r="A3063" t="str">
            <v>9504123</v>
          </cell>
          <cell r="B3063" t="str">
            <v>김　상　욱</v>
          </cell>
          <cell r="C3063" t="str">
            <v>9504123김　상　욱</v>
          </cell>
          <cell r="D3063" t="str">
            <v>HA30</v>
          </cell>
          <cell r="E3063" t="str">
            <v>부산조업담당</v>
          </cell>
          <cell r="F3063" t="str">
            <v>3120</v>
          </cell>
          <cell r="G3063" t="str">
            <v>3120</v>
          </cell>
          <cell r="H3063" t="str">
            <v>19951229</v>
          </cell>
          <cell r="I3063">
            <v>4531270</v>
          </cell>
        </row>
        <row r="3064">
          <cell r="A3064" t="str">
            <v>8602446</v>
          </cell>
          <cell r="B3064" t="str">
            <v>김　석　봉</v>
          </cell>
          <cell r="C3064" t="str">
            <v>8602446김　석　봉</v>
          </cell>
          <cell r="D3064" t="str">
            <v>HA30</v>
          </cell>
          <cell r="E3064" t="str">
            <v>부산조업담당</v>
          </cell>
          <cell r="F3064" t="str">
            <v>3120</v>
          </cell>
          <cell r="G3064" t="str">
            <v>3223</v>
          </cell>
          <cell r="H3064" t="str">
            <v>19860811</v>
          </cell>
          <cell r="I3064">
            <v>19825286</v>
          </cell>
        </row>
        <row r="3065">
          <cell r="A3065" t="str">
            <v>9003082</v>
          </cell>
          <cell r="B3065" t="str">
            <v>김　성　양</v>
          </cell>
          <cell r="C3065" t="str">
            <v>9003082김　성　양</v>
          </cell>
          <cell r="D3065" t="str">
            <v>HA30</v>
          </cell>
          <cell r="E3065" t="str">
            <v>부산조업담당</v>
          </cell>
          <cell r="F3065" t="str">
            <v>3120</v>
          </cell>
          <cell r="G3065" t="str">
            <v>3120</v>
          </cell>
          <cell r="H3065" t="str">
            <v>19900516</v>
          </cell>
          <cell r="I3065">
            <v>12198120</v>
          </cell>
        </row>
        <row r="3066">
          <cell r="A3066" t="str">
            <v>8801122</v>
          </cell>
          <cell r="B3066" t="str">
            <v>김　성　욱</v>
          </cell>
          <cell r="C3066" t="str">
            <v>8801122김　성　욱</v>
          </cell>
          <cell r="D3066" t="str">
            <v>HA30</v>
          </cell>
          <cell r="E3066" t="str">
            <v>부산조업담당</v>
          </cell>
          <cell r="F3066" t="str">
            <v>3120</v>
          </cell>
          <cell r="G3066" t="str">
            <v>3120</v>
          </cell>
          <cell r="H3066" t="str">
            <v>19880718</v>
          </cell>
          <cell r="I3066">
            <v>15057056</v>
          </cell>
        </row>
        <row r="3067">
          <cell r="A3067" t="str">
            <v>8400306</v>
          </cell>
          <cell r="B3067" t="str">
            <v>김　성　일</v>
          </cell>
          <cell r="C3067" t="str">
            <v>8400306김　성　일</v>
          </cell>
          <cell r="D3067" t="str">
            <v>HA30</v>
          </cell>
          <cell r="E3067" t="str">
            <v>부산조업담당</v>
          </cell>
          <cell r="F3067" t="str">
            <v>3120</v>
          </cell>
          <cell r="G3067" t="str">
            <v>3120</v>
          </cell>
          <cell r="H3067" t="str">
            <v>19840510</v>
          </cell>
          <cell r="I3067">
            <v>24248272</v>
          </cell>
        </row>
        <row r="3068">
          <cell r="A3068" t="str">
            <v>9550686</v>
          </cell>
          <cell r="B3068" t="str">
            <v>김　수　진</v>
          </cell>
          <cell r="C3068" t="str">
            <v>9550686김　수　진</v>
          </cell>
          <cell r="D3068" t="str">
            <v>HA30</v>
          </cell>
          <cell r="E3068" t="str">
            <v>부산조업담당</v>
          </cell>
          <cell r="F3068" t="str">
            <v>3120</v>
          </cell>
          <cell r="G3068" t="e">
            <v>#N/A</v>
          </cell>
          <cell r="H3068" t="str">
            <v>19951023</v>
          </cell>
          <cell r="I3068">
            <v>3736548</v>
          </cell>
          <cell r="J3068" t="str">
            <v>5 월</v>
          </cell>
          <cell r="K3068">
            <v>4058498</v>
          </cell>
        </row>
        <row r="3069">
          <cell r="A3069" t="str">
            <v>9250705</v>
          </cell>
          <cell r="B3069" t="str">
            <v>김　순　기</v>
          </cell>
          <cell r="C3069" t="str">
            <v>9250705김　순　기</v>
          </cell>
          <cell r="D3069" t="str">
            <v>HA30</v>
          </cell>
          <cell r="E3069" t="str">
            <v>부산조업담당</v>
          </cell>
          <cell r="F3069" t="str">
            <v>3120</v>
          </cell>
          <cell r="G3069" t="str">
            <v>3120</v>
          </cell>
          <cell r="H3069" t="str">
            <v>19920401</v>
          </cell>
          <cell r="I3069">
            <v>7491265</v>
          </cell>
        </row>
        <row r="3070">
          <cell r="A3070" t="str">
            <v>8751238</v>
          </cell>
          <cell r="B3070" t="str">
            <v>김　순　덕</v>
          </cell>
          <cell r="C3070" t="str">
            <v>8751238김　순　덕</v>
          </cell>
          <cell r="D3070" t="str">
            <v>HA30</v>
          </cell>
          <cell r="E3070" t="str">
            <v>부산조업담당</v>
          </cell>
          <cell r="F3070" t="str">
            <v>3120</v>
          </cell>
          <cell r="G3070" t="str">
            <v>3120</v>
          </cell>
          <cell r="H3070" t="str">
            <v>19871001</v>
          </cell>
          <cell r="I3070">
            <v>12846111</v>
          </cell>
        </row>
        <row r="3071">
          <cell r="A3071" t="str">
            <v>8400835</v>
          </cell>
          <cell r="B3071" t="str">
            <v>김　순　섭</v>
          </cell>
          <cell r="C3071" t="str">
            <v>8400835김　순　섭</v>
          </cell>
          <cell r="D3071" t="str">
            <v>HA30</v>
          </cell>
          <cell r="E3071" t="str">
            <v>부산조업담당</v>
          </cell>
          <cell r="F3071" t="str">
            <v>3120</v>
          </cell>
          <cell r="G3071" t="str">
            <v>3120</v>
          </cell>
          <cell r="H3071" t="str">
            <v>19840816</v>
          </cell>
          <cell r="I3071">
            <v>24348494</v>
          </cell>
        </row>
        <row r="3072">
          <cell r="A3072" t="str">
            <v>8750867</v>
          </cell>
          <cell r="B3072" t="str">
            <v>김　애　자</v>
          </cell>
          <cell r="C3072" t="str">
            <v>8750867김　애　자</v>
          </cell>
          <cell r="D3072" t="str">
            <v>HA30</v>
          </cell>
          <cell r="E3072" t="str">
            <v>부산조업담당</v>
          </cell>
          <cell r="F3072" t="str">
            <v>3120</v>
          </cell>
          <cell r="G3072" t="e">
            <v>#N/A</v>
          </cell>
          <cell r="H3072" t="str">
            <v>19870615</v>
          </cell>
          <cell r="I3072">
            <v>14650451</v>
          </cell>
          <cell r="J3072" t="str">
            <v>10 월</v>
          </cell>
          <cell r="K3072">
            <v>18187295</v>
          </cell>
        </row>
        <row r="3073">
          <cell r="A3073" t="str">
            <v>9201914</v>
          </cell>
          <cell r="B3073" t="str">
            <v>김　영　남</v>
          </cell>
          <cell r="C3073" t="str">
            <v>9201914김　영　남</v>
          </cell>
          <cell r="D3073" t="str">
            <v>HA30</v>
          </cell>
          <cell r="E3073" t="str">
            <v>부산조업담당</v>
          </cell>
          <cell r="F3073" t="str">
            <v>3120</v>
          </cell>
          <cell r="G3073" t="str">
            <v>3410</v>
          </cell>
          <cell r="H3073" t="str">
            <v>19920401</v>
          </cell>
          <cell r="I3073">
            <v>9573231</v>
          </cell>
        </row>
        <row r="3074">
          <cell r="A3074" t="str">
            <v>9650250</v>
          </cell>
          <cell r="B3074" t="str">
            <v>김　영　미</v>
          </cell>
          <cell r="C3074" t="str">
            <v>9650250김　영　미</v>
          </cell>
          <cell r="D3074" t="str">
            <v>HA30</v>
          </cell>
          <cell r="E3074" t="str">
            <v>부산조업담당</v>
          </cell>
          <cell r="F3074" t="str">
            <v>3120</v>
          </cell>
          <cell r="G3074" t="str">
            <v>3120</v>
          </cell>
          <cell r="H3074" t="str">
            <v>19960501</v>
          </cell>
          <cell r="I3074">
            <v>3237098</v>
          </cell>
        </row>
        <row r="3075">
          <cell r="A3075" t="str">
            <v>9406034</v>
          </cell>
          <cell r="B3075" t="str">
            <v>김　영　배</v>
          </cell>
          <cell r="C3075" t="str">
            <v>9406034김　영　배</v>
          </cell>
          <cell r="D3075" t="str">
            <v>HA30</v>
          </cell>
          <cell r="E3075" t="str">
            <v>부산조업담당</v>
          </cell>
          <cell r="F3075" t="str">
            <v>3120</v>
          </cell>
          <cell r="G3075" t="str">
            <v>3120</v>
          </cell>
          <cell r="H3075" t="str">
            <v>19940901</v>
          </cell>
          <cell r="I3075">
            <v>6072538</v>
          </cell>
        </row>
        <row r="3076">
          <cell r="A3076" t="str">
            <v>9104051</v>
          </cell>
          <cell r="B3076" t="str">
            <v>김　영　호</v>
          </cell>
          <cell r="C3076" t="str">
            <v>9104051김　영　호</v>
          </cell>
          <cell r="D3076" t="str">
            <v>HA30</v>
          </cell>
          <cell r="E3076" t="str">
            <v>부산조업담당</v>
          </cell>
          <cell r="F3076" t="str">
            <v>3120</v>
          </cell>
          <cell r="G3076" t="str">
            <v>3120</v>
          </cell>
          <cell r="H3076" t="str">
            <v>19910918</v>
          </cell>
          <cell r="I3076">
            <v>9513468</v>
          </cell>
        </row>
        <row r="3077">
          <cell r="A3077" t="str">
            <v>7900536</v>
          </cell>
          <cell r="B3077" t="str">
            <v>김　용　대</v>
          </cell>
          <cell r="C3077" t="str">
            <v>7900536김　용　대</v>
          </cell>
          <cell r="D3077" t="str">
            <v>HA30</v>
          </cell>
          <cell r="E3077" t="str">
            <v>부산조업담당</v>
          </cell>
          <cell r="F3077" t="str">
            <v>3120</v>
          </cell>
          <cell r="G3077" t="str">
            <v>3120</v>
          </cell>
          <cell r="H3077" t="str">
            <v>19790701</v>
          </cell>
          <cell r="I3077">
            <v>33925735</v>
          </cell>
        </row>
        <row r="3078">
          <cell r="B3078" t="str">
            <v>김　영</v>
          </cell>
          <cell r="C3078" t="str">
            <v>김　영</v>
          </cell>
          <cell r="D3078" t="str">
            <v>HA30</v>
          </cell>
          <cell r="E3078" t="str">
            <v>부산조업담당</v>
          </cell>
          <cell r="F3078" t="str">
            <v>3120</v>
          </cell>
          <cell r="G3078" t="e">
            <v>#N/A</v>
          </cell>
          <cell r="J3078" t="str">
            <v>12 월</v>
          </cell>
          <cell r="K3078">
            <v>1748000</v>
          </cell>
        </row>
        <row r="3079">
          <cell r="A3079" t="str">
            <v>9403650</v>
          </cell>
          <cell r="B3079" t="str">
            <v>김　원　일</v>
          </cell>
          <cell r="C3079" t="str">
            <v>9403650김　원　일</v>
          </cell>
          <cell r="D3079" t="str">
            <v>HA30</v>
          </cell>
          <cell r="E3079" t="str">
            <v>부산조업담당</v>
          </cell>
          <cell r="F3079" t="str">
            <v>3120</v>
          </cell>
          <cell r="G3079" t="str">
            <v>3120</v>
          </cell>
          <cell r="H3079" t="str">
            <v>19940601</v>
          </cell>
          <cell r="I3079">
            <v>6103032</v>
          </cell>
        </row>
        <row r="3080">
          <cell r="A3080" t="str">
            <v>8602650</v>
          </cell>
          <cell r="B3080" t="str">
            <v>김　윤　한</v>
          </cell>
          <cell r="C3080" t="str">
            <v>8602650김　윤　한</v>
          </cell>
          <cell r="D3080" t="str">
            <v>HA30</v>
          </cell>
          <cell r="E3080" t="str">
            <v>부산조업담당</v>
          </cell>
          <cell r="F3080" t="str">
            <v>3120</v>
          </cell>
          <cell r="G3080" t="str">
            <v>3120</v>
          </cell>
          <cell r="H3080" t="str">
            <v>19860811</v>
          </cell>
          <cell r="I3080">
            <v>19802668</v>
          </cell>
        </row>
        <row r="3081">
          <cell r="A3081" t="str">
            <v>8200541</v>
          </cell>
          <cell r="B3081" t="str">
            <v>김　윤　환</v>
          </cell>
          <cell r="C3081" t="str">
            <v>8200541김　윤　환</v>
          </cell>
          <cell r="D3081" t="str">
            <v>HA30</v>
          </cell>
          <cell r="E3081" t="str">
            <v>부산조업담당</v>
          </cell>
          <cell r="F3081" t="str">
            <v>3120</v>
          </cell>
          <cell r="G3081" t="str">
            <v>3120</v>
          </cell>
          <cell r="H3081" t="str">
            <v>19820723</v>
          </cell>
          <cell r="I3081">
            <v>26652661</v>
          </cell>
        </row>
        <row r="3082">
          <cell r="A3082" t="str">
            <v>8200888</v>
          </cell>
          <cell r="B3082" t="str">
            <v>김　재　봉</v>
          </cell>
          <cell r="C3082" t="str">
            <v>8200888김　재　봉</v>
          </cell>
          <cell r="D3082" t="str">
            <v>HA30</v>
          </cell>
          <cell r="E3082" t="str">
            <v>부산조업담당</v>
          </cell>
          <cell r="F3082" t="str">
            <v>3120</v>
          </cell>
          <cell r="G3082" t="str">
            <v>3120</v>
          </cell>
          <cell r="H3082" t="str">
            <v>19821004</v>
          </cell>
          <cell r="I3082">
            <v>26074056</v>
          </cell>
        </row>
        <row r="3083">
          <cell r="A3083" t="str">
            <v>8401105</v>
          </cell>
          <cell r="B3083" t="str">
            <v>김　정　대</v>
          </cell>
          <cell r="C3083" t="str">
            <v>8401105김　정　대</v>
          </cell>
          <cell r="D3083" t="str">
            <v>HA30</v>
          </cell>
          <cell r="E3083" t="str">
            <v>부산조업담당</v>
          </cell>
          <cell r="F3083" t="str">
            <v>3120</v>
          </cell>
          <cell r="G3083" t="str">
            <v>3120</v>
          </cell>
          <cell r="H3083" t="str">
            <v>19840901</v>
          </cell>
          <cell r="I3083">
            <v>25960800</v>
          </cell>
        </row>
        <row r="3084">
          <cell r="A3084" t="str">
            <v>8200517</v>
          </cell>
          <cell r="B3084" t="str">
            <v>김　정　두</v>
          </cell>
          <cell r="C3084" t="str">
            <v>8200517김　정　두</v>
          </cell>
          <cell r="D3084" t="str">
            <v>HA30</v>
          </cell>
          <cell r="E3084" t="str">
            <v>부산조업담당</v>
          </cell>
          <cell r="F3084" t="str">
            <v>3120</v>
          </cell>
          <cell r="G3084" t="str">
            <v>3120</v>
          </cell>
          <cell r="H3084" t="str">
            <v>19820723</v>
          </cell>
          <cell r="I3084">
            <v>27729815</v>
          </cell>
        </row>
        <row r="3085">
          <cell r="A3085" t="str">
            <v>9402028</v>
          </cell>
          <cell r="B3085" t="str">
            <v>김　정　오</v>
          </cell>
          <cell r="C3085" t="str">
            <v>9402028김　정　오</v>
          </cell>
          <cell r="D3085" t="str">
            <v>HA30</v>
          </cell>
          <cell r="E3085" t="str">
            <v>부산조업담당</v>
          </cell>
          <cell r="F3085" t="str">
            <v>3120</v>
          </cell>
          <cell r="G3085" t="str">
            <v>3120</v>
          </cell>
          <cell r="H3085" t="str">
            <v>19940401</v>
          </cell>
          <cell r="I3085">
            <v>6300646</v>
          </cell>
        </row>
        <row r="3086">
          <cell r="A3086" t="str">
            <v>8501725</v>
          </cell>
          <cell r="B3086" t="str">
            <v>김　정　호</v>
          </cell>
          <cell r="C3086" t="str">
            <v>8501725김　정　호</v>
          </cell>
          <cell r="D3086" t="str">
            <v>HA30</v>
          </cell>
          <cell r="E3086" t="str">
            <v>부산조업담당</v>
          </cell>
          <cell r="F3086" t="str">
            <v>3120</v>
          </cell>
          <cell r="G3086" t="str">
            <v>3120</v>
          </cell>
          <cell r="H3086" t="str">
            <v>19850701</v>
          </cell>
          <cell r="I3086">
            <v>21586930</v>
          </cell>
        </row>
        <row r="3087">
          <cell r="A3087" t="str">
            <v>9204715</v>
          </cell>
          <cell r="B3087" t="str">
            <v>김　종　목</v>
          </cell>
          <cell r="C3087" t="str">
            <v>9204715김　종　목</v>
          </cell>
          <cell r="D3087" t="str">
            <v>HA30</v>
          </cell>
          <cell r="E3087" t="str">
            <v>부산조업담당</v>
          </cell>
          <cell r="F3087" t="str">
            <v>3120</v>
          </cell>
          <cell r="G3087" t="str">
            <v>3120</v>
          </cell>
          <cell r="H3087" t="str">
            <v>19920801</v>
          </cell>
          <cell r="I3087">
            <v>9209573</v>
          </cell>
        </row>
        <row r="3088">
          <cell r="A3088" t="str">
            <v>8602424</v>
          </cell>
          <cell r="B3088" t="str">
            <v>김　종　율</v>
          </cell>
          <cell r="C3088" t="str">
            <v>8602424김　종　율</v>
          </cell>
          <cell r="D3088" t="str">
            <v>HA30</v>
          </cell>
          <cell r="E3088" t="str">
            <v>부산조업담당</v>
          </cell>
          <cell r="F3088" t="str">
            <v>3120</v>
          </cell>
          <cell r="G3088" t="str">
            <v>3120</v>
          </cell>
          <cell r="H3088" t="str">
            <v>19860811</v>
          </cell>
          <cell r="I3088">
            <v>19719278</v>
          </cell>
        </row>
        <row r="3089">
          <cell r="A3089" t="str">
            <v>9404875</v>
          </cell>
          <cell r="B3089" t="str">
            <v>김　종　철</v>
          </cell>
          <cell r="C3089" t="str">
            <v>9404875김　종　철</v>
          </cell>
          <cell r="D3089" t="str">
            <v>HA30</v>
          </cell>
          <cell r="E3089" t="str">
            <v>부산조업담당</v>
          </cell>
          <cell r="F3089" t="str">
            <v>3120</v>
          </cell>
          <cell r="G3089" t="str">
            <v>3120</v>
          </cell>
          <cell r="H3089" t="str">
            <v>19940718</v>
          </cell>
          <cell r="I3089">
            <v>5962318</v>
          </cell>
        </row>
        <row r="3090">
          <cell r="A3090" t="str">
            <v>8702043</v>
          </cell>
          <cell r="B3090" t="str">
            <v>김　중　원</v>
          </cell>
          <cell r="C3090" t="str">
            <v>8702043김　중　원</v>
          </cell>
          <cell r="D3090" t="str">
            <v>HA30</v>
          </cell>
          <cell r="E3090" t="str">
            <v>부산조업담당</v>
          </cell>
          <cell r="F3090" t="str">
            <v>3120</v>
          </cell>
          <cell r="G3090" t="str">
            <v>5211</v>
          </cell>
          <cell r="H3090" t="str">
            <v>19870901</v>
          </cell>
          <cell r="I3090">
            <v>19775102</v>
          </cell>
        </row>
        <row r="3091">
          <cell r="A3091" t="str">
            <v>9103252</v>
          </cell>
          <cell r="B3091" t="str">
            <v>김　진　국</v>
          </cell>
          <cell r="C3091" t="str">
            <v>9103252김　진　국</v>
          </cell>
          <cell r="D3091" t="str">
            <v>HA30</v>
          </cell>
          <cell r="E3091" t="str">
            <v>부산조업담당</v>
          </cell>
          <cell r="F3091" t="str">
            <v>3120</v>
          </cell>
          <cell r="G3091" t="str">
            <v>3120</v>
          </cell>
          <cell r="H3091" t="str">
            <v>19910801</v>
          </cell>
          <cell r="I3091">
            <v>9731073</v>
          </cell>
        </row>
        <row r="3092">
          <cell r="A3092" t="str">
            <v>8602413</v>
          </cell>
          <cell r="B3092" t="str">
            <v>김　진　영</v>
          </cell>
          <cell r="C3092" t="str">
            <v>8602413김　진　영</v>
          </cell>
          <cell r="D3092" t="str">
            <v>HA30</v>
          </cell>
          <cell r="E3092" t="str">
            <v>부산조업담당</v>
          </cell>
          <cell r="F3092" t="str">
            <v>3120</v>
          </cell>
          <cell r="G3092" t="str">
            <v>3223</v>
          </cell>
          <cell r="H3092" t="str">
            <v>19860811</v>
          </cell>
          <cell r="I3092">
            <v>19719278</v>
          </cell>
        </row>
        <row r="3093">
          <cell r="A3093" t="str">
            <v>9503076</v>
          </cell>
          <cell r="B3093" t="str">
            <v>김　창　수</v>
          </cell>
          <cell r="C3093" t="str">
            <v>9503076김　창　수</v>
          </cell>
          <cell r="D3093" t="str">
            <v>HA30</v>
          </cell>
          <cell r="E3093" t="str">
            <v>부산조업담당</v>
          </cell>
          <cell r="F3093" t="str">
            <v>3120</v>
          </cell>
          <cell r="G3093" t="str">
            <v>3120</v>
          </cell>
          <cell r="H3093" t="str">
            <v>19951023</v>
          </cell>
          <cell r="I3093">
            <v>4479879</v>
          </cell>
        </row>
        <row r="3094">
          <cell r="A3094" t="str">
            <v>8701187</v>
          </cell>
          <cell r="B3094" t="str">
            <v>김　태　기</v>
          </cell>
          <cell r="C3094" t="str">
            <v>8701187김　태　기</v>
          </cell>
          <cell r="D3094" t="str">
            <v>HA30</v>
          </cell>
          <cell r="E3094" t="str">
            <v>부산조업담당</v>
          </cell>
          <cell r="F3094" t="str">
            <v>3120</v>
          </cell>
          <cell r="G3094" t="str">
            <v>3120</v>
          </cell>
          <cell r="H3094" t="str">
            <v>19870615</v>
          </cell>
          <cell r="I3094">
            <v>17284732</v>
          </cell>
        </row>
        <row r="3095">
          <cell r="A3095" t="str">
            <v>8702054</v>
          </cell>
          <cell r="B3095" t="str">
            <v>김　태　형</v>
          </cell>
          <cell r="C3095" t="str">
            <v>8702054김　태　형</v>
          </cell>
          <cell r="D3095" t="str">
            <v>HA30</v>
          </cell>
          <cell r="E3095" t="str">
            <v>부산조업담당</v>
          </cell>
          <cell r="F3095" t="str">
            <v>3120</v>
          </cell>
          <cell r="G3095" t="str">
            <v>3120</v>
          </cell>
          <cell r="H3095" t="str">
            <v>19981001</v>
          </cell>
          <cell r="I3095">
            <v>2021465</v>
          </cell>
        </row>
        <row r="3096">
          <cell r="A3096" t="str">
            <v>9004050</v>
          </cell>
          <cell r="B3096" t="str">
            <v>김　학　주</v>
          </cell>
          <cell r="C3096" t="str">
            <v>9004050김　학　주</v>
          </cell>
          <cell r="D3096" t="str">
            <v>HA30</v>
          </cell>
          <cell r="E3096" t="str">
            <v>부산조업담당</v>
          </cell>
          <cell r="F3096" t="str">
            <v>3120</v>
          </cell>
          <cell r="G3096" t="str">
            <v>3120</v>
          </cell>
          <cell r="H3096" t="str">
            <v>19900903</v>
          </cell>
          <cell r="I3096">
            <v>13725624</v>
          </cell>
        </row>
        <row r="3097">
          <cell r="A3097" t="str">
            <v>9203872</v>
          </cell>
          <cell r="B3097" t="str">
            <v>김　호　춘</v>
          </cell>
          <cell r="C3097" t="str">
            <v>9203872김　호　춘</v>
          </cell>
          <cell r="D3097" t="str">
            <v>HA30</v>
          </cell>
          <cell r="E3097" t="str">
            <v>부산조업담당</v>
          </cell>
          <cell r="F3097" t="str">
            <v>3120</v>
          </cell>
          <cell r="G3097" t="str">
            <v>3120</v>
          </cell>
          <cell r="H3097" t="str">
            <v>19920701</v>
          </cell>
          <cell r="I3097">
            <v>9331475</v>
          </cell>
        </row>
        <row r="3098">
          <cell r="A3098" t="str">
            <v>9202735</v>
          </cell>
          <cell r="B3098" t="str">
            <v>김　홍　재</v>
          </cell>
          <cell r="C3098" t="str">
            <v>9202735김　홍　재</v>
          </cell>
          <cell r="D3098" t="str">
            <v>HA30</v>
          </cell>
          <cell r="E3098" t="str">
            <v>부산조업담당</v>
          </cell>
          <cell r="F3098" t="str">
            <v>3120</v>
          </cell>
          <cell r="G3098" t="str">
            <v>3120</v>
          </cell>
          <cell r="H3098" t="str">
            <v>19920501</v>
          </cell>
          <cell r="I3098">
            <v>9097398</v>
          </cell>
        </row>
        <row r="3099">
          <cell r="A3099" t="str">
            <v>9105377</v>
          </cell>
          <cell r="B3099" t="str">
            <v>김　회　식</v>
          </cell>
          <cell r="C3099" t="str">
            <v>9105377김　회　식</v>
          </cell>
          <cell r="D3099" t="str">
            <v>HA30</v>
          </cell>
          <cell r="E3099" t="str">
            <v>부산조업담당</v>
          </cell>
          <cell r="F3099" t="str">
            <v>3120</v>
          </cell>
          <cell r="G3099" t="str">
            <v>3120</v>
          </cell>
          <cell r="H3099" t="str">
            <v>19911116</v>
          </cell>
          <cell r="I3099">
            <v>11201008</v>
          </cell>
        </row>
        <row r="3100">
          <cell r="A3100" t="str">
            <v>7400226</v>
          </cell>
          <cell r="B3100" t="str">
            <v>김　흥　진</v>
          </cell>
          <cell r="C3100" t="str">
            <v>7400226김　흥　진</v>
          </cell>
          <cell r="D3100" t="str">
            <v>HA30</v>
          </cell>
          <cell r="E3100" t="str">
            <v>부산조업담당</v>
          </cell>
          <cell r="F3100" t="str">
            <v>3120</v>
          </cell>
          <cell r="G3100" t="str">
            <v>3310</v>
          </cell>
          <cell r="H3100" t="str">
            <v>19740419</v>
          </cell>
          <cell r="I3100">
            <v>78219709</v>
          </cell>
        </row>
        <row r="3101">
          <cell r="A3101" t="str">
            <v>7700534</v>
          </cell>
          <cell r="B3101" t="str">
            <v>남　상　선</v>
          </cell>
          <cell r="C3101" t="str">
            <v>7700534남　상　선</v>
          </cell>
          <cell r="D3101" t="str">
            <v>HA30</v>
          </cell>
          <cell r="E3101" t="str">
            <v>부산조업담당</v>
          </cell>
          <cell r="F3101" t="str">
            <v>3120</v>
          </cell>
          <cell r="G3101" t="str">
            <v>3120</v>
          </cell>
          <cell r="H3101" t="str">
            <v>19770820</v>
          </cell>
          <cell r="I3101">
            <v>40877731</v>
          </cell>
        </row>
        <row r="3102">
          <cell r="A3102" t="str">
            <v>8750586</v>
          </cell>
          <cell r="B3102" t="str">
            <v>남　선　자</v>
          </cell>
          <cell r="C3102" t="str">
            <v>8750586남　선　자</v>
          </cell>
          <cell r="D3102" t="str">
            <v>HA30</v>
          </cell>
          <cell r="E3102" t="str">
            <v>부산조업담당</v>
          </cell>
          <cell r="F3102" t="str">
            <v>3120</v>
          </cell>
          <cell r="G3102" t="str">
            <v>3120</v>
          </cell>
          <cell r="H3102" t="str">
            <v>19870516</v>
          </cell>
          <cell r="I3102">
            <v>13483970</v>
          </cell>
        </row>
        <row r="3103">
          <cell r="A3103" t="str">
            <v>9152335</v>
          </cell>
          <cell r="B3103" t="str">
            <v>남　정　아</v>
          </cell>
          <cell r="C3103" t="str">
            <v>9152335남　정　아</v>
          </cell>
          <cell r="D3103" t="str">
            <v>HA30</v>
          </cell>
          <cell r="E3103" t="str">
            <v>부산조업담당</v>
          </cell>
          <cell r="F3103" t="str">
            <v>3120</v>
          </cell>
          <cell r="G3103" t="str">
            <v>3120</v>
          </cell>
          <cell r="H3103" t="str">
            <v>19911001</v>
          </cell>
          <cell r="I3103">
            <v>8031646</v>
          </cell>
        </row>
        <row r="3104">
          <cell r="A3104" t="str">
            <v>9402524</v>
          </cell>
          <cell r="B3104" t="str">
            <v>노　기　봉</v>
          </cell>
          <cell r="C3104" t="str">
            <v>9402524노　기　봉</v>
          </cell>
          <cell r="D3104" t="str">
            <v>HA30</v>
          </cell>
          <cell r="E3104" t="str">
            <v>부산조업담당</v>
          </cell>
          <cell r="F3104" t="str">
            <v>3120</v>
          </cell>
          <cell r="G3104" t="e">
            <v>#N/A</v>
          </cell>
          <cell r="H3104" t="str">
            <v>19940418</v>
          </cell>
          <cell r="I3104">
            <v>6632248</v>
          </cell>
          <cell r="J3104" t="str">
            <v>5 월</v>
          </cell>
          <cell r="K3104">
            <v>7089680</v>
          </cell>
        </row>
        <row r="3105">
          <cell r="A3105" t="str">
            <v>8401691</v>
          </cell>
          <cell r="B3105" t="str">
            <v>노　철　현</v>
          </cell>
          <cell r="C3105" t="str">
            <v>8401691노　철　현</v>
          </cell>
          <cell r="D3105" t="str">
            <v>HA30</v>
          </cell>
          <cell r="E3105" t="str">
            <v>부산조업담당</v>
          </cell>
          <cell r="F3105" t="str">
            <v>3120</v>
          </cell>
          <cell r="G3105" t="str">
            <v>3120</v>
          </cell>
          <cell r="H3105" t="str">
            <v>19841126</v>
          </cell>
          <cell r="I3105">
            <v>25576968</v>
          </cell>
        </row>
        <row r="3106">
          <cell r="A3106" t="str">
            <v>7700477</v>
          </cell>
          <cell r="B3106" t="str">
            <v>도　창　해</v>
          </cell>
          <cell r="C3106" t="str">
            <v>7700477도　창　해</v>
          </cell>
          <cell r="D3106" t="str">
            <v>HA30</v>
          </cell>
          <cell r="E3106" t="str">
            <v>부산조업담당</v>
          </cell>
          <cell r="F3106" t="str">
            <v>3120</v>
          </cell>
          <cell r="G3106" t="str">
            <v>3120</v>
          </cell>
          <cell r="H3106" t="str">
            <v>19770801</v>
          </cell>
          <cell r="I3106">
            <v>44595020</v>
          </cell>
        </row>
        <row r="3107">
          <cell r="A3107" t="str">
            <v>8902642</v>
          </cell>
          <cell r="B3107" t="str">
            <v>도　한　식</v>
          </cell>
          <cell r="C3107" t="str">
            <v>8902642도　한　식</v>
          </cell>
          <cell r="D3107" t="str">
            <v>HA30</v>
          </cell>
          <cell r="E3107" t="str">
            <v>부산조업담당</v>
          </cell>
          <cell r="F3107" t="str">
            <v>3120</v>
          </cell>
          <cell r="G3107" t="str">
            <v>3120</v>
          </cell>
          <cell r="H3107" t="str">
            <v>19890106</v>
          </cell>
          <cell r="I3107">
            <v>16535293</v>
          </cell>
        </row>
        <row r="3108">
          <cell r="A3108" t="str">
            <v>9204660</v>
          </cell>
          <cell r="B3108" t="str">
            <v>류　상　철</v>
          </cell>
          <cell r="C3108" t="str">
            <v>9204660류　상　철</v>
          </cell>
          <cell r="D3108" t="str">
            <v>HA30</v>
          </cell>
          <cell r="E3108" t="str">
            <v>부산조업담당</v>
          </cell>
          <cell r="F3108" t="str">
            <v>3120</v>
          </cell>
          <cell r="G3108" t="str">
            <v>3120</v>
          </cell>
          <cell r="H3108" t="str">
            <v>19920801</v>
          </cell>
          <cell r="I3108">
            <v>9432146</v>
          </cell>
        </row>
        <row r="3109">
          <cell r="A3109" t="str">
            <v>9002733</v>
          </cell>
          <cell r="B3109" t="str">
            <v>류　태　인</v>
          </cell>
          <cell r="C3109" t="str">
            <v>9002733류　태　인</v>
          </cell>
          <cell r="D3109" t="str">
            <v>HA30</v>
          </cell>
          <cell r="E3109" t="str">
            <v>부산조업담당</v>
          </cell>
          <cell r="F3109" t="str">
            <v>3120</v>
          </cell>
          <cell r="G3109" t="str">
            <v>3120</v>
          </cell>
          <cell r="H3109" t="str">
            <v>19900207</v>
          </cell>
          <cell r="I3109">
            <v>12616587</v>
          </cell>
        </row>
        <row r="3110">
          <cell r="A3110" t="str">
            <v>9002046</v>
          </cell>
          <cell r="B3110" t="str">
            <v>문　갑　환</v>
          </cell>
          <cell r="C3110" t="str">
            <v>9002046문　갑　환</v>
          </cell>
          <cell r="D3110" t="str">
            <v>HA30</v>
          </cell>
          <cell r="E3110" t="str">
            <v>부산조업담당</v>
          </cell>
          <cell r="F3110" t="str">
            <v>3120</v>
          </cell>
          <cell r="G3110" t="str">
            <v>3120</v>
          </cell>
          <cell r="H3110" t="str">
            <v>19891211</v>
          </cell>
          <cell r="I3110">
            <v>14998116</v>
          </cell>
        </row>
        <row r="3111">
          <cell r="A3111" t="str">
            <v>7800963</v>
          </cell>
          <cell r="B3111" t="str">
            <v>문　경　두</v>
          </cell>
          <cell r="C3111" t="str">
            <v>7800963문　경　두</v>
          </cell>
          <cell r="D3111" t="str">
            <v>HA30</v>
          </cell>
          <cell r="E3111" t="str">
            <v>부산조업담당</v>
          </cell>
          <cell r="F3111" t="str">
            <v>3120</v>
          </cell>
          <cell r="G3111" t="str">
            <v>3120</v>
          </cell>
          <cell r="H3111" t="str">
            <v>19781201</v>
          </cell>
          <cell r="I3111">
            <v>35097566</v>
          </cell>
        </row>
        <row r="3112">
          <cell r="A3112" t="str">
            <v>9351988</v>
          </cell>
          <cell r="B3112" t="str">
            <v>문　상　희</v>
          </cell>
          <cell r="C3112" t="str">
            <v>9351988문　상　희</v>
          </cell>
          <cell r="D3112" t="str">
            <v>HA30</v>
          </cell>
          <cell r="E3112" t="str">
            <v>부산조업담당</v>
          </cell>
          <cell r="F3112" t="str">
            <v>3120</v>
          </cell>
          <cell r="G3112" t="str">
            <v>3120</v>
          </cell>
          <cell r="H3112" t="str">
            <v>19931101</v>
          </cell>
          <cell r="I3112">
            <v>6403262</v>
          </cell>
        </row>
        <row r="3113">
          <cell r="A3113" t="str">
            <v>8702087</v>
          </cell>
          <cell r="B3113" t="str">
            <v>문　정　기</v>
          </cell>
          <cell r="C3113" t="str">
            <v>8702087문　정　기</v>
          </cell>
          <cell r="D3113" t="str">
            <v>HA30</v>
          </cell>
          <cell r="E3113" t="str">
            <v>부산조업담당</v>
          </cell>
          <cell r="F3113" t="str">
            <v>3120</v>
          </cell>
          <cell r="G3113" t="str">
            <v>3120</v>
          </cell>
          <cell r="H3113" t="str">
            <v>19870907</v>
          </cell>
          <cell r="I3113">
            <v>19709502</v>
          </cell>
        </row>
        <row r="3114">
          <cell r="A3114" t="str">
            <v>9100800</v>
          </cell>
          <cell r="B3114" t="str">
            <v>문　홍　갑</v>
          </cell>
          <cell r="C3114" t="str">
            <v>9100800문　홍　갑</v>
          </cell>
          <cell r="D3114" t="str">
            <v>HA30</v>
          </cell>
          <cell r="E3114" t="str">
            <v>부산조업담당</v>
          </cell>
          <cell r="F3114" t="str">
            <v>3120</v>
          </cell>
          <cell r="G3114" t="str">
            <v>3120</v>
          </cell>
          <cell r="H3114" t="str">
            <v>19910306</v>
          </cell>
          <cell r="I3114">
            <v>10948328</v>
          </cell>
        </row>
        <row r="3115">
          <cell r="A3115" t="str">
            <v>8603886</v>
          </cell>
          <cell r="B3115" t="str">
            <v>민　진　식</v>
          </cell>
          <cell r="C3115" t="str">
            <v>8603886민　진　식</v>
          </cell>
          <cell r="D3115" t="str">
            <v>HA30</v>
          </cell>
          <cell r="E3115" t="str">
            <v>부산조업담당</v>
          </cell>
          <cell r="F3115" t="str">
            <v>3120</v>
          </cell>
          <cell r="G3115" t="str">
            <v>3120</v>
          </cell>
          <cell r="H3115" t="str">
            <v>19860901</v>
          </cell>
          <cell r="I3115">
            <v>22074768</v>
          </cell>
        </row>
        <row r="3116">
          <cell r="A3116" t="str">
            <v>9004566</v>
          </cell>
          <cell r="B3116" t="str">
            <v>박　노　완</v>
          </cell>
          <cell r="C3116" t="str">
            <v>9004566박　노　완</v>
          </cell>
          <cell r="D3116" t="str">
            <v>HA30</v>
          </cell>
          <cell r="E3116" t="str">
            <v>부산조업담당</v>
          </cell>
          <cell r="F3116" t="str">
            <v>3120</v>
          </cell>
          <cell r="G3116" t="str">
            <v>3120</v>
          </cell>
          <cell r="H3116" t="str">
            <v>19901005</v>
          </cell>
          <cell r="I3116">
            <v>10727895</v>
          </cell>
        </row>
        <row r="3117">
          <cell r="A3117" t="str">
            <v>9403975</v>
          </cell>
          <cell r="B3117" t="str">
            <v>박　동　근</v>
          </cell>
          <cell r="C3117" t="str">
            <v>9403975박　동　근</v>
          </cell>
          <cell r="D3117" t="str">
            <v>HA30</v>
          </cell>
          <cell r="E3117" t="str">
            <v>부산조업담당</v>
          </cell>
          <cell r="F3117" t="str">
            <v>3120</v>
          </cell>
          <cell r="G3117" t="e">
            <v>#N/A</v>
          </cell>
          <cell r="H3117" t="str">
            <v>19940616</v>
          </cell>
          <cell r="I3117">
            <v>6058131</v>
          </cell>
          <cell r="J3117" t="str">
            <v>3 월</v>
          </cell>
          <cell r="K3117">
            <v>6224187</v>
          </cell>
        </row>
        <row r="3118">
          <cell r="A3118" t="str">
            <v>9252314</v>
          </cell>
          <cell r="B3118" t="str">
            <v>박　상　이</v>
          </cell>
          <cell r="C3118" t="str">
            <v>9252314박　상　이</v>
          </cell>
          <cell r="D3118" t="str">
            <v>HA30</v>
          </cell>
          <cell r="E3118" t="str">
            <v>부산조업담당</v>
          </cell>
          <cell r="F3118" t="str">
            <v>3120</v>
          </cell>
          <cell r="G3118" t="str">
            <v>3120</v>
          </cell>
          <cell r="H3118" t="str">
            <v>19920828</v>
          </cell>
          <cell r="I3118">
            <v>6974282</v>
          </cell>
        </row>
        <row r="3119">
          <cell r="A3119" t="str">
            <v>9200553</v>
          </cell>
          <cell r="B3119" t="str">
            <v>박　석　진</v>
          </cell>
          <cell r="C3119" t="str">
            <v>9200553박　석　진</v>
          </cell>
          <cell r="D3119" t="str">
            <v>HA30</v>
          </cell>
          <cell r="E3119" t="str">
            <v>부산조업담당</v>
          </cell>
          <cell r="F3119" t="str">
            <v>3120</v>
          </cell>
          <cell r="G3119" t="str">
            <v>3120</v>
          </cell>
          <cell r="H3119" t="str">
            <v>19920116</v>
          </cell>
          <cell r="I3119">
            <v>10509727</v>
          </cell>
        </row>
        <row r="3120">
          <cell r="A3120" t="str">
            <v>7900457</v>
          </cell>
          <cell r="B3120" t="str">
            <v>박　승　태</v>
          </cell>
          <cell r="C3120" t="str">
            <v>7900457박　승　태</v>
          </cell>
          <cell r="D3120" t="str">
            <v>HA30</v>
          </cell>
          <cell r="E3120" t="str">
            <v>부산조업담당</v>
          </cell>
          <cell r="F3120" t="str">
            <v>3120</v>
          </cell>
          <cell r="G3120" t="e">
            <v>#N/A</v>
          </cell>
          <cell r="H3120" t="str">
            <v>19790529</v>
          </cell>
          <cell r="I3120">
            <v>35510066</v>
          </cell>
          <cell r="J3120" t="str">
            <v>3 월</v>
          </cell>
          <cell r="K3120">
            <v>35860716</v>
          </cell>
        </row>
        <row r="3121">
          <cell r="A3121" t="str">
            <v>9351630</v>
          </cell>
          <cell r="B3121" t="str">
            <v>박　영　자</v>
          </cell>
          <cell r="C3121" t="str">
            <v>9351630박　영　자</v>
          </cell>
          <cell r="D3121" t="str">
            <v>HA30</v>
          </cell>
          <cell r="E3121" t="str">
            <v>부산조업담당</v>
          </cell>
          <cell r="F3121" t="str">
            <v>3120</v>
          </cell>
          <cell r="G3121" t="str">
            <v>3120</v>
          </cell>
          <cell r="H3121" t="str">
            <v>19930806</v>
          </cell>
          <cell r="I3121">
            <v>6070653</v>
          </cell>
        </row>
        <row r="3122">
          <cell r="A3122" t="str">
            <v>8200473</v>
          </cell>
          <cell r="B3122" t="str">
            <v>박　용　욱</v>
          </cell>
          <cell r="C3122" t="str">
            <v>8200473박　용　욱</v>
          </cell>
          <cell r="D3122" t="str">
            <v>HA30</v>
          </cell>
          <cell r="E3122" t="str">
            <v>부산조업담당</v>
          </cell>
          <cell r="F3122" t="str">
            <v>3120</v>
          </cell>
          <cell r="G3122" t="str">
            <v>3120</v>
          </cell>
          <cell r="H3122" t="str">
            <v>19820610</v>
          </cell>
          <cell r="I3122">
            <v>29834225</v>
          </cell>
        </row>
        <row r="3123">
          <cell r="A3123" t="str">
            <v>9101136</v>
          </cell>
          <cell r="B3123" t="str">
            <v>박　은　대</v>
          </cell>
          <cell r="C3123" t="str">
            <v>9101136박　은　대</v>
          </cell>
          <cell r="D3123" t="str">
            <v>HA30</v>
          </cell>
          <cell r="E3123" t="str">
            <v>부산조업담당</v>
          </cell>
          <cell r="F3123" t="str">
            <v>3120</v>
          </cell>
          <cell r="G3123" t="e">
            <v>#N/A</v>
          </cell>
          <cell r="H3123" t="str">
            <v>19910325</v>
          </cell>
          <cell r="I3123">
            <v>10070207</v>
          </cell>
          <cell r="J3123" t="str">
            <v>11 월</v>
          </cell>
          <cell r="K3123">
            <v>13408179</v>
          </cell>
        </row>
        <row r="3124">
          <cell r="A3124" t="str">
            <v>8702010</v>
          </cell>
          <cell r="B3124" t="str">
            <v>박　종　덕</v>
          </cell>
          <cell r="C3124" t="str">
            <v>8702010박　종　덕</v>
          </cell>
          <cell r="D3124" t="str">
            <v>HA30</v>
          </cell>
          <cell r="E3124" t="str">
            <v>부산조업담당</v>
          </cell>
          <cell r="F3124" t="str">
            <v>3120</v>
          </cell>
          <cell r="G3124" t="str">
            <v>3120</v>
          </cell>
          <cell r="H3124" t="str">
            <v>19870901</v>
          </cell>
          <cell r="I3124">
            <v>18455046</v>
          </cell>
        </row>
        <row r="3125">
          <cell r="A3125" t="str">
            <v>9402030</v>
          </cell>
          <cell r="B3125" t="str">
            <v>박　종　현</v>
          </cell>
          <cell r="C3125" t="str">
            <v>9402030박　종　현</v>
          </cell>
          <cell r="D3125" t="str">
            <v>HA30</v>
          </cell>
          <cell r="E3125" t="str">
            <v>부산조업담당</v>
          </cell>
          <cell r="F3125" t="str">
            <v>3120</v>
          </cell>
          <cell r="G3125" t="str">
            <v>3120</v>
          </cell>
          <cell r="H3125" t="str">
            <v>19940401</v>
          </cell>
          <cell r="I3125">
            <v>6777505</v>
          </cell>
        </row>
        <row r="3126">
          <cell r="A3126" t="str">
            <v>8902631</v>
          </cell>
          <cell r="B3126" t="str">
            <v>박　진　흥</v>
          </cell>
          <cell r="C3126" t="str">
            <v>8902631박　진　흥</v>
          </cell>
          <cell r="D3126" t="str">
            <v>HA30</v>
          </cell>
          <cell r="E3126" t="str">
            <v>부산조업담당</v>
          </cell>
          <cell r="F3126" t="str">
            <v>3120</v>
          </cell>
          <cell r="G3126" t="str">
            <v>3120</v>
          </cell>
          <cell r="H3126" t="str">
            <v>19890106</v>
          </cell>
          <cell r="I3126">
            <v>14594376</v>
          </cell>
        </row>
        <row r="3127">
          <cell r="A3127" t="str">
            <v>8602266</v>
          </cell>
          <cell r="B3127" t="str">
            <v>박　희　섭</v>
          </cell>
          <cell r="C3127" t="str">
            <v>8602266박　희　섭</v>
          </cell>
          <cell r="D3127" t="str">
            <v>HA30</v>
          </cell>
          <cell r="E3127" t="str">
            <v>부산조업담당</v>
          </cell>
          <cell r="F3127" t="str">
            <v>3120</v>
          </cell>
          <cell r="G3127" t="str">
            <v>3120</v>
          </cell>
          <cell r="H3127" t="str">
            <v>19860801</v>
          </cell>
          <cell r="I3127">
            <v>19866400</v>
          </cell>
        </row>
        <row r="3128">
          <cell r="A3128" t="str">
            <v>9502661</v>
          </cell>
          <cell r="B3128" t="str">
            <v>배　문　기</v>
          </cell>
          <cell r="C3128" t="str">
            <v>9502661배　문　기</v>
          </cell>
          <cell r="D3128" t="str">
            <v>HA30</v>
          </cell>
          <cell r="E3128" t="str">
            <v>부산조업담당</v>
          </cell>
          <cell r="F3128" t="str">
            <v>3120</v>
          </cell>
          <cell r="G3128" t="str">
            <v>3120</v>
          </cell>
          <cell r="H3128" t="str">
            <v>19951005</v>
          </cell>
          <cell r="I3128">
            <v>4861598</v>
          </cell>
        </row>
        <row r="3129">
          <cell r="A3129" t="str">
            <v>9501423</v>
          </cell>
          <cell r="B3129" t="str">
            <v>배　영　택</v>
          </cell>
          <cell r="C3129" t="str">
            <v>9501423배　영　택</v>
          </cell>
          <cell r="D3129" t="str">
            <v>HA30</v>
          </cell>
          <cell r="E3129" t="str">
            <v>부산조업담당</v>
          </cell>
          <cell r="F3129" t="str">
            <v>3120</v>
          </cell>
          <cell r="G3129" t="str">
            <v>3120</v>
          </cell>
          <cell r="H3129" t="str">
            <v>19950601</v>
          </cell>
          <cell r="I3129">
            <v>5366351</v>
          </cell>
        </row>
        <row r="3130">
          <cell r="A3130" t="str">
            <v>9004983</v>
          </cell>
          <cell r="B3130" t="str">
            <v>배　영　환</v>
          </cell>
          <cell r="C3130" t="str">
            <v>9004983배　영　환</v>
          </cell>
          <cell r="D3130" t="str">
            <v>HA30</v>
          </cell>
          <cell r="E3130" t="str">
            <v>부산조업담당</v>
          </cell>
          <cell r="F3130" t="str">
            <v>3120</v>
          </cell>
          <cell r="G3130" t="str">
            <v>3120</v>
          </cell>
          <cell r="H3130" t="str">
            <v>19901116</v>
          </cell>
          <cell r="I3130">
            <v>13446394</v>
          </cell>
        </row>
        <row r="3131">
          <cell r="A3131" t="str">
            <v>8651272</v>
          </cell>
          <cell r="B3131" t="str">
            <v>배　인　선</v>
          </cell>
          <cell r="C3131" t="str">
            <v>8651272배　인　선</v>
          </cell>
          <cell r="D3131" t="str">
            <v>HA30</v>
          </cell>
          <cell r="E3131" t="str">
            <v>부산조업담당</v>
          </cell>
          <cell r="F3131" t="str">
            <v>3120</v>
          </cell>
          <cell r="G3131" t="str">
            <v>3120</v>
          </cell>
          <cell r="H3131" t="str">
            <v>19860908</v>
          </cell>
          <cell r="I3131">
            <v>14251577</v>
          </cell>
        </row>
        <row r="3132">
          <cell r="A3132" t="str">
            <v>9101125</v>
          </cell>
          <cell r="B3132" t="str">
            <v>배　종　명</v>
          </cell>
          <cell r="C3132" t="str">
            <v>9101125배　종　명</v>
          </cell>
          <cell r="D3132" t="str">
            <v>HA30</v>
          </cell>
          <cell r="E3132" t="str">
            <v>부산조업담당</v>
          </cell>
          <cell r="F3132" t="str">
            <v>3120</v>
          </cell>
          <cell r="G3132" t="str">
            <v>3120</v>
          </cell>
          <cell r="H3132" t="str">
            <v>19910325</v>
          </cell>
          <cell r="I3132">
            <v>10139660</v>
          </cell>
        </row>
        <row r="3133">
          <cell r="A3133" t="str">
            <v>8903428</v>
          </cell>
          <cell r="B3133" t="str">
            <v>배　태　안</v>
          </cell>
          <cell r="C3133" t="str">
            <v>8903428배　태　안</v>
          </cell>
          <cell r="D3133" t="str">
            <v>HA30</v>
          </cell>
          <cell r="E3133" t="str">
            <v>부산조업담당</v>
          </cell>
          <cell r="F3133" t="str">
            <v>3120</v>
          </cell>
          <cell r="G3133" t="str">
            <v>3120</v>
          </cell>
          <cell r="H3133" t="str">
            <v>19890425</v>
          </cell>
          <cell r="I3133">
            <v>13537619</v>
          </cell>
        </row>
        <row r="3134">
          <cell r="A3134" t="str">
            <v>7800041</v>
          </cell>
          <cell r="B3134" t="str">
            <v>백　운　철</v>
          </cell>
          <cell r="C3134" t="str">
            <v>7800041백　운　철</v>
          </cell>
          <cell r="D3134" t="str">
            <v>HA30</v>
          </cell>
          <cell r="E3134" t="str">
            <v>부산조업담당</v>
          </cell>
          <cell r="F3134" t="str">
            <v>3120</v>
          </cell>
          <cell r="G3134" t="str">
            <v>3120</v>
          </cell>
          <cell r="H3134" t="str">
            <v>19780113</v>
          </cell>
          <cell r="I3134">
            <v>37911546</v>
          </cell>
        </row>
        <row r="3135">
          <cell r="A3135" t="str">
            <v>9001732</v>
          </cell>
          <cell r="B3135" t="str">
            <v>백　정　운</v>
          </cell>
          <cell r="C3135" t="str">
            <v>9001732백　정　운</v>
          </cell>
          <cell r="D3135" t="str">
            <v>HA30</v>
          </cell>
          <cell r="E3135" t="str">
            <v>부산조업담당</v>
          </cell>
          <cell r="F3135" t="str">
            <v>3120</v>
          </cell>
          <cell r="G3135" t="str">
            <v>3120</v>
          </cell>
          <cell r="H3135" t="str">
            <v>19891120</v>
          </cell>
          <cell r="I3135">
            <v>14638084</v>
          </cell>
        </row>
        <row r="3136">
          <cell r="A3136" t="str">
            <v>7800750</v>
          </cell>
          <cell r="B3136" t="str">
            <v>변　재　열</v>
          </cell>
          <cell r="C3136" t="str">
            <v>7800750변　재　열</v>
          </cell>
          <cell r="D3136" t="str">
            <v>HA30</v>
          </cell>
          <cell r="E3136" t="str">
            <v>부산조업담당</v>
          </cell>
          <cell r="F3136" t="str">
            <v>3120</v>
          </cell>
          <cell r="G3136" t="str">
            <v>3120</v>
          </cell>
          <cell r="H3136" t="str">
            <v>19780901</v>
          </cell>
          <cell r="I3136">
            <v>40554522</v>
          </cell>
        </row>
        <row r="3137">
          <cell r="A3137" t="str">
            <v>9600546</v>
          </cell>
          <cell r="B3137" t="str">
            <v>변　종　석</v>
          </cell>
          <cell r="C3137" t="str">
            <v>9600546변　종　석</v>
          </cell>
          <cell r="D3137" t="str">
            <v>HA30</v>
          </cell>
          <cell r="E3137" t="str">
            <v>부산조업담당</v>
          </cell>
          <cell r="F3137" t="str">
            <v>3120</v>
          </cell>
          <cell r="G3137" t="str">
            <v>3120</v>
          </cell>
          <cell r="H3137" t="str">
            <v>19960311</v>
          </cell>
          <cell r="I3137">
            <v>4012557</v>
          </cell>
        </row>
        <row r="3138">
          <cell r="A3138" t="str">
            <v>9600074</v>
          </cell>
          <cell r="B3138" t="str">
            <v>서　문　수</v>
          </cell>
          <cell r="C3138" t="str">
            <v>9600074서　문　수</v>
          </cell>
          <cell r="D3138" t="str">
            <v>HA30</v>
          </cell>
          <cell r="E3138" t="str">
            <v>부산조업담당</v>
          </cell>
          <cell r="F3138" t="str">
            <v>3120</v>
          </cell>
          <cell r="G3138" t="str">
            <v>3120</v>
          </cell>
          <cell r="H3138" t="str">
            <v>19960108</v>
          </cell>
          <cell r="I3138">
            <v>4571897</v>
          </cell>
        </row>
        <row r="3139">
          <cell r="A3139" t="str">
            <v>9051906</v>
          </cell>
          <cell r="B3139" t="str">
            <v>서　분　선</v>
          </cell>
          <cell r="C3139" t="str">
            <v>9051906서　분　선</v>
          </cell>
          <cell r="D3139" t="str">
            <v>HA30</v>
          </cell>
          <cell r="E3139" t="str">
            <v>부산조업담당</v>
          </cell>
          <cell r="F3139" t="str">
            <v>3120</v>
          </cell>
          <cell r="G3139" t="str">
            <v>3120</v>
          </cell>
          <cell r="H3139" t="str">
            <v>19901201</v>
          </cell>
          <cell r="I3139">
            <v>9914578</v>
          </cell>
        </row>
        <row r="3140">
          <cell r="A3140" t="str">
            <v>9050387</v>
          </cell>
          <cell r="B3140" t="str">
            <v>서　상　순</v>
          </cell>
          <cell r="C3140" t="str">
            <v>9050387서　상　순</v>
          </cell>
          <cell r="D3140" t="str">
            <v>HA30</v>
          </cell>
          <cell r="E3140" t="str">
            <v>부산조업담당</v>
          </cell>
          <cell r="F3140" t="str">
            <v>3120</v>
          </cell>
          <cell r="G3140" t="str">
            <v>3120</v>
          </cell>
          <cell r="H3140" t="str">
            <v>19891226</v>
          </cell>
          <cell r="I3140">
            <v>10086003</v>
          </cell>
        </row>
        <row r="3141">
          <cell r="A3141" t="str">
            <v>8903362</v>
          </cell>
          <cell r="B3141" t="str">
            <v>서　순　진</v>
          </cell>
          <cell r="C3141" t="str">
            <v>8903362서　순　진</v>
          </cell>
          <cell r="D3141" t="str">
            <v>HA30</v>
          </cell>
          <cell r="E3141" t="str">
            <v>부산조업담당</v>
          </cell>
          <cell r="F3141" t="str">
            <v>3120</v>
          </cell>
          <cell r="G3141" t="str">
            <v>3120</v>
          </cell>
          <cell r="H3141" t="str">
            <v>19890419</v>
          </cell>
          <cell r="I3141">
            <v>16289403</v>
          </cell>
        </row>
        <row r="3142">
          <cell r="A3142" t="str">
            <v>8651024</v>
          </cell>
          <cell r="B3142" t="str">
            <v>서　증　　</v>
          </cell>
          <cell r="C3142" t="str">
            <v>8651024서　증　　</v>
          </cell>
          <cell r="D3142" t="str">
            <v>HA30</v>
          </cell>
          <cell r="E3142" t="str">
            <v>부산조업담당</v>
          </cell>
          <cell r="F3142" t="str">
            <v>3120</v>
          </cell>
          <cell r="G3142" t="str">
            <v>3120</v>
          </cell>
          <cell r="H3142" t="str">
            <v>19860811</v>
          </cell>
          <cell r="I3142">
            <v>17170435</v>
          </cell>
        </row>
        <row r="3143">
          <cell r="A3143" t="str">
            <v>8400824</v>
          </cell>
          <cell r="B3143" t="str">
            <v>석　근　배</v>
          </cell>
          <cell r="C3143" t="str">
            <v>8400824석　근　배</v>
          </cell>
          <cell r="D3143" t="str">
            <v>HA30</v>
          </cell>
          <cell r="E3143" t="str">
            <v>부산조업담당</v>
          </cell>
          <cell r="F3143" t="str">
            <v>3120</v>
          </cell>
          <cell r="G3143" t="str">
            <v>3120</v>
          </cell>
          <cell r="H3143" t="str">
            <v>19840816</v>
          </cell>
          <cell r="I3143">
            <v>23009332</v>
          </cell>
        </row>
        <row r="3144">
          <cell r="A3144" t="str">
            <v>8450368</v>
          </cell>
          <cell r="B3144" t="str">
            <v>성　현　순</v>
          </cell>
          <cell r="C3144" t="str">
            <v>8450368성　현　순</v>
          </cell>
          <cell r="D3144" t="str">
            <v>HA30</v>
          </cell>
          <cell r="E3144" t="str">
            <v>부산조업담당</v>
          </cell>
          <cell r="F3144" t="str">
            <v>3120</v>
          </cell>
          <cell r="G3144" t="str">
            <v>3120</v>
          </cell>
          <cell r="H3144" t="str">
            <v>19981001</v>
          </cell>
          <cell r="I3144">
            <v>1386275</v>
          </cell>
        </row>
        <row r="3145">
          <cell r="A3145" t="str">
            <v>8750147</v>
          </cell>
          <cell r="B3145" t="str">
            <v>성　화　순</v>
          </cell>
          <cell r="C3145" t="str">
            <v>8750147성　화　순</v>
          </cell>
          <cell r="D3145" t="str">
            <v>HA30</v>
          </cell>
          <cell r="E3145" t="str">
            <v>부산조업담당</v>
          </cell>
          <cell r="F3145" t="str">
            <v>3120</v>
          </cell>
          <cell r="G3145" t="str">
            <v>3120</v>
          </cell>
          <cell r="H3145" t="str">
            <v>19870122</v>
          </cell>
          <cell r="I3145">
            <v>13843113</v>
          </cell>
        </row>
        <row r="3146">
          <cell r="A3146" t="str">
            <v>8501714</v>
          </cell>
          <cell r="B3146" t="str">
            <v>손　병　규</v>
          </cell>
          <cell r="C3146" t="str">
            <v>8501714손　병　규</v>
          </cell>
          <cell r="D3146" t="str">
            <v>HA30</v>
          </cell>
          <cell r="E3146" t="str">
            <v>부산조업담당</v>
          </cell>
          <cell r="F3146" t="str">
            <v>3120</v>
          </cell>
          <cell r="G3146" t="str">
            <v>3120</v>
          </cell>
          <cell r="H3146" t="str">
            <v>19850701</v>
          </cell>
          <cell r="I3146">
            <v>21701759</v>
          </cell>
        </row>
        <row r="3147">
          <cell r="A3147" t="str">
            <v>9207167</v>
          </cell>
          <cell r="B3147" t="str">
            <v>손　수　일</v>
          </cell>
          <cell r="C3147" t="str">
            <v>9207167손　수　일</v>
          </cell>
          <cell r="D3147" t="str">
            <v>HA30</v>
          </cell>
          <cell r="E3147" t="str">
            <v>부산조업담당</v>
          </cell>
          <cell r="F3147" t="str">
            <v>3120</v>
          </cell>
          <cell r="G3147" t="e">
            <v>#N/A</v>
          </cell>
          <cell r="H3147" t="str">
            <v>19921101</v>
          </cell>
          <cell r="I3147">
            <v>8933245</v>
          </cell>
          <cell r="J3147" t="str">
            <v>6 월</v>
          </cell>
          <cell r="K3147">
            <v>9511107</v>
          </cell>
        </row>
        <row r="3148">
          <cell r="A3148" t="str">
            <v>9504101</v>
          </cell>
          <cell r="B3148" t="str">
            <v>송　명　준</v>
          </cell>
          <cell r="C3148" t="str">
            <v>9504101송　명　준</v>
          </cell>
          <cell r="D3148" t="str">
            <v>HA30</v>
          </cell>
          <cell r="E3148" t="str">
            <v>부산조업담당</v>
          </cell>
          <cell r="F3148" t="str">
            <v>3120</v>
          </cell>
          <cell r="G3148" t="e">
            <v>#N/A</v>
          </cell>
          <cell r="H3148" t="str">
            <v>19951229</v>
          </cell>
          <cell r="I3148">
            <v>4531270</v>
          </cell>
          <cell r="J3148" t="str">
            <v>1 월</v>
          </cell>
          <cell r="K3148">
            <v>4457509</v>
          </cell>
        </row>
        <row r="3149">
          <cell r="A3149" t="str">
            <v>9404908</v>
          </cell>
          <cell r="B3149" t="str">
            <v>송　승　엽</v>
          </cell>
          <cell r="C3149" t="str">
            <v>9404908송　승　엽</v>
          </cell>
          <cell r="D3149" t="str">
            <v>HA30</v>
          </cell>
          <cell r="E3149" t="str">
            <v>부산조업담당</v>
          </cell>
          <cell r="F3149" t="str">
            <v>3120</v>
          </cell>
          <cell r="G3149" t="str">
            <v>3120</v>
          </cell>
          <cell r="H3149" t="str">
            <v>19940801</v>
          </cell>
          <cell r="I3149">
            <v>5920366</v>
          </cell>
        </row>
        <row r="3150">
          <cell r="A3150" t="str">
            <v>8901742</v>
          </cell>
          <cell r="B3150" t="str">
            <v>송　시　욱</v>
          </cell>
          <cell r="C3150" t="str">
            <v>8901742송　시　욱</v>
          </cell>
          <cell r="D3150" t="str">
            <v>HA30</v>
          </cell>
          <cell r="E3150" t="str">
            <v>부산조업담당</v>
          </cell>
          <cell r="F3150" t="str">
            <v>3120</v>
          </cell>
          <cell r="G3150" t="str">
            <v>3120</v>
          </cell>
          <cell r="H3150" t="str">
            <v>19881123</v>
          </cell>
          <cell r="I3150">
            <v>16337169</v>
          </cell>
        </row>
        <row r="3151">
          <cell r="A3151" t="str">
            <v>7300473</v>
          </cell>
          <cell r="B3151" t="str">
            <v>송　원　우</v>
          </cell>
          <cell r="C3151" t="str">
            <v>7300473송　원　우</v>
          </cell>
          <cell r="D3151" t="str">
            <v>HA30</v>
          </cell>
          <cell r="E3151" t="str">
            <v>부산조업담당</v>
          </cell>
          <cell r="F3151" t="str">
            <v>3120</v>
          </cell>
          <cell r="G3151" t="str">
            <v>3120</v>
          </cell>
          <cell r="H3151" t="str">
            <v>19731122</v>
          </cell>
          <cell r="I3151">
            <v>45656873</v>
          </cell>
        </row>
        <row r="3152">
          <cell r="A3152" t="str">
            <v>9451034</v>
          </cell>
          <cell r="B3152" t="str">
            <v>송　인　경</v>
          </cell>
          <cell r="C3152" t="str">
            <v>9451034송　인　경</v>
          </cell>
          <cell r="D3152" t="str">
            <v>HA30</v>
          </cell>
          <cell r="E3152" t="str">
            <v>부산조업담당</v>
          </cell>
          <cell r="F3152" t="str">
            <v>3120</v>
          </cell>
          <cell r="G3152" t="e">
            <v>#N/A</v>
          </cell>
          <cell r="H3152" t="str">
            <v>19940516</v>
          </cell>
          <cell r="I3152">
            <v>5185164</v>
          </cell>
          <cell r="J3152" t="str">
            <v>3 월</v>
          </cell>
          <cell r="K3152">
            <v>5443002</v>
          </cell>
        </row>
        <row r="3153">
          <cell r="A3153" t="str">
            <v>8900921</v>
          </cell>
          <cell r="B3153" t="str">
            <v>송　한　영</v>
          </cell>
          <cell r="C3153" t="str">
            <v>8900921송　한　영</v>
          </cell>
          <cell r="D3153" t="str">
            <v>HA30</v>
          </cell>
          <cell r="E3153" t="str">
            <v>부산조업담당</v>
          </cell>
          <cell r="F3153" t="str">
            <v>3120</v>
          </cell>
          <cell r="G3153" t="str">
            <v>3120</v>
          </cell>
          <cell r="H3153" t="str">
            <v>19880901</v>
          </cell>
          <cell r="I3153">
            <v>14428436</v>
          </cell>
        </row>
        <row r="3154">
          <cell r="A3154" t="str">
            <v>8601636</v>
          </cell>
          <cell r="B3154" t="str">
            <v>신　동　탁</v>
          </cell>
          <cell r="C3154" t="str">
            <v>8601636신　동　탁</v>
          </cell>
          <cell r="D3154" t="str">
            <v>HA30</v>
          </cell>
          <cell r="E3154" t="str">
            <v>부산조업담당</v>
          </cell>
          <cell r="F3154" t="str">
            <v>3120</v>
          </cell>
          <cell r="G3154" t="str">
            <v>3223</v>
          </cell>
          <cell r="H3154" t="str">
            <v>19860601</v>
          </cell>
          <cell r="I3154">
            <v>20113375</v>
          </cell>
        </row>
        <row r="3155">
          <cell r="A3155" t="str">
            <v>7900582</v>
          </cell>
          <cell r="B3155" t="str">
            <v>신　재　복</v>
          </cell>
          <cell r="C3155" t="str">
            <v>7900582신　재　복</v>
          </cell>
          <cell r="D3155" t="str">
            <v>HA30</v>
          </cell>
          <cell r="E3155" t="str">
            <v>부산조업담당</v>
          </cell>
          <cell r="F3155" t="str">
            <v>3120</v>
          </cell>
          <cell r="G3155" t="str">
            <v>3120</v>
          </cell>
          <cell r="H3155" t="str">
            <v>19790801</v>
          </cell>
          <cell r="I3155">
            <v>34084582</v>
          </cell>
        </row>
        <row r="3156">
          <cell r="A3156" t="str">
            <v>9200970</v>
          </cell>
          <cell r="B3156" t="str">
            <v>신　종　덕</v>
          </cell>
          <cell r="C3156" t="str">
            <v>9200970신　종　덕</v>
          </cell>
          <cell r="D3156" t="str">
            <v>HA30</v>
          </cell>
          <cell r="E3156" t="str">
            <v>부산조업담당</v>
          </cell>
          <cell r="F3156" t="str">
            <v>3120</v>
          </cell>
          <cell r="G3156" t="str">
            <v>3120</v>
          </cell>
          <cell r="H3156" t="str">
            <v>19920210</v>
          </cell>
          <cell r="I3156">
            <v>10813793</v>
          </cell>
        </row>
        <row r="3157">
          <cell r="A3157" t="str">
            <v>8501220</v>
          </cell>
          <cell r="B3157" t="str">
            <v>심　　　철</v>
          </cell>
          <cell r="C3157" t="str">
            <v>8501220심　　　철</v>
          </cell>
          <cell r="D3157" t="str">
            <v>HA30</v>
          </cell>
          <cell r="E3157" t="str">
            <v>부산조업담당</v>
          </cell>
          <cell r="F3157" t="str">
            <v>3120</v>
          </cell>
          <cell r="G3157" t="str">
            <v>3120</v>
          </cell>
          <cell r="H3157" t="str">
            <v>19850501</v>
          </cell>
          <cell r="I3157">
            <v>23786900</v>
          </cell>
        </row>
        <row r="3158">
          <cell r="A3158" t="str">
            <v>8751227</v>
          </cell>
          <cell r="B3158" t="str">
            <v>심　경　순</v>
          </cell>
          <cell r="C3158" t="str">
            <v>8751227심　경　순</v>
          </cell>
          <cell r="D3158" t="str">
            <v>HA30</v>
          </cell>
          <cell r="E3158" t="str">
            <v>부산조업담당</v>
          </cell>
          <cell r="F3158" t="str">
            <v>3120</v>
          </cell>
          <cell r="G3158" t="str">
            <v>3120</v>
          </cell>
          <cell r="H3158" t="str">
            <v>19871001</v>
          </cell>
          <cell r="I3158">
            <v>12902495</v>
          </cell>
        </row>
        <row r="3159">
          <cell r="A3159" t="str">
            <v>8200495</v>
          </cell>
          <cell r="B3159" t="str">
            <v>심　정　섭</v>
          </cell>
          <cell r="C3159" t="str">
            <v>8200495심　정　섭</v>
          </cell>
          <cell r="D3159" t="str">
            <v>HA30</v>
          </cell>
          <cell r="E3159" t="str">
            <v>부산조업담당</v>
          </cell>
          <cell r="F3159" t="str">
            <v>3120</v>
          </cell>
          <cell r="G3159" t="str">
            <v>3120</v>
          </cell>
          <cell r="H3159" t="str">
            <v>19820615</v>
          </cell>
          <cell r="I3159">
            <v>28096293</v>
          </cell>
        </row>
        <row r="3160">
          <cell r="A3160" t="str">
            <v>9351134</v>
          </cell>
          <cell r="B3160" t="str">
            <v>안　선　자</v>
          </cell>
          <cell r="C3160" t="str">
            <v>9351134안　선　자</v>
          </cell>
          <cell r="D3160" t="str">
            <v>HA30</v>
          </cell>
          <cell r="E3160" t="str">
            <v>부산조업담당</v>
          </cell>
          <cell r="F3160" t="str">
            <v>3120</v>
          </cell>
          <cell r="G3160" t="str">
            <v>3120</v>
          </cell>
          <cell r="H3160" t="str">
            <v>19930514</v>
          </cell>
          <cell r="I3160">
            <v>6326885</v>
          </cell>
        </row>
        <row r="3161">
          <cell r="A3161" t="str">
            <v>9203850</v>
          </cell>
          <cell r="B3161" t="str">
            <v>안　진　철</v>
          </cell>
          <cell r="C3161" t="str">
            <v>9203850안　진　철</v>
          </cell>
          <cell r="D3161" t="str">
            <v>HA30</v>
          </cell>
          <cell r="E3161" t="str">
            <v>부산조업담당</v>
          </cell>
          <cell r="F3161" t="str">
            <v>3120</v>
          </cell>
          <cell r="G3161" t="str">
            <v>3120</v>
          </cell>
          <cell r="H3161" t="str">
            <v>19920701</v>
          </cell>
          <cell r="I3161">
            <v>9315086</v>
          </cell>
        </row>
        <row r="3162">
          <cell r="A3162" t="str">
            <v>9151143</v>
          </cell>
          <cell r="B3162" t="str">
            <v>양　영　숙</v>
          </cell>
          <cell r="C3162" t="str">
            <v>9151143양　영　숙</v>
          </cell>
          <cell r="D3162" t="str">
            <v>HA30</v>
          </cell>
          <cell r="E3162" t="str">
            <v>부산조업담당</v>
          </cell>
          <cell r="F3162" t="str">
            <v>3120</v>
          </cell>
          <cell r="G3162" t="str">
            <v>3120</v>
          </cell>
          <cell r="H3162" t="str">
            <v>19910429</v>
          </cell>
          <cell r="I3162">
            <v>8405752</v>
          </cell>
        </row>
        <row r="3163">
          <cell r="A3163" t="str">
            <v>9303006</v>
          </cell>
          <cell r="B3163" t="str">
            <v>양　정　창</v>
          </cell>
          <cell r="C3163" t="str">
            <v>9303006양　정　창</v>
          </cell>
          <cell r="D3163" t="str">
            <v>HA30</v>
          </cell>
          <cell r="E3163" t="str">
            <v>부산조업담당</v>
          </cell>
          <cell r="F3163" t="str">
            <v>3120</v>
          </cell>
          <cell r="G3163" t="str">
            <v>3120</v>
          </cell>
          <cell r="H3163" t="str">
            <v>19930521</v>
          </cell>
          <cell r="I3163">
            <v>9591570</v>
          </cell>
        </row>
        <row r="3164">
          <cell r="A3164" t="str">
            <v>8650754</v>
          </cell>
          <cell r="B3164" t="str">
            <v>엄　옥　정</v>
          </cell>
          <cell r="C3164" t="str">
            <v>8650754엄　옥　정</v>
          </cell>
          <cell r="D3164" t="str">
            <v>HA30</v>
          </cell>
          <cell r="E3164" t="str">
            <v>부산조업담당</v>
          </cell>
          <cell r="F3164" t="str">
            <v>3120</v>
          </cell>
          <cell r="G3164" t="str">
            <v>3120</v>
          </cell>
          <cell r="H3164" t="str">
            <v>19860801</v>
          </cell>
          <cell r="I3164">
            <v>14443634</v>
          </cell>
        </row>
        <row r="3165">
          <cell r="A3165" t="str">
            <v>9404324</v>
          </cell>
          <cell r="B3165" t="str">
            <v>엄　태　진</v>
          </cell>
          <cell r="C3165" t="str">
            <v>9404324엄　태　진</v>
          </cell>
          <cell r="D3165" t="str">
            <v>HA30</v>
          </cell>
          <cell r="E3165" t="str">
            <v>부산조업담당</v>
          </cell>
          <cell r="F3165" t="str">
            <v>3120</v>
          </cell>
          <cell r="G3165" t="str">
            <v>3120</v>
          </cell>
          <cell r="H3165" t="str">
            <v>19940701</v>
          </cell>
          <cell r="I3165">
            <v>6025756</v>
          </cell>
        </row>
        <row r="3166">
          <cell r="A3166" t="str">
            <v>7900547</v>
          </cell>
          <cell r="B3166" t="str">
            <v>여　영　태</v>
          </cell>
          <cell r="C3166" t="str">
            <v>7900547여　영　태</v>
          </cell>
          <cell r="D3166" t="str">
            <v>HA30</v>
          </cell>
          <cell r="E3166" t="str">
            <v>부산조업담당</v>
          </cell>
          <cell r="F3166" t="str">
            <v>3120</v>
          </cell>
          <cell r="G3166" t="str">
            <v>3120</v>
          </cell>
          <cell r="H3166" t="str">
            <v>19790701</v>
          </cell>
          <cell r="I3166">
            <v>33925735</v>
          </cell>
        </row>
        <row r="3167">
          <cell r="A3167" t="str">
            <v>9600254</v>
          </cell>
          <cell r="B3167" t="str">
            <v>염　경　철</v>
          </cell>
          <cell r="C3167" t="str">
            <v>9600254염　경　철</v>
          </cell>
          <cell r="D3167" t="str">
            <v>HA30</v>
          </cell>
          <cell r="E3167" t="str">
            <v>부산조업담당</v>
          </cell>
          <cell r="F3167" t="str">
            <v>3120</v>
          </cell>
          <cell r="G3167" t="str">
            <v>3120</v>
          </cell>
          <cell r="H3167" t="str">
            <v>19960122</v>
          </cell>
          <cell r="I3167">
            <v>4182228</v>
          </cell>
        </row>
        <row r="3168">
          <cell r="A3168" t="str">
            <v>9302815</v>
          </cell>
          <cell r="B3168" t="str">
            <v>예　철　해</v>
          </cell>
          <cell r="C3168" t="str">
            <v>9302815예　철　해</v>
          </cell>
          <cell r="D3168" t="str">
            <v>HA30</v>
          </cell>
          <cell r="E3168" t="str">
            <v>부산조업담당</v>
          </cell>
          <cell r="F3168" t="str">
            <v>3120</v>
          </cell>
          <cell r="G3168" t="str">
            <v>3120</v>
          </cell>
          <cell r="H3168" t="str">
            <v>19930517</v>
          </cell>
          <cell r="I3168">
            <v>8121756</v>
          </cell>
        </row>
        <row r="3169">
          <cell r="A3169" t="str">
            <v>8401061</v>
          </cell>
          <cell r="B3169" t="str">
            <v>오　명　철</v>
          </cell>
          <cell r="C3169" t="str">
            <v>8401061오　명　철</v>
          </cell>
          <cell r="D3169" t="str">
            <v>HA30</v>
          </cell>
          <cell r="E3169" t="str">
            <v>부산조업담당</v>
          </cell>
          <cell r="F3169" t="str">
            <v>3120</v>
          </cell>
          <cell r="G3169" t="str">
            <v>3120</v>
          </cell>
          <cell r="H3169" t="str">
            <v>19840901</v>
          </cell>
          <cell r="I3169">
            <v>25749955</v>
          </cell>
        </row>
        <row r="3170">
          <cell r="A3170" t="str">
            <v>8600152</v>
          </cell>
          <cell r="B3170" t="str">
            <v>오　성　일</v>
          </cell>
          <cell r="C3170" t="str">
            <v>8600152오　성　일</v>
          </cell>
          <cell r="D3170" t="str">
            <v>HA30</v>
          </cell>
          <cell r="E3170" t="str">
            <v>부산조업담당</v>
          </cell>
          <cell r="F3170" t="str">
            <v>3120</v>
          </cell>
          <cell r="G3170" t="str">
            <v>3120</v>
          </cell>
          <cell r="H3170" t="str">
            <v>19860912</v>
          </cell>
          <cell r="I3170">
            <v>22105826</v>
          </cell>
        </row>
        <row r="3171">
          <cell r="A3171" t="str">
            <v>9550383</v>
          </cell>
          <cell r="B3171" t="str">
            <v>오　성　주</v>
          </cell>
          <cell r="C3171" t="str">
            <v>9550383오　성　주</v>
          </cell>
          <cell r="D3171" t="str">
            <v>HA30</v>
          </cell>
          <cell r="E3171" t="str">
            <v>부산조업담당</v>
          </cell>
          <cell r="F3171" t="str">
            <v>3120</v>
          </cell>
          <cell r="G3171" t="str">
            <v>3120</v>
          </cell>
          <cell r="H3171" t="str">
            <v>19950816</v>
          </cell>
          <cell r="I3171">
            <v>3963180</v>
          </cell>
        </row>
        <row r="3172">
          <cell r="A3172" t="str">
            <v>8750608</v>
          </cell>
          <cell r="B3172" t="str">
            <v>오　점　금</v>
          </cell>
          <cell r="C3172" t="str">
            <v>8750608오　점　금</v>
          </cell>
          <cell r="D3172" t="str">
            <v>HA30</v>
          </cell>
          <cell r="E3172" t="str">
            <v>부산조업담당</v>
          </cell>
          <cell r="F3172" t="str">
            <v>3120</v>
          </cell>
          <cell r="G3172" t="str">
            <v>3120</v>
          </cell>
          <cell r="H3172" t="str">
            <v>19870516</v>
          </cell>
          <cell r="I3172">
            <v>14678942</v>
          </cell>
        </row>
        <row r="3173">
          <cell r="A3173" t="str">
            <v>9306505</v>
          </cell>
          <cell r="B3173" t="str">
            <v>오　창　수</v>
          </cell>
          <cell r="C3173" t="str">
            <v>9306505오　창　수</v>
          </cell>
          <cell r="D3173" t="str">
            <v>HA30</v>
          </cell>
          <cell r="E3173" t="str">
            <v>부산조업담당</v>
          </cell>
          <cell r="F3173" t="str">
            <v>3120</v>
          </cell>
          <cell r="G3173" t="str">
            <v>3120</v>
          </cell>
          <cell r="H3173" t="str">
            <v>19931016</v>
          </cell>
          <cell r="I3173">
            <v>7218096</v>
          </cell>
        </row>
        <row r="3174">
          <cell r="A3174" t="str">
            <v>9206155</v>
          </cell>
          <cell r="B3174" t="str">
            <v>유　석　형</v>
          </cell>
          <cell r="C3174" t="str">
            <v>9206155유　석　형</v>
          </cell>
          <cell r="D3174" t="str">
            <v>HA30</v>
          </cell>
          <cell r="E3174" t="str">
            <v>부산조업담당</v>
          </cell>
          <cell r="F3174" t="str">
            <v>3120</v>
          </cell>
          <cell r="G3174" t="str">
            <v>3120</v>
          </cell>
          <cell r="H3174" t="str">
            <v>19921005</v>
          </cell>
          <cell r="I3174">
            <v>8140086</v>
          </cell>
        </row>
        <row r="3175">
          <cell r="A3175" t="str">
            <v>9103318</v>
          </cell>
          <cell r="B3175" t="str">
            <v>유　재　선</v>
          </cell>
          <cell r="C3175" t="str">
            <v>9103318유　재　선</v>
          </cell>
          <cell r="D3175" t="str">
            <v>HA30</v>
          </cell>
          <cell r="E3175" t="str">
            <v>부산조업담당</v>
          </cell>
          <cell r="F3175" t="str">
            <v>3120</v>
          </cell>
          <cell r="G3175" t="str">
            <v>3120</v>
          </cell>
          <cell r="H3175" t="str">
            <v>19910801</v>
          </cell>
          <cell r="I3175">
            <v>10984113</v>
          </cell>
        </row>
        <row r="3176">
          <cell r="A3176" t="str">
            <v>9002081</v>
          </cell>
          <cell r="B3176" t="str">
            <v>윤　기　원</v>
          </cell>
          <cell r="C3176" t="str">
            <v>9002081윤　기　원</v>
          </cell>
          <cell r="D3176" t="str">
            <v>HA30</v>
          </cell>
          <cell r="E3176" t="str">
            <v>부산조업담당</v>
          </cell>
          <cell r="F3176" t="str">
            <v>3120</v>
          </cell>
          <cell r="G3176" t="str">
            <v>3120</v>
          </cell>
          <cell r="H3176" t="str">
            <v>19891211</v>
          </cell>
          <cell r="I3176">
            <v>13756165</v>
          </cell>
        </row>
        <row r="3177">
          <cell r="A3177" t="str">
            <v>8100911</v>
          </cell>
          <cell r="B3177" t="str">
            <v>윤　부　경</v>
          </cell>
          <cell r="C3177" t="str">
            <v>8100911윤　부　경</v>
          </cell>
          <cell r="D3177" t="str">
            <v>HA30</v>
          </cell>
          <cell r="E3177" t="str">
            <v>부산조업담당</v>
          </cell>
          <cell r="F3177" t="str">
            <v>3120</v>
          </cell>
          <cell r="G3177" t="str">
            <v>3120</v>
          </cell>
          <cell r="H3177" t="str">
            <v>19811201</v>
          </cell>
          <cell r="I3177">
            <v>31643891</v>
          </cell>
        </row>
        <row r="3178">
          <cell r="A3178" t="str">
            <v>8801087</v>
          </cell>
          <cell r="B3178" t="str">
            <v>윤　일　환</v>
          </cell>
          <cell r="C3178" t="str">
            <v>8801087윤　일　환</v>
          </cell>
          <cell r="D3178" t="str">
            <v>HA30</v>
          </cell>
          <cell r="E3178" t="str">
            <v>부산조업담당</v>
          </cell>
          <cell r="F3178" t="str">
            <v>3120</v>
          </cell>
          <cell r="G3178" t="str">
            <v>3310</v>
          </cell>
          <cell r="H3178" t="str">
            <v>19880601</v>
          </cell>
          <cell r="I3178">
            <v>15941775</v>
          </cell>
        </row>
        <row r="3179">
          <cell r="A3179" t="str">
            <v>9100833</v>
          </cell>
          <cell r="B3179" t="str">
            <v>윤　재　민</v>
          </cell>
          <cell r="C3179" t="str">
            <v>9100833윤　재　민</v>
          </cell>
          <cell r="D3179" t="str">
            <v>HA30</v>
          </cell>
          <cell r="E3179" t="str">
            <v>부산조업담당</v>
          </cell>
          <cell r="F3179" t="str">
            <v>3120</v>
          </cell>
          <cell r="G3179" t="str">
            <v>3120</v>
          </cell>
          <cell r="H3179" t="str">
            <v>19910306</v>
          </cell>
          <cell r="I3179">
            <v>11038100</v>
          </cell>
        </row>
        <row r="3180">
          <cell r="A3180" t="str">
            <v>8602503</v>
          </cell>
          <cell r="B3180" t="str">
            <v>윤　전　식</v>
          </cell>
          <cell r="C3180" t="str">
            <v>8602503윤　전　식</v>
          </cell>
          <cell r="D3180" t="str">
            <v>HA30</v>
          </cell>
          <cell r="E3180" t="str">
            <v>부산조업담당</v>
          </cell>
          <cell r="F3180" t="str">
            <v>3120</v>
          </cell>
          <cell r="G3180" t="str">
            <v>3120</v>
          </cell>
          <cell r="H3180" t="str">
            <v>19860811</v>
          </cell>
          <cell r="I3180">
            <v>22321392</v>
          </cell>
        </row>
        <row r="3181">
          <cell r="A3181" t="str">
            <v>7800930</v>
          </cell>
          <cell r="B3181" t="str">
            <v>윤　희　철</v>
          </cell>
          <cell r="C3181" t="str">
            <v>7800930윤　희　철</v>
          </cell>
          <cell r="D3181" t="str">
            <v>HA30</v>
          </cell>
          <cell r="E3181" t="str">
            <v>부산조업담당</v>
          </cell>
          <cell r="F3181" t="str">
            <v>3120</v>
          </cell>
          <cell r="G3181" t="str">
            <v>3120</v>
          </cell>
          <cell r="H3181" t="str">
            <v>19781110</v>
          </cell>
          <cell r="I3181">
            <v>39643754</v>
          </cell>
        </row>
        <row r="3182">
          <cell r="A3182" t="str">
            <v>8400857</v>
          </cell>
          <cell r="B3182" t="str">
            <v>이　강　호</v>
          </cell>
          <cell r="C3182" t="str">
            <v>8400857이　강　호</v>
          </cell>
          <cell r="D3182" t="str">
            <v>HA30</v>
          </cell>
          <cell r="E3182" t="str">
            <v>부산조업담당</v>
          </cell>
          <cell r="F3182" t="str">
            <v>3120</v>
          </cell>
          <cell r="G3182" t="str">
            <v>3120</v>
          </cell>
          <cell r="H3182" t="str">
            <v>19840821</v>
          </cell>
          <cell r="I3182">
            <v>25493214</v>
          </cell>
        </row>
        <row r="3183">
          <cell r="A3183" t="str">
            <v>7500104</v>
          </cell>
          <cell r="B3183" t="str">
            <v>이　경　호</v>
          </cell>
          <cell r="C3183" t="str">
            <v>7500104이　경　호</v>
          </cell>
          <cell r="D3183" t="str">
            <v>HA30</v>
          </cell>
          <cell r="E3183" t="str">
            <v>부산조업담당</v>
          </cell>
          <cell r="F3183" t="str">
            <v>3120</v>
          </cell>
          <cell r="G3183" t="str">
            <v>3310</v>
          </cell>
          <cell r="H3183" t="str">
            <v>19980101</v>
          </cell>
          <cell r="I3183">
            <v>5000166</v>
          </cell>
        </row>
        <row r="3184">
          <cell r="A3184" t="str">
            <v>8701986</v>
          </cell>
          <cell r="B3184" t="str">
            <v>이　광　휘</v>
          </cell>
          <cell r="C3184" t="str">
            <v>8701986이　광　휘</v>
          </cell>
          <cell r="D3184" t="str">
            <v>HA30</v>
          </cell>
          <cell r="E3184" t="str">
            <v>부산조업담당</v>
          </cell>
          <cell r="F3184" t="str">
            <v>3120</v>
          </cell>
          <cell r="G3184" t="str">
            <v>3120</v>
          </cell>
          <cell r="H3184" t="str">
            <v>19870901</v>
          </cell>
          <cell r="I3184">
            <v>19967330</v>
          </cell>
        </row>
        <row r="3185">
          <cell r="A3185" t="str">
            <v>8450357</v>
          </cell>
          <cell r="B3185" t="str">
            <v>이　귀　순</v>
          </cell>
          <cell r="C3185" t="str">
            <v>8450357이　귀　순</v>
          </cell>
          <cell r="D3185" t="str">
            <v>HA30</v>
          </cell>
          <cell r="E3185" t="str">
            <v>부산조업담당</v>
          </cell>
          <cell r="F3185" t="str">
            <v>3120</v>
          </cell>
          <cell r="G3185" t="str">
            <v>3120</v>
          </cell>
          <cell r="H3185" t="str">
            <v>19840501</v>
          </cell>
          <cell r="I3185">
            <v>17836803</v>
          </cell>
        </row>
        <row r="3186">
          <cell r="A3186" t="str">
            <v>7910076</v>
          </cell>
          <cell r="B3186" t="str">
            <v>이　근　영</v>
          </cell>
          <cell r="C3186" t="str">
            <v>7910076이　근　영</v>
          </cell>
          <cell r="D3186" t="str">
            <v>HA30</v>
          </cell>
          <cell r="E3186" t="str">
            <v>부산조업담당</v>
          </cell>
          <cell r="F3186" t="str">
            <v>3120</v>
          </cell>
          <cell r="G3186" t="str">
            <v>3120</v>
          </cell>
          <cell r="H3186" t="str">
            <v>19790201</v>
          </cell>
          <cell r="I3186">
            <v>36095797</v>
          </cell>
        </row>
        <row r="3187">
          <cell r="A3187" t="str">
            <v>9002136</v>
          </cell>
          <cell r="B3187" t="str">
            <v>이　기　수</v>
          </cell>
          <cell r="C3187" t="str">
            <v>9002136이　기　수</v>
          </cell>
          <cell r="D3187" t="str">
            <v>HA30</v>
          </cell>
          <cell r="E3187" t="str">
            <v>부산조업담당</v>
          </cell>
          <cell r="F3187" t="str">
            <v>3120</v>
          </cell>
          <cell r="G3187" t="str">
            <v>3120</v>
          </cell>
          <cell r="H3187" t="str">
            <v>19891211</v>
          </cell>
          <cell r="I3187">
            <v>12819118</v>
          </cell>
        </row>
        <row r="3188">
          <cell r="A3188" t="str">
            <v>9600041</v>
          </cell>
          <cell r="B3188" t="str">
            <v>이　도　규</v>
          </cell>
          <cell r="C3188" t="str">
            <v>9600041이　도　규</v>
          </cell>
          <cell r="D3188" t="str">
            <v>HA30</v>
          </cell>
          <cell r="E3188" t="str">
            <v>부산조업담당</v>
          </cell>
          <cell r="F3188" t="str">
            <v>3120</v>
          </cell>
          <cell r="G3188" t="str">
            <v>3120</v>
          </cell>
          <cell r="H3188" t="str">
            <v>19960108</v>
          </cell>
          <cell r="I3188">
            <v>4540325</v>
          </cell>
        </row>
        <row r="3189">
          <cell r="A3189" t="str">
            <v>8501218</v>
          </cell>
          <cell r="B3189" t="str">
            <v>이　동　열</v>
          </cell>
          <cell r="C3189" t="str">
            <v>8501218이　동　열</v>
          </cell>
          <cell r="D3189" t="str">
            <v>HA30</v>
          </cell>
          <cell r="E3189" t="str">
            <v>부산조업담당</v>
          </cell>
          <cell r="F3189" t="str">
            <v>3120</v>
          </cell>
          <cell r="G3189" t="str">
            <v>3120</v>
          </cell>
          <cell r="H3189" t="str">
            <v>19850501</v>
          </cell>
          <cell r="I3189">
            <v>22066497</v>
          </cell>
        </row>
        <row r="3190">
          <cell r="A3190" t="str">
            <v>8800143</v>
          </cell>
          <cell r="B3190" t="str">
            <v>이　득　수</v>
          </cell>
          <cell r="C3190" t="str">
            <v>8800143이　득　수</v>
          </cell>
          <cell r="D3190" t="str">
            <v>HA30</v>
          </cell>
          <cell r="E3190" t="str">
            <v>부산조업담당</v>
          </cell>
          <cell r="F3190" t="str">
            <v>3120</v>
          </cell>
          <cell r="G3190" t="str">
            <v>3120</v>
          </cell>
          <cell r="H3190" t="str">
            <v>19880225</v>
          </cell>
          <cell r="I3190">
            <v>17208702</v>
          </cell>
        </row>
        <row r="3191">
          <cell r="A3191" t="str">
            <v>9600030</v>
          </cell>
          <cell r="B3191" t="str">
            <v>이　병　호</v>
          </cell>
          <cell r="C3191" t="str">
            <v>9600030이　병　호</v>
          </cell>
          <cell r="D3191" t="str">
            <v>HA30</v>
          </cell>
          <cell r="E3191" t="str">
            <v>부산조업담당</v>
          </cell>
          <cell r="F3191" t="str">
            <v>3120</v>
          </cell>
          <cell r="G3191" t="str">
            <v>3120</v>
          </cell>
          <cell r="H3191" t="str">
            <v>19960108</v>
          </cell>
          <cell r="I3191">
            <v>4582621</v>
          </cell>
        </row>
        <row r="3192">
          <cell r="A3192" t="str">
            <v>8602345</v>
          </cell>
          <cell r="B3192" t="str">
            <v>이　성　운</v>
          </cell>
          <cell r="C3192" t="str">
            <v>8602345이　성　운</v>
          </cell>
          <cell r="D3192" t="str">
            <v>HA30</v>
          </cell>
          <cell r="E3192" t="str">
            <v>부산조업담당</v>
          </cell>
          <cell r="F3192" t="str">
            <v>3120</v>
          </cell>
          <cell r="G3192" t="str">
            <v>3120</v>
          </cell>
          <cell r="H3192" t="str">
            <v>19860811</v>
          </cell>
          <cell r="I3192">
            <v>19756346</v>
          </cell>
        </row>
        <row r="3193">
          <cell r="A3193" t="str">
            <v>9252641</v>
          </cell>
          <cell r="B3193" t="str">
            <v>이　수　진</v>
          </cell>
          <cell r="C3193" t="str">
            <v>9252641이　수　진</v>
          </cell>
          <cell r="D3193" t="str">
            <v>HA30</v>
          </cell>
          <cell r="E3193" t="str">
            <v>부산조업담당</v>
          </cell>
          <cell r="F3193" t="str">
            <v>3120</v>
          </cell>
          <cell r="G3193" t="str">
            <v>3120</v>
          </cell>
          <cell r="H3193" t="str">
            <v>19921201</v>
          </cell>
          <cell r="I3193">
            <v>6736585</v>
          </cell>
        </row>
        <row r="3194">
          <cell r="A3194" t="str">
            <v>9302826</v>
          </cell>
          <cell r="B3194" t="str">
            <v>이　승　민</v>
          </cell>
          <cell r="C3194" t="str">
            <v>9302826이　승　민</v>
          </cell>
          <cell r="D3194" t="str">
            <v>HA30</v>
          </cell>
          <cell r="E3194" t="str">
            <v>부산조업담당</v>
          </cell>
          <cell r="F3194" t="str">
            <v>3120</v>
          </cell>
          <cell r="G3194" t="str">
            <v>3223</v>
          </cell>
          <cell r="H3194" t="str">
            <v>19930517</v>
          </cell>
          <cell r="I3194">
            <v>7741885</v>
          </cell>
        </row>
        <row r="3195">
          <cell r="A3195" t="str">
            <v>9206447</v>
          </cell>
          <cell r="B3195" t="str">
            <v>이　승　욱</v>
          </cell>
          <cell r="C3195" t="str">
            <v>9206447이　승　욱</v>
          </cell>
          <cell r="D3195" t="str">
            <v>HA30</v>
          </cell>
          <cell r="E3195" t="str">
            <v>부산조업담당</v>
          </cell>
          <cell r="F3195" t="str">
            <v>3120</v>
          </cell>
          <cell r="G3195" t="str">
            <v>3310</v>
          </cell>
          <cell r="H3195" t="str">
            <v>19921016</v>
          </cell>
          <cell r="I3195">
            <v>9727504</v>
          </cell>
        </row>
        <row r="3196">
          <cell r="A3196" t="str">
            <v>9305414</v>
          </cell>
          <cell r="B3196" t="str">
            <v>이　승　진</v>
          </cell>
          <cell r="C3196" t="str">
            <v>9305414이　승　진</v>
          </cell>
          <cell r="D3196" t="str">
            <v>HA30</v>
          </cell>
          <cell r="E3196" t="str">
            <v>부산조업담당</v>
          </cell>
          <cell r="F3196" t="str">
            <v>3120</v>
          </cell>
          <cell r="G3196" t="str">
            <v>3120</v>
          </cell>
          <cell r="H3196" t="str">
            <v>19991201</v>
          </cell>
          <cell r="I3196">
            <v>111286</v>
          </cell>
        </row>
        <row r="3197">
          <cell r="A3197" t="str">
            <v>9206256</v>
          </cell>
          <cell r="B3197" t="str">
            <v>이　승　학</v>
          </cell>
          <cell r="C3197" t="str">
            <v>9206256이　승　학</v>
          </cell>
          <cell r="D3197" t="str">
            <v>HA30</v>
          </cell>
          <cell r="E3197" t="str">
            <v>부산조업담당</v>
          </cell>
          <cell r="F3197" t="str">
            <v>3120</v>
          </cell>
          <cell r="G3197" t="e">
            <v>#N/A</v>
          </cell>
          <cell r="H3197" t="str">
            <v>19921005</v>
          </cell>
          <cell r="I3197">
            <v>8140086</v>
          </cell>
          <cell r="J3197" t="str">
            <v>7 월</v>
          </cell>
          <cell r="K3197">
            <v>8942540</v>
          </cell>
        </row>
        <row r="3198">
          <cell r="A3198" t="str">
            <v>9401804</v>
          </cell>
          <cell r="B3198" t="str">
            <v>이　시　우</v>
          </cell>
          <cell r="C3198" t="str">
            <v>9401804이　시　우</v>
          </cell>
          <cell r="D3198" t="str">
            <v>HA30</v>
          </cell>
          <cell r="E3198" t="str">
            <v>부산조업담당</v>
          </cell>
          <cell r="F3198" t="str">
            <v>3120</v>
          </cell>
          <cell r="G3198" t="str">
            <v>3410</v>
          </cell>
          <cell r="H3198" t="str">
            <v>19940316</v>
          </cell>
          <cell r="I3198">
            <v>6691418</v>
          </cell>
        </row>
        <row r="3199">
          <cell r="A3199" t="str">
            <v>8604832</v>
          </cell>
          <cell r="B3199" t="str">
            <v>이　영　근</v>
          </cell>
          <cell r="C3199" t="str">
            <v>8604832이　영　근</v>
          </cell>
          <cell r="D3199" t="str">
            <v>HA30</v>
          </cell>
          <cell r="E3199" t="str">
            <v>부산조업담당</v>
          </cell>
          <cell r="F3199" t="str">
            <v>3120</v>
          </cell>
          <cell r="G3199" t="str">
            <v>3223</v>
          </cell>
          <cell r="H3199" t="str">
            <v>19861119</v>
          </cell>
          <cell r="I3199">
            <v>18900559</v>
          </cell>
        </row>
        <row r="3200">
          <cell r="A3200" t="str">
            <v>9702516</v>
          </cell>
          <cell r="B3200" t="str">
            <v>이　영　민</v>
          </cell>
          <cell r="C3200" t="str">
            <v>9702516이　영　민</v>
          </cell>
          <cell r="D3200" t="str">
            <v>HA30</v>
          </cell>
          <cell r="E3200" t="str">
            <v>부산조업담당</v>
          </cell>
          <cell r="F3200" t="str">
            <v>3120</v>
          </cell>
          <cell r="G3200" t="str">
            <v>3120</v>
          </cell>
          <cell r="H3200" t="str">
            <v>19970920</v>
          </cell>
          <cell r="I3200">
            <v>2348659</v>
          </cell>
        </row>
        <row r="3201">
          <cell r="A3201" t="str">
            <v>8702008</v>
          </cell>
          <cell r="B3201" t="str">
            <v>이　용　석</v>
          </cell>
          <cell r="C3201" t="str">
            <v>8702008이　용　석</v>
          </cell>
          <cell r="D3201" t="str">
            <v>HA30</v>
          </cell>
          <cell r="E3201" t="str">
            <v>부산조업담당</v>
          </cell>
          <cell r="F3201" t="str">
            <v>3120</v>
          </cell>
          <cell r="G3201" t="str">
            <v>3120</v>
          </cell>
          <cell r="H3201" t="str">
            <v>19870901</v>
          </cell>
          <cell r="I3201">
            <v>18357396</v>
          </cell>
        </row>
        <row r="3202">
          <cell r="A3202" t="str">
            <v>8702460</v>
          </cell>
          <cell r="B3202" t="str">
            <v>이　용　재</v>
          </cell>
          <cell r="C3202" t="str">
            <v>8702460이　용　재</v>
          </cell>
          <cell r="D3202" t="str">
            <v>HA30</v>
          </cell>
          <cell r="E3202" t="str">
            <v>부산조업담당</v>
          </cell>
          <cell r="F3202" t="str">
            <v>3120</v>
          </cell>
          <cell r="G3202" t="str">
            <v>3120</v>
          </cell>
          <cell r="H3202" t="str">
            <v>19871102</v>
          </cell>
          <cell r="I3202">
            <v>17237822</v>
          </cell>
        </row>
        <row r="3203">
          <cell r="A3203" t="str">
            <v>8450381</v>
          </cell>
          <cell r="B3203" t="str">
            <v>이　윤　자</v>
          </cell>
          <cell r="C3203" t="str">
            <v>8450381이　윤　자</v>
          </cell>
          <cell r="D3203" t="str">
            <v>HA30</v>
          </cell>
          <cell r="E3203" t="str">
            <v>부산조업담당</v>
          </cell>
          <cell r="F3203" t="str">
            <v>3120</v>
          </cell>
          <cell r="G3203" t="str">
            <v>3120</v>
          </cell>
          <cell r="H3203" t="str">
            <v>19840501</v>
          </cell>
          <cell r="I3203">
            <v>18917504</v>
          </cell>
        </row>
        <row r="3204">
          <cell r="A3204" t="str">
            <v>8602751</v>
          </cell>
          <cell r="B3204" t="str">
            <v>이　윤　태</v>
          </cell>
          <cell r="C3204" t="str">
            <v>8602751이　윤　태</v>
          </cell>
          <cell r="D3204" t="str">
            <v>HA30</v>
          </cell>
          <cell r="E3204" t="str">
            <v>부산조업담당</v>
          </cell>
          <cell r="F3204" t="str">
            <v>3120</v>
          </cell>
          <cell r="G3204" t="str">
            <v>3120</v>
          </cell>
          <cell r="H3204" t="str">
            <v>19980101</v>
          </cell>
          <cell r="I3204">
            <v>3281832</v>
          </cell>
        </row>
        <row r="3205">
          <cell r="A3205" t="str">
            <v>9406067</v>
          </cell>
          <cell r="B3205" t="str">
            <v>이　재　열</v>
          </cell>
          <cell r="C3205" t="str">
            <v>9406067이　재　열</v>
          </cell>
          <cell r="D3205" t="str">
            <v>HA30</v>
          </cell>
          <cell r="E3205" t="str">
            <v>부산조업담당</v>
          </cell>
          <cell r="F3205" t="str">
            <v>3120</v>
          </cell>
          <cell r="G3205" t="str">
            <v>3120</v>
          </cell>
          <cell r="H3205" t="str">
            <v>19940901</v>
          </cell>
          <cell r="I3205">
            <v>6004244</v>
          </cell>
        </row>
        <row r="3206">
          <cell r="A3206" t="str">
            <v>8901775</v>
          </cell>
          <cell r="B3206" t="str">
            <v>이　정　곤</v>
          </cell>
          <cell r="C3206" t="str">
            <v>8901775이　정　곤</v>
          </cell>
          <cell r="D3206" t="str">
            <v>HA30</v>
          </cell>
          <cell r="E3206" t="str">
            <v>부산조업담당</v>
          </cell>
          <cell r="F3206" t="str">
            <v>3120</v>
          </cell>
          <cell r="G3206" t="str">
            <v>3120</v>
          </cell>
          <cell r="H3206" t="str">
            <v>19881123</v>
          </cell>
          <cell r="I3206">
            <v>14332392</v>
          </cell>
        </row>
        <row r="3207">
          <cell r="A3207" t="str">
            <v>8600051</v>
          </cell>
          <cell r="B3207" t="str">
            <v>이　정　세</v>
          </cell>
          <cell r="C3207" t="str">
            <v>8600051이　정　세</v>
          </cell>
          <cell r="D3207" t="str">
            <v>HA30</v>
          </cell>
          <cell r="E3207" t="str">
            <v>부산조업담당</v>
          </cell>
          <cell r="F3207" t="str">
            <v>3120</v>
          </cell>
          <cell r="G3207" t="e">
            <v>#N/A</v>
          </cell>
          <cell r="H3207" t="str">
            <v>19860912</v>
          </cell>
          <cell r="I3207">
            <v>25208488</v>
          </cell>
          <cell r="J3207" t="str">
            <v>11 월</v>
          </cell>
          <cell r="K3207">
            <v>33763663</v>
          </cell>
        </row>
        <row r="3208">
          <cell r="A3208" t="str">
            <v>9502694</v>
          </cell>
          <cell r="B3208" t="str">
            <v>이　정　수</v>
          </cell>
          <cell r="C3208" t="str">
            <v>9502694이　정　수</v>
          </cell>
          <cell r="D3208" t="str">
            <v>HA30</v>
          </cell>
          <cell r="E3208" t="str">
            <v>부산조업담당</v>
          </cell>
          <cell r="F3208" t="str">
            <v>3120</v>
          </cell>
          <cell r="G3208" t="str">
            <v>3120</v>
          </cell>
          <cell r="H3208" t="str">
            <v>19951005</v>
          </cell>
          <cell r="I3208">
            <v>4794450</v>
          </cell>
        </row>
        <row r="3209">
          <cell r="A3209" t="str">
            <v>9550192</v>
          </cell>
          <cell r="B3209" t="str">
            <v>이　진　선</v>
          </cell>
          <cell r="C3209" t="str">
            <v>9550192이　진　선</v>
          </cell>
          <cell r="D3209" t="str">
            <v>HA30</v>
          </cell>
          <cell r="E3209" t="str">
            <v>부산조업담당</v>
          </cell>
          <cell r="F3209" t="str">
            <v>3120</v>
          </cell>
          <cell r="G3209" t="str">
            <v>3310</v>
          </cell>
          <cell r="H3209" t="str">
            <v>19950601</v>
          </cell>
          <cell r="I3209">
            <v>4124610</v>
          </cell>
        </row>
        <row r="3210">
          <cell r="A3210" t="str">
            <v>7300451</v>
          </cell>
          <cell r="B3210" t="str">
            <v>이　창　극</v>
          </cell>
          <cell r="C3210" t="str">
            <v>7300451이　창　극</v>
          </cell>
          <cell r="D3210" t="str">
            <v>HA30</v>
          </cell>
          <cell r="E3210" t="str">
            <v>부산조업담당</v>
          </cell>
          <cell r="F3210" t="str">
            <v>3120</v>
          </cell>
          <cell r="G3210" t="str">
            <v>3120</v>
          </cell>
          <cell r="H3210" t="str">
            <v>19730901</v>
          </cell>
          <cell r="I3210">
            <v>49688158</v>
          </cell>
        </row>
        <row r="3211">
          <cell r="A3211" t="str">
            <v>9600096</v>
          </cell>
          <cell r="B3211" t="str">
            <v>이　해　동</v>
          </cell>
          <cell r="C3211" t="str">
            <v>9600096이　해　동</v>
          </cell>
          <cell r="D3211" t="str">
            <v>HA30</v>
          </cell>
          <cell r="E3211" t="str">
            <v>부산조업담당</v>
          </cell>
          <cell r="F3211" t="str">
            <v>3120</v>
          </cell>
          <cell r="G3211" t="str">
            <v>3223</v>
          </cell>
          <cell r="H3211" t="str">
            <v>19960108</v>
          </cell>
          <cell r="I3211">
            <v>4222964</v>
          </cell>
        </row>
        <row r="3212">
          <cell r="A3212" t="str">
            <v>9600636</v>
          </cell>
          <cell r="B3212" t="str">
            <v>이　해　송</v>
          </cell>
          <cell r="C3212" t="str">
            <v>9600636이　해　송</v>
          </cell>
          <cell r="D3212" t="str">
            <v>HA30</v>
          </cell>
          <cell r="E3212" t="str">
            <v>부산조업담당</v>
          </cell>
          <cell r="F3212" t="str">
            <v>3120</v>
          </cell>
          <cell r="G3212" t="str">
            <v>3120</v>
          </cell>
          <cell r="H3212" t="str">
            <v>19960501</v>
          </cell>
          <cell r="I3212">
            <v>4259462</v>
          </cell>
        </row>
        <row r="3213">
          <cell r="A3213" t="str">
            <v>8300968</v>
          </cell>
          <cell r="B3213" t="str">
            <v>이　희　돈</v>
          </cell>
          <cell r="C3213" t="str">
            <v>8300968이　희　돈</v>
          </cell>
          <cell r="D3213" t="str">
            <v>HA30</v>
          </cell>
          <cell r="E3213" t="str">
            <v>부산조업담당</v>
          </cell>
          <cell r="F3213" t="str">
            <v>3120</v>
          </cell>
          <cell r="G3213" t="str">
            <v>3120</v>
          </cell>
          <cell r="H3213" t="str">
            <v>19831201</v>
          </cell>
          <cell r="I3213">
            <v>25467752</v>
          </cell>
        </row>
        <row r="3214">
          <cell r="A3214" t="str">
            <v>9351944</v>
          </cell>
          <cell r="B3214" t="str">
            <v>임　기　순</v>
          </cell>
          <cell r="C3214" t="str">
            <v>9351944임　기　순</v>
          </cell>
          <cell r="D3214" t="str">
            <v>HA30</v>
          </cell>
          <cell r="E3214" t="str">
            <v>부산조업담당</v>
          </cell>
          <cell r="F3214" t="str">
            <v>3120</v>
          </cell>
          <cell r="G3214" t="str">
            <v>3120</v>
          </cell>
          <cell r="H3214" t="str">
            <v>19930922</v>
          </cell>
          <cell r="I3214">
            <v>5884795</v>
          </cell>
        </row>
        <row r="3215">
          <cell r="A3215" t="str">
            <v>9600445</v>
          </cell>
          <cell r="B3215" t="str">
            <v>임　삼　복</v>
          </cell>
          <cell r="C3215" t="str">
            <v>9600445임　삼　복</v>
          </cell>
          <cell r="D3215" t="str">
            <v>HA30</v>
          </cell>
          <cell r="E3215" t="str">
            <v>부산조업담당</v>
          </cell>
          <cell r="F3215" t="str">
            <v>3120</v>
          </cell>
          <cell r="G3215" t="str">
            <v>3120</v>
          </cell>
          <cell r="H3215" t="str">
            <v>19960311</v>
          </cell>
          <cell r="I3215">
            <v>4012557</v>
          </cell>
        </row>
        <row r="3216">
          <cell r="A3216" t="str">
            <v>8650506</v>
          </cell>
          <cell r="B3216" t="str">
            <v>임　양　련</v>
          </cell>
          <cell r="C3216" t="str">
            <v>8650506임　양　련</v>
          </cell>
          <cell r="D3216" t="str">
            <v>HA30</v>
          </cell>
          <cell r="E3216" t="str">
            <v>부산조업담당</v>
          </cell>
          <cell r="F3216" t="str">
            <v>3120</v>
          </cell>
          <cell r="G3216" t="str">
            <v>3120</v>
          </cell>
          <cell r="H3216" t="str">
            <v>19860601</v>
          </cell>
          <cell r="I3216">
            <v>16012541</v>
          </cell>
        </row>
        <row r="3217">
          <cell r="A3217" t="str">
            <v>9001293</v>
          </cell>
          <cell r="B3217" t="str">
            <v>임　재　흥</v>
          </cell>
          <cell r="C3217" t="str">
            <v>9001293임　재　흥</v>
          </cell>
          <cell r="D3217" t="str">
            <v>HA30</v>
          </cell>
          <cell r="E3217" t="str">
            <v>부산조업담당</v>
          </cell>
          <cell r="F3217" t="str">
            <v>3120</v>
          </cell>
          <cell r="G3217" t="str">
            <v>3120</v>
          </cell>
          <cell r="H3217" t="str">
            <v>19891005</v>
          </cell>
          <cell r="I3217">
            <v>13053004</v>
          </cell>
        </row>
        <row r="3218">
          <cell r="A3218" t="str">
            <v>9051557</v>
          </cell>
          <cell r="B3218" t="str">
            <v>임　정　숙</v>
          </cell>
          <cell r="C3218" t="str">
            <v>9051557임　정　숙</v>
          </cell>
          <cell r="D3218" t="str">
            <v>HA30</v>
          </cell>
          <cell r="E3218" t="str">
            <v>부산조업담당</v>
          </cell>
          <cell r="F3218" t="str">
            <v>3120</v>
          </cell>
          <cell r="G3218" t="str">
            <v>3120</v>
          </cell>
          <cell r="H3218" t="str">
            <v>19900827</v>
          </cell>
          <cell r="I3218">
            <v>9198492</v>
          </cell>
        </row>
        <row r="3219">
          <cell r="A3219" t="str">
            <v>8000774</v>
          </cell>
          <cell r="B3219" t="str">
            <v>장　수　근</v>
          </cell>
          <cell r="C3219" t="str">
            <v>8000774장　수　근</v>
          </cell>
          <cell r="D3219" t="str">
            <v>HA30</v>
          </cell>
          <cell r="E3219" t="str">
            <v>부산조업담당</v>
          </cell>
          <cell r="F3219" t="str">
            <v>3120</v>
          </cell>
          <cell r="G3219" t="str">
            <v>3120</v>
          </cell>
          <cell r="H3219" t="str">
            <v>19801230</v>
          </cell>
          <cell r="I3219">
            <v>34204968</v>
          </cell>
        </row>
        <row r="3220">
          <cell r="A3220" t="str">
            <v>8702076</v>
          </cell>
          <cell r="B3220" t="str">
            <v>장　외　식</v>
          </cell>
          <cell r="C3220" t="str">
            <v>8702076장　외　식</v>
          </cell>
          <cell r="D3220" t="str">
            <v>HA30</v>
          </cell>
          <cell r="E3220" t="str">
            <v>부산조업담당</v>
          </cell>
          <cell r="F3220" t="str">
            <v>3120</v>
          </cell>
          <cell r="G3220" t="str">
            <v>3120</v>
          </cell>
          <cell r="H3220" t="str">
            <v>19870907</v>
          </cell>
          <cell r="I3220">
            <v>19365626</v>
          </cell>
        </row>
        <row r="3221">
          <cell r="A3221" t="str">
            <v>9302938</v>
          </cell>
          <cell r="B3221" t="str">
            <v>장　인　호</v>
          </cell>
          <cell r="C3221" t="str">
            <v>9302938장　인　호</v>
          </cell>
          <cell r="D3221" t="str">
            <v>HA30</v>
          </cell>
          <cell r="E3221" t="str">
            <v>부산조업담당</v>
          </cell>
          <cell r="F3221" t="str">
            <v>3120</v>
          </cell>
          <cell r="G3221" t="str">
            <v>3120</v>
          </cell>
          <cell r="H3221" t="str">
            <v>19930521</v>
          </cell>
          <cell r="I3221">
            <v>7794119</v>
          </cell>
        </row>
        <row r="3222">
          <cell r="A3222" t="str">
            <v>9406056</v>
          </cell>
          <cell r="B3222" t="str">
            <v>장　정　원</v>
          </cell>
          <cell r="C3222" t="str">
            <v>9406056장　정　원</v>
          </cell>
          <cell r="D3222" t="str">
            <v>HA30</v>
          </cell>
          <cell r="E3222" t="str">
            <v>부산조업담당</v>
          </cell>
          <cell r="F3222" t="str">
            <v>3120</v>
          </cell>
          <cell r="G3222" t="e">
            <v>#N/A</v>
          </cell>
          <cell r="H3222" t="str">
            <v>19940901</v>
          </cell>
          <cell r="I3222">
            <v>5827613</v>
          </cell>
          <cell r="J3222" t="str">
            <v>3 월</v>
          </cell>
          <cell r="K3222">
            <v>5995394</v>
          </cell>
        </row>
        <row r="3223">
          <cell r="A3223" t="str">
            <v>8450267</v>
          </cell>
          <cell r="B3223" t="str">
            <v>장　태　순</v>
          </cell>
          <cell r="C3223" t="str">
            <v>8450267장　태　순</v>
          </cell>
          <cell r="D3223" t="str">
            <v>HA30</v>
          </cell>
          <cell r="E3223" t="str">
            <v>부산조업담당</v>
          </cell>
          <cell r="F3223" t="str">
            <v>3120</v>
          </cell>
          <cell r="G3223" t="str">
            <v>3120</v>
          </cell>
          <cell r="H3223" t="str">
            <v>19840501</v>
          </cell>
          <cell r="I3223">
            <v>20973832</v>
          </cell>
        </row>
        <row r="3224">
          <cell r="A3224" t="str">
            <v>8604854</v>
          </cell>
          <cell r="B3224" t="str">
            <v>장　현　덕</v>
          </cell>
          <cell r="C3224" t="str">
            <v>8604854장　현　덕</v>
          </cell>
          <cell r="D3224" t="str">
            <v>HA30</v>
          </cell>
          <cell r="E3224" t="str">
            <v>부산조업담당</v>
          </cell>
          <cell r="F3224" t="str">
            <v>3120</v>
          </cell>
          <cell r="G3224" t="str">
            <v>3120</v>
          </cell>
          <cell r="H3224" t="str">
            <v>19861119</v>
          </cell>
          <cell r="I3224">
            <v>21066084</v>
          </cell>
        </row>
        <row r="3225">
          <cell r="A3225" t="str">
            <v>9451260</v>
          </cell>
          <cell r="B3225" t="str">
            <v>장　희　경</v>
          </cell>
          <cell r="C3225" t="str">
            <v>9451260장　희　경</v>
          </cell>
          <cell r="D3225" t="str">
            <v>HA30</v>
          </cell>
          <cell r="E3225" t="str">
            <v>부산조업담당</v>
          </cell>
          <cell r="F3225" t="str">
            <v>3120</v>
          </cell>
          <cell r="G3225" t="str">
            <v>3120</v>
          </cell>
          <cell r="H3225" t="str">
            <v>19940601</v>
          </cell>
          <cell r="I3225">
            <v>5134010</v>
          </cell>
        </row>
        <row r="3226">
          <cell r="A3226" t="str">
            <v>8401072</v>
          </cell>
          <cell r="B3226" t="str">
            <v>전　종　성</v>
          </cell>
          <cell r="C3226" t="str">
            <v>8401072전　종　성</v>
          </cell>
          <cell r="D3226" t="str">
            <v>HA30</v>
          </cell>
          <cell r="E3226" t="str">
            <v>부산조업담당</v>
          </cell>
          <cell r="F3226" t="str">
            <v>3120</v>
          </cell>
          <cell r="G3226" t="str">
            <v>3120</v>
          </cell>
          <cell r="H3226" t="str">
            <v>19840901</v>
          </cell>
          <cell r="I3226">
            <v>27570891</v>
          </cell>
        </row>
        <row r="3227">
          <cell r="A3227" t="str">
            <v>8000673</v>
          </cell>
          <cell r="B3227" t="str">
            <v>전　종　포</v>
          </cell>
          <cell r="C3227" t="str">
            <v>8000673전　종　포</v>
          </cell>
          <cell r="D3227" t="str">
            <v>HA30</v>
          </cell>
          <cell r="E3227" t="str">
            <v>부산조업담당</v>
          </cell>
          <cell r="F3227" t="str">
            <v>3120</v>
          </cell>
          <cell r="G3227" t="str">
            <v>3120</v>
          </cell>
          <cell r="H3227" t="str">
            <v>19801211</v>
          </cell>
          <cell r="I3227">
            <v>31757170</v>
          </cell>
        </row>
        <row r="3228">
          <cell r="A3228" t="str">
            <v>8610131</v>
          </cell>
          <cell r="B3228" t="str">
            <v>전　호　상</v>
          </cell>
          <cell r="C3228" t="str">
            <v>8610131전　호　상</v>
          </cell>
          <cell r="D3228" t="str">
            <v>HA30</v>
          </cell>
          <cell r="E3228" t="str">
            <v>부산조업담당</v>
          </cell>
          <cell r="F3228" t="str">
            <v>3120</v>
          </cell>
          <cell r="G3228" t="str">
            <v>3120</v>
          </cell>
          <cell r="H3228" t="str">
            <v>19860221</v>
          </cell>
          <cell r="I3228">
            <v>23020627</v>
          </cell>
        </row>
        <row r="3229">
          <cell r="A3229" t="str">
            <v>8702065</v>
          </cell>
          <cell r="B3229" t="str">
            <v>정　기　석</v>
          </cell>
          <cell r="C3229" t="str">
            <v>8702065정　기　석</v>
          </cell>
          <cell r="D3229" t="str">
            <v>HA30</v>
          </cell>
          <cell r="E3229" t="str">
            <v>부산조업담당</v>
          </cell>
          <cell r="F3229" t="str">
            <v>3120</v>
          </cell>
          <cell r="G3229" t="str">
            <v>3120</v>
          </cell>
          <cell r="H3229" t="str">
            <v>19870907</v>
          </cell>
          <cell r="I3229">
            <v>19093612</v>
          </cell>
        </row>
        <row r="3230">
          <cell r="A3230" t="str">
            <v>7900435</v>
          </cell>
          <cell r="B3230" t="str">
            <v>정　기　원</v>
          </cell>
          <cell r="C3230" t="str">
            <v>7900435정　기　원</v>
          </cell>
          <cell r="D3230" t="str">
            <v>HA30</v>
          </cell>
          <cell r="E3230" t="str">
            <v>부산조업담당</v>
          </cell>
          <cell r="F3230" t="str">
            <v>3120</v>
          </cell>
          <cell r="G3230" t="str">
            <v>3120</v>
          </cell>
          <cell r="H3230" t="str">
            <v>19981211</v>
          </cell>
          <cell r="I3230">
            <v>2087924</v>
          </cell>
        </row>
        <row r="3231">
          <cell r="A3231" t="str">
            <v>7800761</v>
          </cell>
          <cell r="B3231" t="str">
            <v>정　만　화</v>
          </cell>
          <cell r="C3231" t="str">
            <v>7800761정　만　화</v>
          </cell>
          <cell r="D3231" t="str">
            <v>HA30</v>
          </cell>
          <cell r="E3231" t="str">
            <v>부산조업담당</v>
          </cell>
          <cell r="F3231" t="str">
            <v>3120</v>
          </cell>
          <cell r="G3231" t="str">
            <v>3120</v>
          </cell>
          <cell r="H3231" t="str">
            <v>19780901</v>
          </cell>
          <cell r="I3231">
            <v>35552868</v>
          </cell>
        </row>
        <row r="3232">
          <cell r="A3232" t="str">
            <v>8750845</v>
          </cell>
          <cell r="B3232" t="str">
            <v>정　미　애</v>
          </cell>
          <cell r="C3232" t="str">
            <v>8750845정　미　애</v>
          </cell>
          <cell r="D3232" t="str">
            <v>HA30</v>
          </cell>
          <cell r="E3232" t="str">
            <v>부산조업담당</v>
          </cell>
          <cell r="F3232" t="str">
            <v>3120</v>
          </cell>
          <cell r="G3232" t="str">
            <v>3120</v>
          </cell>
          <cell r="H3232" t="str">
            <v>19870615</v>
          </cell>
          <cell r="I3232">
            <v>14463537</v>
          </cell>
        </row>
        <row r="3233">
          <cell r="A3233" t="str">
            <v>9501737</v>
          </cell>
          <cell r="B3233" t="str">
            <v>정　상　용</v>
          </cell>
          <cell r="C3233" t="str">
            <v>9501737정　상　용</v>
          </cell>
          <cell r="D3233" t="str">
            <v>HA30</v>
          </cell>
          <cell r="E3233" t="str">
            <v>부산조업담당</v>
          </cell>
          <cell r="F3233" t="str">
            <v>3120</v>
          </cell>
          <cell r="G3233" t="str">
            <v>3120</v>
          </cell>
          <cell r="H3233" t="str">
            <v>19950720</v>
          </cell>
          <cell r="I3233">
            <v>5173963</v>
          </cell>
        </row>
        <row r="3234">
          <cell r="A3234" t="str">
            <v>9001743</v>
          </cell>
          <cell r="B3234" t="str">
            <v>정　성　호</v>
          </cell>
          <cell r="C3234" t="str">
            <v>9001743정　성　호</v>
          </cell>
          <cell r="D3234" t="str">
            <v>HA30</v>
          </cell>
          <cell r="E3234" t="str">
            <v>부산조업담당</v>
          </cell>
          <cell r="F3234" t="str">
            <v>3120</v>
          </cell>
          <cell r="G3234" t="str">
            <v>3120</v>
          </cell>
          <cell r="H3234" t="str">
            <v>19891120</v>
          </cell>
          <cell r="I3234">
            <v>15384065</v>
          </cell>
        </row>
        <row r="3235">
          <cell r="A3235" t="str">
            <v>9710381</v>
          </cell>
          <cell r="B3235" t="str">
            <v>정　소　영</v>
          </cell>
          <cell r="C3235" t="str">
            <v>9710381정　소　영</v>
          </cell>
          <cell r="D3235" t="str">
            <v>HA30</v>
          </cell>
          <cell r="E3235" t="str">
            <v>부산조업담당</v>
          </cell>
          <cell r="F3235" t="str">
            <v>3120</v>
          </cell>
          <cell r="G3235" t="str">
            <v>3120</v>
          </cell>
          <cell r="H3235" t="str">
            <v>19970301</v>
          </cell>
          <cell r="I3235">
            <v>3470480</v>
          </cell>
        </row>
        <row r="3236">
          <cell r="A3236" t="str">
            <v>7900424</v>
          </cell>
          <cell r="B3236" t="str">
            <v>정　영　환</v>
          </cell>
          <cell r="C3236" t="str">
            <v>7900424정　영　환</v>
          </cell>
          <cell r="D3236" t="str">
            <v>HA30</v>
          </cell>
          <cell r="E3236" t="str">
            <v>부산조업담당</v>
          </cell>
          <cell r="F3236" t="str">
            <v>3120</v>
          </cell>
          <cell r="G3236" t="str">
            <v>3120</v>
          </cell>
          <cell r="H3236" t="str">
            <v>19981211</v>
          </cell>
          <cell r="I3236">
            <v>1972186</v>
          </cell>
        </row>
        <row r="3237">
          <cell r="A3237" t="str">
            <v>7500137</v>
          </cell>
          <cell r="B3237" t="str">
            <v>정　용　기</v>
          </cell>
          <cell r="C3237" t="str">
            <v>7500137정　용　기</v>
          </cell>
          <cell r="D3237" t="str">
            <v>HA30</v>
          </cell>
          <cell r="E3237" t="str">
            <v>부산조업담당</v>
          </cell>
          <cell r="F3237" t="str">
            <v>3120</v>
          </cell>
          <cell r="G3237" t="str">
            <v>3310</v>
          </cell>
          <cell r="H3237" t="str">
            <v>19751210</v>
          </cell>
          <cell r="I3237">
            <v>43809606</v>
          </cell>
        </row>
        <row r="3238">
          <cell r="A3238" t="str">
            <v>8601210</v>
          </cell>
          <cell r="B3238" t="str">
            <v>정　재　근</v>
          </cell>
          <cell r="C3238" t="str">
            <v>8601210정　재　근</v>
          </cell>
          <cell r="D3238" t="str">
            <v>HA30</v>
          </cell>
          <cell r="E3238" t="str">
            <v>부산조업담당</v>
          </cell>
          <cell r="F3238" t="str">
            <v>3120</v>
          </cell>
          <cell r="G3238" t="str">
            <v>3120</v>
          </cell>
          <cell r="H3238" t="str">
            <v>19860510</v>
          </cell>
          <cell r="I3238">
            <v>22563341</v>
          </cell>
        </row>
        <row r="3239">
          <cell r="A3239" t="str">
            <v>8000076</v>
          </cell>
          <cell r="B3239" t="str">
            <v>정　정　태</v>
          </cell>
          <cell r="C3239" t="str">
            <v>8000076정　정　태</v>
          </cell>
          <cell r="D3239" t="str">
            <v>HA30</v>
          </cell>
          <cell r="E3239" t="str">
            <v>부산조업담당</v>
          </cell>
          <cell r="F3239" t="str">
            <v>3120</v>
          </cell>
          <cell r="G3239" t="str">
            <v>3120</v>
          </cell>
          <cell r="H3239" t="str">
            <v>19800215</v>
          </cell>
          <cell r="I3239">
            <v>36833373</v>
          </cell>
        </row>
        <row r="3240">
          <cell r="A3240" t="str">
            <v>8400341</v>
          </cell>
          <cell r="B3240" t="str">
            <v>정　종　대</v>
          </cell>
          <cell r="C3240" t="str">
            <v>8400341정　종　대</v>
          </cell>
          <cell r="D3240" t="str">
            <v>HA30</v>
          </cell>
          <cell r="E3240" t="str">
            <v>부산조업담당</v>
          </cell>
          <cell r="F3240" t="str">
            <v>3120</v>
          </cell>
          <cell r="G3240" t="str">
            <v>3120</v>
          </cell>
          <cell r="H3240" t="str">
            <v>19991001</v>
          </cell>
          <cell r="I3240">
            <v>447915</v>
          </cell>
        </row>
        <row r="3241">
          <cell r="A3241" t="str">
            <v>8701198</v>
          </cell>
          <cell r="B3241" t="str">
            <v>정　진　록</v>
          </cell>
          <cell r="C3241" t="str">
            <v>8701198정　진　록</v>
          </cell>
          <cell r="D3241" t="str">
            <v>HA30</v>
          </cell>
          <cell r="E3241" t="str">
            <v>부산조업담당</v>
          </cell>
          <cell r="F3241" t="str">
            <v>3120</v>
          </cell>
          <cell r="G3241" t="str">
            <v>3120</v>
          </cell>
          <cell r="H3241" t="str">
            <v>19870727</v>
          </cell>
          <cell r="I3241">
            <v>17913588</v>
          </cell>
        </row>
        <row r="3242">
          <cell r="A3242" t="str">
            <v>9051568</v>
          </cell>
          <cell r="B3242" t="str">
            <v>정　찬　숙</v>
          </cell>
          <cell r="C3242" t="str">
            <v>9051568정　찬　숙</v>
          </cell>
          <cell r="D3242" t="str">
            <v>HA30</v>
          </cell>
          <cell r="E3242" t="str">
            <v>부산조업담당</v>
          </cell>
          <cell r="F3242" t="str">
            <v>3120</v>
          </cell>
          <cell r="G3242" t="str">
            <v>3120</v>
          </cell>
          <cell r="H3242" t="str">
            <v>19900827</v>
          </cell>
          <cell r="I3242">
            <v>9220918</v>
          </cell>
        </row>
        <row r="3243">
          <cell r="A3243" t="str">
            <v>8751205</v>
          </cell>
          <cell r="B3243" t="str">
            <v>정　춘　자</v>
          </cell>
          <cell r="C3243" t="str">
            <v>8751205정　춘　자</v>
          </cell>
          <cell r="D3243" t="str">
            <v>HA30</v>
          </cell>
          <cell r="E3243" t="str">
            <v>부산조업담당</v>
          </cell>
          <cell r="F3243" t="str">
            <v>3120</v>
          </cell>
          <cell r="G3243" t="str">
            <v>3120</v>
          </cell>
          <cell r="H3243" t="str">
            <v>19871001</v>
          </cell>
          <cell r="I3243">
            <v>14193562</v>
          </cell>
        </row>
        <row r="3244">
          <cell r="A3244" t="str">
            <v>9402546</v>
          </cell>
          <cell r="B3244" t="str">
            <v>정　필　진</v>
          </cell>
          <cell r="C3244" t="str">
            <v>9402546정　필　진</v>
          </cell>
          <cell r="D3244" t="str">
            <v>HA30</v>
          </cell>
          <cell r="E3244" t="str">
            <v>부산조업담당</v>
          </cell>
          <cell r="F3244" t="str">
            <v>3120</v>
          </cell>
          <cell r="G3244" t="str">
            <v>3120</v>
          </cell>
          <cell r="H3244" t="str">
            <v>19940418</v>
          </cell>
          <cell r="I3244">
            <v>7383640</v>
          </cell>
        </row>
        <row r="3245">
          <cell r="A3245" t="str">
            <v>9301116</v>
          </cell>
          <cell r="B3245" t="str">
            <v>제　기　술</v>
          </cell>
          <cell r="C3245" t="str">
            <v>9301116제　기　술</v>
          </cell>
          <cell r="D3245" t="str">
            <v>HA30</v>
          </cell>
          <cell r="E3245" t="str">
            <v>부산조업담당</v>
          </cell>
          <cell r="F3245" t="str">
            <v>3120</v>
          </cell>
          <cell r="G3245" t="str">
            <v>3410</v>
          </cell>
          <cell r="H3245" t="str">
            <v>19930216</v>
          </cell>
          <cell r="I3245">
            <v>8267988</v>
          </cell>
        </row>
        <row r="3246">
          <cell r="A3246" t="str">
            <v>7700646</v>
          </cell>
          <cell r="B3246" t="str">
            <v>조　기　용</v>
          </cell>
          <cell r="C3246" t="str">
            <v>7700646조　기　용</v>
          </cell>
          <cell r="D3246" t="str">
            <v>HA30</v>
          </cell>
          <cell r="E3246" t="str">
            <v>부산조업담당</v>
          </cell>
          <cell r="F3246" t="str">
            <v>3120</v>
          </cell>
          <cell r="G3246" t="str">
            <v>3120</v>
          </cell>
          <cell r="H3246" t="str">
            <v>19771001</v>
          </cell>
          <cell r="I3246">
            <v>41909261</v>
          </cell>
        </row>
        <row r="3247">
          <cell r="A3247" t="str">
            <v>8701885</v>
          </cell>
          <cell r="B3247" t="str">
            <v>조　덕　래</v>
          </cell>
          <cell r="C3247" t="str">
            <v>8701885조　덕　래</v>
          </cell>
          <cell r="D3247" t="str">
            <v>HA30</v>
          </cell>
          <cell r="E3247" t="str">
            <v>부산조업담당</v>
          </cell>
          <cell r="F3247" t="str">
            <v>3120</v>
          </cell>
          <cell r="G3247" t="str">
            <v>3120</v>
          </cell>
          <cell r="H3247" t="str">
            <v>19870825</v>
          </cell>
          <cell r="I3247">
            <v>17896988</v>
          </cell>
        </row>
        <row r="3248">
          <cell r="A3248" t="str">
            <v>9550945</v>
          </cell>
          <cell r="B3248" t="str">
            <v>조　애　라</v>
          </cell>
          <cell r="C3248" t="str">
            <v>9550945조　애　라</v>
          </cell>
          <cell r="D3248" t="str">
            <v>HA30</v>
          </cell>
          <cell r="E3248" t="str">
            <v>부산조업담당</v>
          </cell>
          <cell r="F3248" t="str">
            <v>3120</v>
          </cell>
          <cell r="G3248" t="e">
            <v>#N/A</v>
          </cell>
          <cell r="H3248" t="str">
            <v>19951207</v>
          </cell>
          <cell r="I3248">
            <v>3626636</v>
          </cell>
          <cell r="J3248" t="str">
            <v>2 월</v>
          </cell>
          <cell r="K3248">
            <v>3656509</v>
          </cell>
        </row>
        <row r="3249">
          <cell r="A3249" t="str">
            <v>9402568</v>
          </cell>
          <cell r="B3249" t="str">
            <v>조　영　철</v>
          </cell>
          <cell r="C3249" t="str">
            <v>9402568조　영　철</v>
          </cell>
          <cell r="D3249" t="str">
            <v>HA30</v>
          </cell>
          <cell r="E3249" t="str">
            <v>부산조업담당</v>
          </cell>
          <cell r="F3249" t="str">
            <v>3120</v>
          </cell>
          <cell r="G3249" t="str">
            <v>3120</v>
          </cell>
          <cell r="H3249" t="str">
            <v>19940418</v>
          </cell>
          <cell r="I3249">
            <v>6587073</v>
          </cell>
        </row>
        <row r="3250">
          <cell r="A3250" t="str">
            <v>9100866</v>
          </cell>
          <cell r="B3250" t="str">
            <v>조　영　환</v>
          </cell>
          <cell r="C3250" t="str">
            <v>9100866조　영　환</v>
          </cell>
          <cell r="D3250" t="str">
            <v>HA30</v>
          </cell>
          <cell r="E3250" t="str">
            <v>부산조업담당</v>
          </cell>
          <cell r="F3250" t="str">
            <v>3120</v>
          </cell>
          <cell r="G3250" t="str">
            <v>3120</v>
          </cell>
          <cell r="H3250" t="str">
            <v>19910306</v>
          </cell>
          <cell r="I3250">
            <v>11038100</v>
          </cell>
        </row>
        <row r="3251">
          <cell r="A3251" t="str">
            <v>9151525</v>
          </cell>
          <cell r="B3251" t="str">
            <v>조　외　순</v>
          </cell>
          <cell r="C3251" t="str">
            <v>9151525조　외　순</v>
          </cell>
          <cell r="D3251" t="str">
            <v>HA30</v>
          </cell>
          <cell r="E3251" t="str">
            <v>부산조업담당</v>
          </cell>
          <cell r="F3251" t="str">
            <v>3120</v>
          </cell>
          <cell r="G3251" t="str">
            <v>3120</v>
          </cell>
          <cell r="H3251" t="str">
            <v>19910801</v>
          </cell>
          <cell r="I3251">
            <v>8171435</v>
          </cell>
        </row>
        <row r="3252">
          <cell r="A3252" t="str">
            <v>9302973</v>
          </cell>
          <cell r="B3252" t="str">
            <v>조　용　헌</v>
          </cell>
          <cell r="C3252" t="str">
            <v>9302973조　용　헌</v>
          </cell>
          <cell r="D3252" t="str">
            <v>HA30</v>
          </cell>
          <cell r="E3252" t="str">
            <v>부산조업담당</v>
          </cell>
          <cell r="F3252" t="str">
            <v>3120</v>
          </cell>
          <cell r="G3252" t="str">
            <v>3120</v>
          </cell>
          <cell r="H3252" t="str">
            <v>19930521</v>
          </cell>
          <cell r="I3252">
            <v>8862733</v>
          </cell>
        </row>
        <row r="3253">
          <cell r="A3253" t="str">
            <v>9550236</v>
          </cell>
          <cell r="B3253" t="str">
            <v>조　은　하</v>
          </cell>
          <cell r="C3253" t="str">
            <v>9550236조　은　하</v>
          </cell>
          <cell r="D3253" t="str">
            <v>HA30</v>
          </cell>
          <cell r="E3253" t="str">
            <v>부산조업담당</v>
          </cell>
          <cell r="F3253" t="str">
            <v>3120</v>
          </cell>
          <cell r="G3253" t="str">
            <v>3120</v>
          </cell>
          <cell r="H3253" t="str">
            <v>19950601</v>
          </cell>
          <cell r="I3253">
            <v>4124610</v>
          </cell>
        </row>
        <row r="3254">
          <cell r="A3254" t="str">
            <v>8400284</v>
          </cell>
          <cell r="B3254" t="str">
            <v>주　길　영</v>
          </cell>
          <cell r="C3254" t="str">
            <v>8400284주　길　영</v>
          </cell>
          <cell r="D3254" t="str">
            <v>HA30</v>
          </cell>
          <cell r="E3254" t="str">
            <v>부산조업담당</v>
          </cell>
          <cell r="F3254" t="str">
            <v>3120</v>
          </cell>
          <cell r="G3254" t="str">
            <v>3310</v>
          </cell>
          <cell r="H3254" t="str">
            <v>19840420</v>
          </cell>
          <cell r="I3254">
            <v>38757340</v>
          </cell>
        </row>
        <row r="3255">
          <cell r="A3255" t="str">
            <v>8602255</v>
          </cell>
          <cell r="B3255" t="str">
            <v>주　시　종</v>
          </cell>
          <cell r="C3255" t="str">
            <v>8602255주　시　종</v>
          </cell>
          <cell r="D3255" t="str">
            <v>HA30</v>
          </cell>
          <cell r="E3255" t="str">
            <v>부산조업담당</v>
          </cell>
          <cell r="F3255" t="str">
            <v>3120</v>
          </cell>
          <cell r="G3255" t="str">
            <v>3120</v>
          </cell>
          <cell r="H3255" t="str">
            <v>19860801</v>
          </cell>
          <cell r="I3255">
            <v>19100961</v>
          </cell>
        </row>
        <row r="3256">
          <cell r="A3256" t="str">
            <v>9401253</v>
          </cell>
          <cell r="B3256" t="str">
            <v>주　영　기</v>
          </cell>
          <cell r="C3256" t="str">
            <v>9401253주　영　기</v>
          </cell>
          <cell r="D3256" t="str">
            <v>HA30</v>
          </cell>
          <cell r="E3256" t="str">
            <v>부산조업담당</v>
          </cell>
          <cell r="F3256" t="str">
            <v>3120</v>
          </cell>
          <cell r="G3256" t="e">
            <v>#N/A</v>
          </cell>
          <cell r="H3256" t="str">
            <v>19940216</v>
          </cell>
          <cell r="I3256">
            <v>6324228</v>
          </cell>
          <cell r="J3256" t="str">
            <v>4 월</v>
          </cell>
          <cell r="K3256">
            <v>6608933</v>
          </cell>
        </row>
        <row r="3257">
          <cell r="A3257" t="str">
            <v>9352170</v>
          </cell>
          <cell r="B3257" t="str">
            <v>주　정　심</v>
          </cell>
          <cell r="C3257" t="str">
            <v>9352170주　정　심</v>
          </cell>
          <cell r="D3257" t="str">
            <v>HA30</v>
          </cell>
          <cell r="E3257" t="str">
            <v>부산조업담당</v>
          </cell>
          <cell r="F3257" t="str">
            <v>3120</v>
          </cell>
          <cell r="G3257" t="str">
            <v>3120</v>
          </cell>
          <cell r="H3257" t="str">
            <v>19931101</v>
          </cell>
          <cell r="I3257">
            <v>5811720</v>
          </cell>
        </row>
        <row r="3258">
          <cell r="A3258" t="str">
            <v>9302894</v>
          </cell>
          <cell r="B3258" t="str">
            <v>진　정　식</v>
          </cell>
          <cell r="C3258" t="str">
            <v>9302894진　정　식</v>
          </cell>
          <cell r="D3258" t="str">
            <v>HA30</v>
          </cell>
          <cell r="E3258" t="str">
            <v>부산조업담당</v>
          </cell>
          <cell r="F3258" t="str">
            <v>3120</v>
          </cell>
          <cell r="G3258" t="str">
            <v>3120</v>
          </cell>
          <cell r="H3258" t="str">
            <v>19930521</v>
          </cell>
          <cell r="I3258">
            <v>8429174</v>
          </cell>
        </row>
        <row r="3259">
          <cell r="A3259" t="str">
            <v>9307901</v>
          </cell>
          <cell r="B3259" t="str">
            <v>최　고　열</v>
          </cell>
          <cell r="C3259" t="str">
            <v>9307901최　고　열</v>
          </cell>
          <cell r="D3259" t="str">
            <v>HA30</v>
          </cell>
          <cell r="E3259" t="str">
            <v>부산조업담당</v>
          </cell>
          <cell r="F3259" t="str">
            <v>3120</v>
          </cell>
          <cell r="G3259" t="str">
            <v>3120</v>
          </cell>
          <cell r="H3259" t="str">
            <v>19931201</v>
          </cell>
          <cell r="I3259">
            <v>7350559</v>
          </cell>
        </row>
        <row r="3260">
          <cell r="A3260" t="str">
            <v>7100447</v>
          </cell>
          <cell r="B3260" t="str">
            <v>최　동　주</v>
          </cell>
          <cell r="C3260" t="str">
            <v>7100447최　동　주</v>
          </cell>
          <cell r="D3260" t="str">
            <v>HA30</v>
          </cell>
          <cell r="E3260" t="str">
            <v>부산조업담당</v>
          </cell>
          <cell r="F3260" t="str">
            <v>3120</v>
          </cell>
          <cell r="G3260" t="str">
            <v>3120</v>
          </cell>
          <cell r="H3260" t="str">
            <v>19710401</v>
          </cell>
          <cell r="I3260">
            <v>57101837</v>
          </cell>
        </row>
        <row r="3261">
          <cell r="A3261" t="str">
            <v>9406045</v>
          </cell>
          <cell r="B3261" t="str">
            <v>최　무　영</v>
          </cell>
          <cell r="C3261" t="str">
            <v>9406045최　무　영</v>
          </cell>
          <cell r="D3261" t="str">
            <v>HA30</v>
          </cell>
          <cell r="E3261" t="str">
            <v>부산조업담당</v>
          </cell>
          <cell r="F3261" t="str">
            <v>3120</v>
          </cell>
          <cell r="G3261" t="str">
            <v>3120</v>
          </cell>
          <cell r="H3261" t="str">
            <v>19940901</v>
          </cell>
          <cell r="I3261">
            <v>6263038</v>
          </cell>
        </row>
        <row r="3262">
          <cell r="A3262" t="str">
            <v>8450346</v>
          </cell>
          <cell r="B3262" t="str">
            <v>최　병　순</v>
          </cell>
          <cell r="C3262" t="str">
            <v>8450346최　병　순</v>
          </cell>
          <cell r="D3262" t="str">
            <v>HA30</v>
          </cell>
          <cell r="E3262" t="str">
            <v>부산조업담당</v>
          </cell>
          <cell r="F3262" t="str">
            <v>3120</v>
          </cell>
          <cell r="G3262" t="str">
            <v>3120</v>
          </cell>
          <cell r="H3262" t="str">
            <v>19840501</v>
          </cell>
          <cell r="I3262">
            <v>19225694</v>
          </cell>
        </row>
        <row r="3263">
          <cell r="A3263" t="str">
            <v>9504077</v>
          </cell>
          <cell r="B3263" t="str">
            <v>최　봉　갑</v>
          </cell>
          <cell r="C3263" t="str">
            <v>9504077최　봉　갑</v>
          </cell>
          <cell r="D3263" t="str">
            <v>HA30</v>
          </cell>
          <cell r="E3263" t="str">
            <v>부산조업담당</v>
          </cell>
          <cell r="F3263" t="str">
            <v>3120</v>
          </cell>
          <cell r="G3263" t="str">
            <v>3120</v>
          </cell>
          <cell r="H3263" t="str">
            <v>19951229</v>
          </cell>
          <cell r="I3263">
            <v>4283763</v>
          </cell>
        </row>
        <row r="3264">
          <cell r="A3264" t="str">
            <v>7700051</v>
          </cell>
          <cell r="B3264" t="str">
            <v>최　상　필</v>
          </cell>
          <cell r="C3264" t="str">
            <v>7700051최　상　필</v>
          </cell>
          <cell r="D3264" t="str">
            <v>HA30</v>
          </cell>
          <cell r="E3264" t="str">
            <v>부산조업담당</v>
          </cell>
          <cell r="F3264" t="str">
            <v>3120</v>
          </cell>
          <cell r="G3264" t="str">
            <v>3120</v>
          </cell>
          <cell r="H3264" t="str">
            <v>19770214</v>
          </cell>
          <cell r="I3264">
            <v>38379735</v>
          </cell>
        </row>
        <row r="3265">
          <cell r="A3265" t="str">
            <v>8650664</v>
          </cell>
          <cell r="B3265" t="str">
            <v>최　석　옥</v>
          </cell>
          <cell r="C3265" t="str">
            <v>8650664최　석　옥</v>
          </cell>
          <cell r="D3265" t="str">
            <v>HA30</v>
          </cell>
          <cell r="E3265" t="str">
            <v>부산조업담당</v>
          </cell>
          <cell r="F3265" t="str">
            <v>3120</v>
          </cell>
          <cell r="G3265" t="str">
            <v>3120</v>
          </cell>
          <cell r="H3265" t="str">
            <v>19860609</v>
          </cell>
          <cell r="I3265">
            <v>16118023</v>
          </cell>
        </row>
        <row r="3266">
          <cell r="A3266" t="str">
            <v>9052031</v>
          </cell>
          <cell r="B3266" t="str">
            <v>최　술　연</v>
          </cell>
          <cell r="C3266" t="str">
            <v>9052031최　술　연</v>
          </cell>
          <cell r="D3266" t="str">
            <v>HA30</v>
          </cell>
          <cell r="E3266" t="str">
            <v>부산조업담당</v>
          </cell>
          <cell r="F3266" t="str">
            <v>3120</v>
          </cell>
          <cell r="G3266" t="str">
            <v>3120</v>
          </cell>
          <cell r="H3266" t="str">
            <v>19901105</v>
          </cell>
          <cell r="I3266">
            <v>8986977</v>
          </cell>
        </row>
        <row r="3267">
          <cell r="A3267" t="str">
            <v>8750575</v>
          </cell>
          <cell r="B3267" t="str">
            <v>최　영　전</v>
          </cell>
          <cell r="C3267" t="str">
            <v>8750575최　영　전</v>
          </cell>
          <cell r="D3267" t="str">
            <v>HA30</v>
          </cell>
          <cell r="E3267" t="str">
            <v>부산조업담당</v>
          </cell>
          <cell r="F3267" t="str">
            <v>3120</v>
          </cell>
          <cell r="G3267" t="str">
            <v>3120</v>
          </cell>
          <cell r="H3267" t="str">
            <v>19870516</v>
          </cell>
          <cell r="I3267">
            <v>13546742</v>
          </cell>
        </row>
        <row r="3268">
          <cell r="A3268" t="str">
            <v>9003993</v>
          </cell>
          <cell r="B3268" t="str">
            <v>최　장　식</v>
          </cell>
          <cell r="C3268" t="str">
            <v>9003993최　장　식</v>
          </cell>
          <cell r="D3268" t="str">
            <v>HA30</v>
          </cell>
          <cell r="E3268" t="str">
            <v>부산조업담당</v>
          </cell>
          <cell r="F3268" t="str">
            <v>3120</v>
          </cell>
          <cell r="G3268" t="str">
            <v>5211</v>
          </cell>
          <cell r="H3268" t="str">
            <v>19900903</v>
          </cell>
          <cell r="I3268">
            <v>13688803</v>
          </cell>
        </row>
        <row r="3269">
          <cell r="A3269" t="str">
            <v>9504088</v>
          </cell>
          <cell r="B3269" t="str">
            <v>최　재　금</v>
          </cell>
          <cell r="C3269" t="str">
            <v>9504088최　재　금</v>
          </cell>
          <cell r="D3269" t="str">
            <v>HA30</v>
          </cell>
          <cell r="E3269" t="str">
            <v>부산조업담당</v>
          </cell>
          <cell r="F3269" t="str">
            <v>3120</v>
          </cell>
          <cell r="G3269" t="str">
            <v>3120</v>
          </cell>
          <cell r="H3269" t="str">
            <v>19951229</v>
          </cell>
          <cell r="I3269">
            <v>4614163</v>
          </cell>
        </row>
        <row r="3270">
          <cell r="A3270" t="str">
            <v>8651834</v>
          </cell>
          <cell r="B3270" t="str">
            <v>최　화　자</v>
          </cell>
          <cell r="C3270" t="str">
            <v>8651834최　화　자</v>
          </cell>
          <cell r="D3270" t="str">
            <v>HA30</v>
          </cell>
          <cell r="E3270" t="str">
            <v>부산조업담당</v>
          </cell>
          <cell r="F3270" t="str">
            <v>3120</v>
          </cell>
          <cell r="G3270" t="str">
            <v>3120</v>
          </cell>
          <cell r="H3270" t="str">
            <v>19861201</v>
          </cell>
          <cell r="I3270">
            <v>13862901</v>
          </cell>
        </row>
        <row r="3271">
          <cell r="A3271" t="str">
            <v>7700242</v>
          </cell>
          <cell r="B3271" t="str">
            <v>최　희　수</v>
          </cell>
          <cell r="C3271" t="str">
            <v>7700242최　희　수</v>
          </cell>
          <cell r="D3271" t="str">
            <v>HA30</v>
          </cell>
          <cell r="E3271" t="str">
            <v>부산조업담당</v>
          </cell>
          <cell r="F3271" t="str">
            <v>3120</v>
          </cell>
          <cell r="G3271" t="str">
            <v>3120</v>
          </cell>
          <cell r="H3271" t="str">
            <v>19770420</v>
          </cell>
          <cell r="I3271">
            <v>42746547</v>
          </cell>
        </row>
        <row r="3272">
          <cell r="A3272" t="str">
            <v>8400328</v>
          </cell>
          <cell r="B3272" t="str">
            <v>하　구　종</v>
          </cell>
          <cell r="C3272" t="str">
            <v>8400328하　구　종</v>
          </cell>
          <cell r="D3272" t="str">
            <v>HA30</v>
          </cell>
          <cell r="E3272" t="str">
            <v>부산조업담당</v>
          </cell>
          <cell r="F3272" t="str">
            <v>3120</v>
          </cell>
          <cell r="G3272" t="str">
            <v>3120</v>
          </cell>
          <cell r="H3272" t="str">
            <v>19840510</v>
          </cell>
          <cell r="I3272">
            <v>26522116</v>
          </cell>
        </row>
        <row r="3273">
          <cell r="A3273" t="str">
            <v>8602323</v>
          </cell>
          <cell r="B3273" t="str">
            <v>한　석　근</v>
          </cell>
          <cell r="C3273" t="str">
            <v>8602323한　석　근</v>
          </cell>
          <cell r="D3273" t="str">
            <v>HA30</v>
          </cell>
          <cell r="E3273" t="str">
            <v>부산조업담당</v>
          </cell>
          <cell r="F3273" t="str">
            <v>3120</v>
          </cell>
          <cell r="G3273" t="str">
            <v>3120</v>
          </cell>
          <cell r="H3273" t="str">
            <v>19860811</v>
          </cell>
          <cell r="I3273">
            <v>19825286</v>
          </cell>
        </row>
        <row r="3274">
          <cell r="A3274" t="str">
            <v>9203973</v>
          </cell>
          <cell r="B3274" t="str">
            <v>함　상　우</v>
          </cell>
          <cell r="C3274" t="str">
            <v>9203973함　상　우</v>
          </cell>
          <cell r="D3274" t="str">
            <v>HA30</v>
          </cell>
          <cell r="E3274" t="str">
            <v>부산조업담당</v>
          </cell>
          <cell r="F3274" t="str">
            <v>3120</v>
          </cell>
          <cell r="G3274" t="str">
            <v>3120</v>
          </cell>
          <cell r="H3274" t="str">
            <v>19920716</v>
          </cell>
          <cell r="I3274">
            <v>8448735</v>
          </cell>
        </row>
        <row r="3275">
          <cell r="A3275" t="str">
            <v>8901810</v>
          </cell>
          <cell r="B3275" t="str">
            <v>홍　봉　철</v>
          </cell>
          <cell r="C3275" t="str">
            <v>8901810홍　봉　철</v>
          </cell>
          <cell r="D3275" t="str">
            <v>HA30</v>
          </cell>
          <cell r="E3275" t="str">
            <v>부산조업담당</v>
          </cell>
          <cell r="F3275" t="str">
            <v>3120</v>
          </cell>
          <cell r="G3275" t="str">
            <v>3120</v>
          </cell>
          <cell r="H3275" t="str">
            <v>19881123</v>
          </cell>
          <cell r="I3275">
            <v>16628723</v>
          </cell>
        </row>
        <row r="3276">
          <cell r="A3276" t="str">
            <v>8901821</v>
          </cell>
          <cell r="B3276" t="str">
            <v>홍　순　철</v>
          </cell>
          <cell r="C3276" t="str">
            <v>8901821홍　순　철</v>
          </cell>
          <cell r="D3276" t="str">
            <v>HA30</v>
          </cell>
          <cell r="E3276" t="str">
            <v>부산조업담당</v>
          </cell>
          <cell r="F3276" t="str">
            <v>3120</v>
          </cell>
          <cell r="G3276" t="str">
            <v>3120</v>
          </cell>
          <cell r="H3276" t="str">
            <v>19881123</v>
          </cell>
          <cell r="I3276">
            <v>16804588</v>
          </cell>
        </row>
        <row r="3277">
          <cell r="A3277" t="str">
            <v>8602378</v>
          </cell>
          <cell r="B3277" t="str">
            <v>황　석　근</v>
          </cell>
          <cell r="C3277" t="str">
            <v>8602378황　석　근</v>
          </cell>
          <cell r="D3277" t="str">
            <v>HA30</v>
          </cell>
          <cell r="E3277" t="str">
            <v>부산조업담당</v>
          </cell>
          <cell r="F3277" t="str">
            <v>3120</v>
          </cell>
          <cell r="G3277" t="str">
            <v>3120</v>
          </cell>
          <cell r="H3277" t="str">
            <v>19860811</v>
          </cell>
          <cell r="I3277">
            <v>20475842</v>
          </cell>
        </row>
        <row r="3278">
          <cell r="A3278" t="str">
            <v>7700488</v>
          </cell>
          <cell r="B3278" t="str">
            <v>공　노　명</v>
          </cell>
          <cell r="C3278" t="str">
            <v>7700488공　노　명</v>
          </cell>
          <cell r="D3278" t="str">
            <v>부산GSE</v>
          </cell>
          <cell r="E3278" t="str">
            <v>부산 G S E</v>
          </cell>
          <cell r="F3278" t="str">
            <v>3222</v>
          </cell>
          <cell r="G3278" t="str">
            <v>3310</v>
          </cell>
          <cell r="H3278" t="str">
            <v>19770801</v>
          </cell>
          <cell r="I3278">
            <v>47997409</v>
          </cell>
        </row>
        <row r="3279">
          <cell r="A3279" t="str">
            <v>8602244</v>
          </cell>
          <cell r="B3279" t="str">
            <v>김　종　우</v>
          </cell>
          <cell r="C3279" t="str">
            <v>8602244김　종　우</v>
          </cell>
          <cell r="D3279" t="str">
            <v>부산GSE</v>
          </cell>
          <cell r="E3279" t="str">
            <v>부산 G S E</v>
          </cell>
          <cell r="F3279" t="str">
            <v>3222</v>
          </cell>
          <cell r="G3279" t="str">
            <v>3222</v>
          </cell>
          <cell r="H3279" t="str">
            <v>19860801</v>
          </cell>
          <cell r="I3279">
            <v>25613693</v>
          </cell>
        </row>
        <row r="3280">
          <cell r="A3280" t="str">
            <v>8602233</v>
          </cell>
          <cell r="B3280" t="str">
            <v>박　대　욱</v>
          </cell>
          <cell r="C3280" t="str">
            <v>8602233박　대　욱</v>
          </cell>
          <cell r="D3280" t="str">
            <v>부산GSE</v>
          </cell>
          <cell r="E3280" t="str">
            <v>부산 G S E</v>
          </cell>
          <cell r="F3280" t="str">
            <v>3222</v>
          </cell>
          <cell r="G3280" t="str">
            <v>3222</v>
          </cell>
          <cell r="H3280" t="str">
            <v>19860801</v>
          </cell>
          <cell r="I3280">
            <v>24394125</v>
          </cell>
        </row>
        <row r="3281">
          <cell r="A3281" t="str">
            <v>8602200</v>
          </cell>
          <cell r="B3281" t="str">
            <v>석　종　원</v>
          </cell>
          <cell r="C3281" t="str">
            <v>8602200석　종　원</v>
          </cell>
          <cell r="D3281" t="str">
            <v>부산GSE</v>
          </cell>
          <cell r="E3281" t="str">
            <v>부산 G S E</v>
          </cell>
          <cell r="F3281" t="str">
            <v>3222</v>
          </cell>
          <cell r="G3281" t="str">
            <v>3222</v>
          </cell>
          <cell r="H3281" t="str">
            <v>19860801</v>
          </cell>
          <cell r="I3281">
            <v>23646681</v>
          </cell>
        </row>
        <row r="3282">
          <cell r="A3282" t="str">
            <v>8000188</v>
          </cell>
          <cell r="B3282" t="str">
            <v>송　창　덕</v>
          </cell>
          <cell r="C3282" t="str">
            <v>8000188송　창　덕</v>
          </cell>
          <cell r="D3282" t="str">
            <v>부산GSE</v>
          </cell>
          <cell r="E3282" t="str">
            <v>부산 G S E</v>
          </cell>
          <cell r="F3282" t="str">
            <v>3222</v>
          </cell>
          <cell r="G3282" t="str">
            <v>3222</v>
          </cell>
          <cell r="H3282" t="str">
            <v>19801016</v>
          </cell>
          <cell r="I3282">
            <v>40212966</v>
          </cell>
        </row>
        <row r="3283">
          <cell r="A3283" t="str">
            <v>9203837</v>
          </cell>
          <cell r="B3283" t="str">
            <v>송　창　언</v>
          </cell>
          <cell r="C3283" t="str">
            <v>9203837송　창　언</v>
          </cell>
          <cell r="D3283" t="str">
            <v>부산GSE</v>
          </cell>
          <cell r="E3283" t="str">
            <v>부산 G S E</v>
          </cell>
          <cell r="F3283" t="str">
            <v>3222</v>
          </cell>
          <cell r="G3283" t="str">
            <v>3222</v>
          </cell>
          <cell r="H3283" t="str">
            <v>19920701</v>
          </cell>
          <cell r="I3283">
            <v>10609544</v>
          </cell>
        </row>
        <row r="3284">
          <cell r="A3284" t="str">
            <v>8602198</v>
          </cell>
          <cell r="B3284" t="str">
            <v>심　호　섭</v>
          </cell>
          <cell r="C3284" t="str">
            <v>8602198심　호　섭</v>
          </cell>
          <cell r="D3284" t="str">
            <v>부산GSE</v>
          </cell>
          <cell r="E3284" t="str">
            <v>부산 G S E</v>
          </cell>
          <cell r="F3284" t="str">
            <v>3222</v>
          </cell>
          <cell r="G3284" t="str">
            <v>3222</v>
          </cell>
          <cell r="H3284" t="str">
            <v>19860801</v>
          </cell>
          <cell r="I3284">
            <v>22343915</v>
          </cell>
        </row>
        <row r="3285">
          <cell r="A3285" t="str">
            <v>8400317</v>
          </cell>
          <cell r="B3285" t="str">
            <v>이　재　관</v>
          </cell>
          <cell r="C3285" t="str">
            <v>8400317이　재　관</v>
          </cell>
          <cell r="D3285" t="str">
            <v>부산GSE</v>
          </cell>
          <cell r="E3285" t="str">
            <v>부산 G S E</v>
          </cell>
          <cell r="F3285" t="str">
            <v>3222</v>
          </cell>
          <cell r="G3285" t="str">
            <v>3222</v>
          </cell>
          <cell r="H3285" t="str">
            <v>19840510</v>
          </cell>
          <cell r="I3285">
            <v>29869293</v>
          </cell>
        </row>
        <row r="3286">
          <cell r="A3286" t="str">
            <v>8900897</v>
          </cell>
          <cell r="B3286" t="str">
            <v>장　선　기</v>
          </cell>
          <cell r="C3286" t="str">
            <v>8900897장　선　기</v>
          </cell>
          <cell r="D3286" t="str">
            <v>부산GSE</v>
          </cell>
          <cell r="E3286" t="str">
            <v>부산 G S E</v>
          </cell>
          <cell r="F3286" t="str">
            <v>3222</v>
          </cell>
          <cell r="G3286" t="str">
            <v>3222</v>
          </cell>
          <cell r="H3286" t="str">
            <v>19880901</v>
          </cell>
          <cell r="I3286">
            <v>17261986</v>
          </cell>
        </row>
        <row r="3287">
          <cell r="A3287" t="str">
            <v>8602481</v>
          </cell>
          <cell r="B3287" t="str">
            <v>장　정　규</v>
          </cell>
          <cell r="C3287" t="str">
            <v>8602481장　정　규</v>
          </cell>
          <cell r="D3287" t="str">
            <v>부산GSE</v>
          </cell>
          <cell r="E3287" t="str">
            <v>부산 G S E</v>
          </cell>
          <cell r="F3287" t="str">
            <v>3222</v>
          </cell>
          <cell r="G3287" t="str">
            <v>3222</v>
          </cell>
          <cell r="H3287" t="str">
            <v>19860811</v>
          </cell>
          <cell r="I3287">
            <v>22197854</v>
          </cell>
        </row>
        <row r="3288">
          <cell r="A3288" t="str">
            <v>8602648</v>
          </cell>
          <cell r="B3288" t="str">
            <v>정　상　복</v>
          </cell>
          <cell r="C3288" t="str">
            <v>8602648정　상　복</v>
          </cell>
          <cell r="D3288" t="str">
            <v>부산GSE</v>
          </cell>
          <cell r="E3288" t="str">
            <v>부산 G S E</v>
          </cell>
          <cell r="F3288" t="str">
            <v>3222</v>
          </cell>
          <cell r="G3288" t="str">
            <v>3222</v>
          </cell>
          <cell r="H3288" t="str">
            <v>19860811</v>
          </cell>
          <cell r="I3288">
            <v>20523891</v>
          </cell>
        </row>
        <row r="3289">
          <cell r="A3289" t="str">
            <v>8401498</v>
          </cell>
          <cell r="B3289" t="str">
            <v>조　만　래</v>
          </cell>
          <cell r="C3289" t="str">
            <v>8401498조　만　래</v>
          </cell>
          <cell r="D3289" t="str">
            <v>부산GSE</v>
          </cell>
          <cell r="E3289" t="str">
            <v>부산 G S E</v>
          </cell>
          <cell r="F3289" t="str">
            <v>3222</v>
          </cell>
          <cell r="G3289" t="str">
            <v>3222</v>
          </cell>
          <cell r="H3289" t="str">
            <v>19841201</v>
          </cell>
          <cell r="I3289">
            <v>26940364</v>
          </cell>
        </row>
        <row r="3290">
          <cell r="A3290" t="str">
            <v>9104905</v>
          </cell>
          <cell r="B3290" t="str">
            <v>최　경　진</v>
          </cell>
          <cell r="C3290" t="str">
            <v>9104905최　경　진</v>
          </cell>
          <cell r="D3290" t="str">
            <v>부산GSE</v>
          </cell>
          <cell r="E3290" t="str">
            <v>부산 G S E</v>
          </cell>
          <cell r="F3290" t="str">
            <v>3222</v>
          </cell>
          <cell r="G3290" t="str">
            <v>3222</v>
          </cell>
          <cell r="H3290" t="str">
            <v>19911101</v>
          </cell>
          <cell r="I3290">
            <v>11805543</v>
          </cell>
        </row>
        <row r="3291">
          <cell r="A3291" t="str">
            <v>8200697</v>
          </cell>
          <cell r="B3291" t="str">
            <v>김　원　경</v>
          </cell>
          <cell r="C3291" t="str">
            <v>8200697김　원　경</v>
          </cell>
          <cell r="D3291" t="str">
            <v>부산외부세척</v>
          </cell>
          <cell r="E3291" t="str">
            <v>부산외부세척</v>
          </cell>
          <cell r="F3291" t="str">
            <v>3223</v>
          </cell>
          <cell r="G3291" t="str">
            <v>3223</v>
          </cell>
          <cell r="H3291" t="str">
            <v>19820901</v>
          </cell>
          <cell r="I3291">
            <v>29092559</v>
          </cell>
        </row>
        <row r="3292">
          <cell r="A3292" t="str">
            <v>9300510</v>
          </cell>
          <cell r="B3292" t="str">
            <v>김　종　수</v>
          </cell>
          <cell r="C3292" t="str">
            <v>9300510김　종　수</v>
          </cell>
          <cell r="D3292" t="str">
            <v>부산외부세척</v>
          </cell>
          <cell r="E3292" t="str">
            <v>부산외부세척</v>
          </cell>
          <cell r="F3292" t="str">
            <v>3223</v>
          </cell>
          <cell r="G3292" t="e">
            <v>#N/A</v>
          </cell>
          <cell r="H3292" t="str">
            <v>19930116</v>
          </cell>
          <cell r="I3292">
            <v>7822958</v>
          </cell>
          <cell r="J3292" t="str">
            <v>8 월</v>
          </cell>
          <cell r="K3292">
            <v>9718131</v>
          </cell>
        </row>
        <row r="3293">
          <cell r="A3293" t="str">
            <v>8602615</v>
          </cell>
          <cell r="B3293" t="str">
            <v>김　종　영</v>
          </cell>
          <cell r="C3293" t="str">
            <v>8602615김　종　영</v>
          </cell>
          <cell r="D3293" t="str">
            <v>부산외부세척</v>
          </cell>
          <cell r="E3293" t="str">
            <v>부산외부세척</v>
          </cell>
          <cell r="F3293" t="str">
            <v>3223</v>
          </cell>
          <cell r="G3293" t="str">
            <v>3223</v>
          </cell>
          <cell r="H3293" t="str">
            <v>19860811</v>
          </cell>
          <cell r="I3293">
            <v>19802668</v>
          </cell>
        </row>
        <row r="3294">
          <cell r="A3294" t="str">
            <v>9301645</v>
          </cell>
          <cell r="B3294" t="str">
            <v>김　태　현</v>
          </cell>
          <cell r="C3294" t="str">
            <v>9301645김　태　현</v>
          </cell>
          <cell r="D3294" t="str">
            <v>부산외부세척</v>
          </cell>
          <cell r="E3294" t="str">
            <v>부산외부세척</v>
          </cell>
          <cell r="F3294" t="str">
            <v>3223</v>
          </cell>
          <cell r="G3294" t="str">
            <v>3223</v>
          </cell>
          <cell r="H3294" t="str">
            <v>19930316</v>
          </cell>
          <cell r="I3294">
            <v>7619464</v>
          </cell>
        </row>
        <row r="3295">
          <cell r="A3295" t="str">
            <v>9600524</v>
          </cell>
          <cell r="B3295" t="str">
            <v>박　종　길</v>
          </cell>
          <cell r="C3295" t="str">
            <v>9600524박　종　길</v>
          </cell>
          <cell r="D3295" t="str">
            <v>부산외부세척</v>
          </cell>
          <cell r="E3295" t="str">
            <v>부산외부세척</v>
          </cell>
          <cell r="F3295" t="str">
            <v>3223</v>
          </cell>
          <cell r="G3295" t="str">
            <v>3310</v>
          </cell>
          <cell r="H3295" t="str">
            <v>19960311</v>
          </cell>
          <cell r="I3295">
            <v>4012557</v>
          </cell>
        </row>
        <row r="3296">
          <cell r="A3296" t="str">
            <v>9304896</v>
          </cell>
          <cell r="B3296" t="str">
            <v>서　정　태</v>
          </cell>
          <cell r="C3296" t="str">
            <v>9304896서　정　태</v>
          </cell>
          <cell r="D3296" t="str">
            <v>부산외부세척</v>
          </cell>
          <cell r="E3296" t="str">
            <v>부산외부세척</v>
          </cell>
          <cell r="F3296" t="str">
            <v>3223</v>
          </cell>
          <cell r="G3296" t="str">
            <v>3223</v>
          </cell>
          <cell r="H3296" t="str">
            <v>19930801</v>
          </cell>
          <cell r="I3296">
            <v>7195624</v>
          </cell>
        </row>
        <row r="3297">
          <cell r="A3297" t="str">
            <v>8602525</v>
          </cell>
          <cell r="B3297" t="str">
            <v>윤　희　한</v>
          </cell>
          <cell r="C3297" t="str">
            <v>8602525윤　희　한</v>
          </cell>
          <cell r="D3297" t="str">
            <v>부산외부세척</v>
          </cell>
          <cell r="E3297" t="str">
            <v>부산외부세척</v>
          </cell>
          <cell r="F3297" t="str">
            <v>3223</v>
          </cell>
          <cell r="G3297" t="str">
            <v>3223</v>
          </cell>
          <cell r="H3297" t="str">
            <v>19860811</v>
          </cell>
          <cell r="I3297">
            <v>20355384</v>
          </cell>
        </row>
        <row r="3298">
          <cell r="A3298" t="str">
            <v>9207134</v>
          </cell>
          <cell r="B3298" t="str">
            <v>이　성　식</v>
          </cell>
          <cell r="C3298" t="str">
            <v>9207134이　성　식</v>
          </cell>
          <cell r="D3298" t="str">
            <v>부산외부세척</v>
          </cell>
          <cell r="E3298" t="str">
            <v>부산외부세척</v>
          </cell>
          <cell r="F3298" t="str">
            <v>3223</v>
          </cell>
          <cell r="G3298" t="str">
            <v>3223</v>
          </cell>
          <cell r="H3298" t="str">
            <v>19921101</v>
          </cell>
          <cell r="I3298">
            <v>8737884</v>
          </cell>
        </row>
        <row r="3299">
          <cell r="A3299" t="str">
            <v>8602457</v>
          </cell>
          <cell r="B3299" t="str">
            <v>이　재　환</v>
          </cell>
          <cell r="C3299" t="str">
            <v>8602457이　재　환</v>
          </cell>
          <cell r="D3299" t="str">
            <v>부산외부세척</v>
          </cell>
          <cell r="E3299" t="str">
            <v>부산외부세척</v>
          </cell>
          <cell r="F3299" t="str">
            <v>3223</v>
          </cell>
          <cell r="G3299" t="str">
            <v>3223</v>
          </cell>
          <cell r="H3299" t="str">
            <v>19860811</v>
          </cell>
          <cell r="I3299">
            <v>19719278</v>
          </cell>
        </row>
        <row r="3300">
          <cell r="A3300" t="str">
            <v>8603043</v>
          </cell>
          <cell r="B3300" t="str">
            <v>이　점　식</v>
          </cell>
          <cell r="C3300" t="str">
            <v>8603043이　점　식</v>
          </cell>
          <cell r="D3300" t="str">
            <v>부산외부세척</v>
          </cell>
          <cell r="E3300" t="str">
            <v>부산외부세척</v>
          </cell>
          <cell r="F3300" t="str">
            <v>3223</v>
          </cell>
          <cell r="G3300" t="str">
            <v>3223</v>
          </cell>
          <cell r="H3300" t="str">
            <v>19860818</v>
          </cell>
          <cell r="I3300">
            <v>18209014</v>
          </cell>
        </row>
        <row r="3301">
          <cell r="A3301">
            <v>9302477</v>
          </cell>
          <cell r="B3301" t="str">
            <v>정　원　조</v>
          </cell>
          <cell r="C3301" t="str">
            <v>9302477정　원　조</v>
          </cell>
          <cell r="D3301" t="str">
            <v>부산외부세척</v>
          </cell>
          <cell r="E3301" t="str">
            <v>부산외부세척</v>
          </cell>
          <cell r="F3301" t="str">
            <v>3223</v>
          </cell>
          <cell r="G3301" t="e">
            <v>#N/A</v>
          </cell>
          <cell r="H3301" t="str">
            <v>19930501</v>
          </cell>
          <cell r="I3301">
            <v>7446727</v>
          </cell>
        </row>
        <row r="3302">
          <cell r="A3302" t="str">
            <v>8602334</v>
          </cell>
          <cell r="B3302" t="str">
            <v>조　규　영</v>
          </cell>
          <cell r="C3302" t="str">
            <v>8602334조　규　영</v>
          </cell>
          <cell r="D3302" t="str">
            <v>부산외부세척</v>
          </cell>
          <cell r="E3302" t="str">
            <v>부산외부세척</v>
          </cell>
          <cell r="F3302" t="str">
            <v>3223</v>
          </cell>
          <cell r="G3302" t="e">
            <v>#N/A</v>
          </cell>
          <cell r="H3302" t="str">
            <v>19860811</v>
          </cell>
          <cell r="I3302">
            <v>19719278</v>
          </cell>
          <cell r="J3302" t="str">
            <v>5 월</v>
          </cell>
          <cell r="K3302">
            <v>20627950</v>
          </cell>
        </row>
        <row r="3303">
          <cell r="A3303" t="str">
            <v>8500094</v>
          </cell>
          <cell r="B3303" t="str">
            <v>차　우　석</v>
          </cell>
          <cell r="C3303" t="str">
            <v>8500094차　우　석</v>
          </cell>
          <cell r="D3303" t="str">
            <v>부산외부세척</v>
          </cell>
          <cell r="E3303" t="str">
            <v>부산외부세척</v>
          </cell>
          <cell r="F3303" t="str">
            <v>3223</v>
          </cell>
          <cell r="G3303" t="str">
            <v>3223</v>
          </cell>
          <cell r="H3303" t="str">
            <v>19981201</v>
          </cell>
          <cell r="I3303">
            <v>1872356</v>
          </cell>
        </row>
        <row r="3304">
          <cell r="A3304" t="str">
            <v>9302488</v>
          </cell>
          <cell r="B3304" t="str">
            <v>황　원　태</v>
          </cell>
          <cell r="C3304" t="str">
            <v>9302488황　원　태</v>
          </cell>
          <cell r="D3304" t="str">
            <v>부산외부세척</v>
          </cell>
          <cell r="E3304" t="str">
            <v>부산외부세척</v>
          </cell>
          <cell r="F3304" t="str">
            <v>3223</v>
          </cell>
          <cell r="G3304" t="str">
            <v>3223</v>
          </cell>
          <cell r="H3304" t="str">
            <v>19930501</v>
          </cell>
          <cell r="I3304">
            <v>7838866</v>
          </cell>
        </row>
        <row r="3305">
          <cell r="A3305" t="str">
            <v>8902787</v>
          </cell>
          <cell r="B3305" t="str">
            <v>김　명　진</v>
          </cell>
          <cell r="C3305" t="str">
            <v>8902787김　명　진</v>
          </cell>
          <cell r="D3305" t="str">
            <v>부산정비지원</v>
          </cell>
          <cell r="E3305" t="str">
            <v>부산객실정비</v>
          </cell>
          <cell r="F3305" t="str">
            <v>3224</v>
          </cell>
          <cell r="G3305" t="str">
            <v>3222</v>
          </cell>
          <cell r="H3305" t="str">
            <v>19891101</v>
          </cell>
          <cell r="I3305">
            <v>14742559</v>
          </cell>
        </row>
        <row r="3306">
          <cell r="A3306" t="str">
            <v>8602806</v>
          </cell>
          <cell r="B3306" t="str">
            <v>김　영　오</v>
          </cell>
          <cell r="C3306" t="str">
            <v>8602806김　영　오</v>
          </cell>
          <cell r="D3306" t="str">
            <v>부산정비지원</v>
          </cell>
          <cell r="E3306" t="str">
            <v>부산객실정비</v>
          </cell>
          <cell r="F3306" t="str">
            <v>3224</v>
          </cell>
          <cell r="G3306" t="str">
            <v>3310</v>
          </cell>
          <cell r="H3306" t="str">
            <v>19860811</v>
          </cell>
          <cell r="I3306">
            <v>22750261</v>
          </cell>
        </row>
        <row r="3307">
          <cell r="A3307" t="str">
            <v>9004083</v>
          </cell>
          <cell r="B3307" t="str">
            <v>김　인　수</v>
          </cell>
          <cell r="C3307" t="str">
            <v>9004083김　인　수</v>
          </cell>
          <cell r="D3307" t="str">
            <v>부산정비지원</v>
          </cell>
          <cell r="E3307" t="str">
            <v>부산객실정비</v>
          </cell>
          <cell r="F3307" t="str">
            <v>3224</v>
          </cell>
          <cell r="G3307" t="str">
            <v>3222</v>
          </cell>
          <cell r="H3307" t="str">
            <v>19900903</v>
          </cell>
          <cell r="I3307">
            <v>12842149</v>
          </cell>
        </row>
        <row r="3308">
          <cell r="A3308" t="str">
            <v>9002103</v>
          </cell>
          <cell r="B3308" t="str">
            <v>김　호　진</v>
          </cell>
          <cell r="C3308" t="str">
            <v>9002103김　호　진</v>
          </cell>
          <cell r="D3308" t="str">
            <v>부산정비지원</v>
          </cell>
          <cell r="E3308" t="str">
            <v>부산객실정비</v>
          </cell>
          <cell r="F3308" t="str">
            <v>3224</v>
          </cell>
          <cell r="G3308" t="str">
            <v>3222</v>
          </cell>
          <cell r="H3308" t="str">
            <v>19891211</v>
          </cell>
          <cell r="I3308">
            <v>15295083</v>
          </cell>
        </row>
        <row r="3309">
          <cell r="A3309" t="str">
            <v>9306854</v>
          </cell>
          <cell r="B3309" t="str">
            <v>류　인　택</v>
          </cell>
          <cell r="C3309" t="str">
            <v>9306854류　인　택</v>
          </cell>
          <cell r="D3309" t="str">
            <v>부산정비지원</v>
          </cell>
          <cell r="E3309" t="str">
            <v>부산객실정비</v>
          </cell>
          <cell r="F3309" t="str">
            <v>3224</v>
          </cell>
          <cell r="G3309" t="str">
            <v>3222</v>
          </cell>
          <cell r="H3309" t="str">
            <v>19931005</v>
          </cell>
          <cell r="I3309">
            <v>8089977</v>
          </cell>
        </row>
        <row r="3310">
          <cell r="A3310" t="str">
            <v>8602795</v>
          </cell>
          <cell r="B3310" t="str">
            <v>박　면　기</v>
          </cell>
          <cell r="C3310" t="str">
            <v>8602795박　면　기</v>
          </cell>
          <cell r="D3310" t="str">
            <v>부산정비지원</v>
          </cell>
          <cell r="E3310" t="str">
            <v>부산객실정비</v>
          </cell>
          <cell r="F3310" t="str">
            <v>3224</v>
          </cell>
          <cell r="G3310" t="str">
            <v>3120</v>
          </cell>
          <cell r="H3310" t="str">
            <v>19860811</v>
          </cell>
          <cell r="I3310">
            <v>20992601</v>
          </cell>
        </row>
        <row r="3311">
          <cell r="A3311" t="str">
            <v>9503098</v>
          </cell>
          <cell r="B3311" t="str">
            <v>서　경　효</v>
          </cell>
          <cell r="C3311" t="str">
            <v>9503098서　경　효</v>
          </cell>
          <cell r="D3311" t="str">
            <v>부산정비지원</v>
          </cell>
          <cell r="E3311" t="str">
            <v>부산객실정비</v>
          </cell>
          <cell r="F3311" t="str">
            <v>3224</v>
          </cell>
          <cell r="G3311" t="str">
            <v>3222</v>
          </cell>
          <cell r="H3311" t="str">
            <v>19951023</v>
          </cell>
          <cell r="I3311">
            <v>5438588</v>
          </cell>
        </row>
        <row r="3312">
          <cell r="A3312" t="str">
            <v>8400330</v>
          </cell>
          <cell r="B3312" t="str">
            <v>서　보　희</v>
          </cell>
          <cell r="C3312" t="str">
            <v>8400330서　보　희</v>
          </cell>
          <cell r="D3312" t="str">
            <v>부산정비지원</v>
          </cell>
          <cell r="E3312" t="str">
            <v>부산객실정비</v>
          </cell>
          <cell r="F3312" t="str">
            <v>3224</v>
          </cell>
          <cell r="G3312" t="str">
            <v>3223</v>
          </cell>
          <cell r="H3312" t="str">
            <v>19840510</v>
          </cell>
          <cell r="I3312">
            <v>23634460</v>
          </cell>
        </row>
        <row r="3313">
          <cell r="A3313" t="str">
            <v>8902337</v>
          </cell>
          <cell r="B3313" t="str">
            <v>윤　문　철</v>
          </cell>
          <cell r="C3313" t="str">
            <v>8902337윤　문　철</v>
          </cell>
          <cell r="D3313" t="str">
            <v>부산정비지원</v>
          </cell>
          <cell r="E3313" t="str">
            <v>부산객실정비</v>
          </cell>
          <cell r="F3313" t="str">
            <v>3224</v>
          </cell>
          <cell r="G3313" t="str">
            <v>3222</v>
          </cell>
          <cell r="H3313" t="str">
            <v>19881201</v>
          </cell>
          <cell r="I3313">
            <v>16697528</v>
          </cell>
        </row>
        <row r="3314">
          <cell r="A3314" t="str">
            <v>9104062</v>
          </cell>
          <cell r="B3314" t="str">
            <v>이　상　국</v>
          </cell>
          <cell r="C3314" t="str">
            <v>9104062이　상　국</v>
          </cell>
          <cell r="D3314" t="str">
            <v>부산정비지원</v>
          </cell>
          <cell r="E3314" t="str">
            <v>부산객실정비</v>
          </cell>
          <cell r="F3314" t="str">
            <v>3224</v>
          </cell>
          <cell r="G3314" t="str">
            <v>3222</v>
          </cell>
          <cell r="H3314" t="str">
            <v>19910918</v>
          </cell>
          <cell r="I3314">
            <v>11372393</v>
          </cell>
        </row>
        <row r="3315">
          <cell r="A3315" t="str">
            <v>9101946</v>
          </cell>
          <cell r="B3315" t="str">
            <v>이　석　갑</v>
          </cell>
          <cell r="C3315" t="str">
            <v>9101946이　석　갑</v>
          </cell>
          <cell r="D3315" t="str">
            <v>부산정비지원</v>
          </cell>
          <cell r="E3315" t="str">
            <v>부산객실정비</v>
          </cell>
          <cell r="F3315" t="str">
            <v>3224</v>
          </cell>
          <cell r="G3315" t="str">
            <v>3222</v>
          </cell>
          <cell r="H3315" t="str">
            <v>19910601</v>
          </cell>
          <cell r="I3315">
            <v>11744032</v>
          </cell>
        </row>
        <row r="3316">
          <cell r="A3316" t="str">
            <v>9402502</v>
          </cell>
          <cell r="B3316" t="str">
            <v>장　용　호</v>
          </cell>
          <cell r="C3316" t="str">
            <v>9402502장　용　호</v>
          </cell>
          <cell r="D3316" t="str">
            <v>부산정비지원</v>
          </cell>
          <cell r="E3316" t="str">
            <v>부산객실정비</v>
          </cell>
          <cell r="F3316" t="str">
            <v>3224</v>
          </cell>
          <cell r="G3316" t="str">
            <v>3222</v>
          </cell>
          <cell r="H3316" t="str">
            <v>19940418</v>
          </cell>
          <cell r="I3316">
            <v>6785693</v>
          </cell>
        </row>
        <row r="3317">
          <cell r="A3317" t="str">
            <v>9301138</v>
          </cell>
          <cell r="B3317" t="str">
            <v>조　윤　진</v>
          </cell>
          <cell r="C3317" t="str">
            <v>9301138조　윤　진</v>
          </cell>
          <cell r="D3317" t="str">
            <v>부산정비지원</v>
          </cell>
          <cell r="E3317" t="str">
            <v>부산객실정비</v>
          </cell>
          <cell r="F3317" t="str">
            <v>3224</v>
          </cell>
          <cell r="G3317" t="str">
            <v>3222</v>
          </cell>
          <cell r="H3317" t="str">
            <v>19930216</v>
          </cell>
          <cell r="I3317">
            <v>9144809</v>
          </cell>
        </row>
        <row r="3318">
          <cell r="A3318" t="str">
            <v>9401398</v>
          </cell>
          <cell r="B3318" t="str">
            <v>조　형　율</v>
          </cell>
          <cell r="C3318" t="str">
            <v>9401398조　형　율</v>
          </cell>
          <cell r="D3318" t="str">
            <v>부산정비지원</v>
          </cell>
          <cell r="E3318" t="str">
            <v>부산객실정비</v>
          </cell>
          <cell r="F3318" t="str">
            <v>3224</v>
          </cell>
          <cell r="G3318" t="str">
            <v>3222</v>
          </cell>
          <cell r="H3318" t="str">
            <v>19940305</v>
          </cell>
          <cell r="I3318">
            <v>7662747</v>
          </cell>
        </row>
        <row r="3319">
          <cell r="A3319" t="str">
            <v>8602828</v>
          </cell>
          <cell r="B3319" t="str">
            <v>최　병　철</v>
          </cell>
          <cell r="C3319" t="str">
            <v>8602828최　병　철</v>
          </cell>
          <cell r="D3319" t="str">
            <v>부산정비지원</v>
          </cell>
          <cell r="E3319" t="str">
            <v>부산객실정비</v>
          </cell>
          <cell r="F3319" t="str">
            <v>3224</v>
          </cell>
          <cell r="G3319" t="str">
            <v>3222</v>
          </cell>
          <cell r="H3319" t="str">
            <v>19860811</v>
          </cell>
          <cell r="I3319">
            <v>21602593</v>
          </cell>
        </row>
        <row r="3320">
          <cell r="A3320" t="str">
            <v>9405595</v>
          </cell>
          <cell r="B3320" t="str">
            <v>홍　욱　　</v>
          </cell>
          <cell r="C3320" t="str">
            <v>9405595홍　욱　　</v>
          </cell>
          <cell r="D3320" t="str">
            <v>부산정비지원</v>
          </cell>
          <cell r="E3320" t="str">
            <v>부산객실정비</v>
          </cell>
          <cell r="F3320" t="str">
            <v>3224</v>
          </cell>
          <cell r="G3320" t="str">
            <v>3222</v>
          </cell>
          <cell r="H3320" t="str">
            <v>19940816</v>
          </cell>
          <cell r="I3320">
            <v>6976260</v>
          </cell>
        </row>
        <row r="3321">
          <cell r="A3321" t="str">
            <v>7810503</v>
          </cell>
          <cell r="B3321" t="str">
            <v>김　광　석</v>
          </cell>
          <cell r="C3321" t="str">
            <v>7810503김　광　석</v>
          </cell>
          <cell r="D3321" t="str">
            <v>HA40</v>
          </cell>
          <cell r="E3321" t="str">
            <v>부산급유담당</v>
          </cell>
          <cell r="F3321" t="str">
            <v>3410</v>
          </cell>
          <cell r="G3321" t="str">
            <v>3410</v>
          </cell>
          <cell r="H3321" t="str">
            <v>19780516</v>
          </cell>
          <cell r="I3321">
            <v>40720458</v>
          </cell>
        </row>
        <row r="3322">
          <cell r="A3322" t="str">
            <v>9411794</v>
          </cell>
          <cell r="B3322" t="str">
            <v>김　태　완</v>
          </cell>
          <cell r="C3322" t="str">
            <v>9411794김　태　완</v>
          </cell>
          <cell r="D3322" t="str">
            <v>HA40</v>
          </cell>
          <cell r="E3322" t="str">
            <v>부산급유담당</v>
          </cell>
          <cell r="F3322" t="str">
            <v>3410</v>
          </cell>
          <cell r="G3322" t="str">
            <v>3410</v>
          </cell>
          <cell r="H3322" t="str">
            <v>19940901</v>
          </cell>
          <cell r="I3322">
            <v>7833064</v>
          </cell>
        </row>
        <row r="3323">
          <cell r="A3323" t="str">
            <v>9311038</v>
          </cell>
          <cell r="B3323" t="str">
            <v>김　현　호</v>
          </cell>
          <cell r="C3323" t="str">
            <v>9311038김　현　호</v>
          </cell>
          <cell r="D3323" t="str">
            <v>HA40</v>
          </cell>
          <cell r="E3323" t="str">
            <v>부산급유담당</v>
          </cell>
          <cell r="F3323" t="str">
            <v>3410</v>
          </cell>
          <cell r="G3323" t="str">
            <v>3410</v>
          </cell>
          <cell r="H3323" t="str">
            <v>19930816</v>
          </cell>
          <cell r="I3323">
            <v>9466316</v>
          </cell>
        </row>
        <row r="3324">
          <cell r="A3324" t="str">
            <v>7910087</v>
          </cell>
          <cell r="B3324" t="str">
            <v>김　형　락</v>
          </cell>
          <cell r="C3324" t="str">
            <v>7910087김　형　락</v>
          </cell>
          <cell r="D3324" t="str">
            <v>HA40</v>
          </cell>
          <cell r="E3324" t="str">
            <v>부산급유담당</v>
          </cell>
          <cell r="F3324" t="str">
            <v>3410</v>
          </cell>
          <cell r="G3324" t="str">
            <v>3410</v>
          </cell>
          <cell r="H3324" t="str">
            <v>19790101</v>
          </cell>
          <cell r="I3324">
            <v>39439176</v>
          </cell>
        </row>
        <row r="3325">
          <cell r="A3325" t="str">
            <v>9308340</v>
          </cell>
          <cell r="B3325" t="str">
            <v>박　병　태</v>
          </cell>
          <cell r="C3325" t="str">
            <v>9308340박　병　태</v>
          </cell>
          <cell r="D3325" t="str">
            <v>HA40</v>
          </cell>
          <cell r="E3325" t="str">
            <v>부산급유담당</v>
          </cell>
          <cell r="F3325" t="str">
            <v>3410</v>
          </cell>
          <cell r="G3325" t="str">
            <v>3410</v>
          </cell>
          <cell r="H3325" t="str">
            <v>19931216</v>
          </cell>
          <cell r="I3325">
            <v>7763279</v>
          </cell>
        </row>
        <row r="3326">
          <cell r="A3326" t="str">
            <v>9304468</v>
          </cell>
          <cell r="B3326" t="str">
            <v>박　종　진</v>
          </cell>
          <cell r="C3326" t="str">
            <v>9304468박　종　진</v>
          </cell>
          <cell r="D3326" t="str">
            <v>HA40</v>
          </cell>
          <cell r="E3326" t="str">
            <v>부산급유담당</v>
          </cell>
          <cell r="F3326" t="str">
            <v>3410</v>
          </cell>
          <cell r="G3326" t="str">
            <v>3410</v>
          </cell>
          <cell r="H3326" t="str">
            <v>19930716</v>
          </cell>
          <cell r="I3326">
            <v>8333721</v>
          </cell>
        </row>
        <row r="3327">
          <cell r="A3327" t="str">
            <v>7810514</v>
          </cell>
          <cell r="B3327" t="str">
            <v>백　성　진</v>
          </cell>
          <cell r="C3327" t="str">
            <v>7810514백　성　진</v>
          </cell>
          <cell r="D3327" t="str">
            <v>HA40</v>
          </cell>
          <cell r="E3327" t="str">
            <v>부산급유담당</v>
          </cell>
          <cell r="F3327" t="str">
            <v>3410</v>
          </cell>
          <cell r="G3327" t="str">
            <v>3410</v>
          </cell>
          <cell r="H3327" t="str">
            <v>19780101</v>
          </cell>
          <cell r="I3327">
            <v>46607000</v>
          </cell>
        </row>
        <row r="3328">
          <cell r="A3328" t="str">
            <v>9501750</v>
          </cell>
          <cell r="B3328" t="str">
            <v>신　진　창</v>
          </cell>
          <cell r="C3328" t="str">
            <v>9501750신　진　창</v>
          </cell>
          <cell r="D3328" t="str">
            <v>HA40</v>
          </cell>
          <cell r="E3328" t="str">
            <v>부산급유담당</v>
          </cell>
          <cell r="F3328" t="str">
            <v>3410</v>
          </cell>
          <cell r="G3328" t="str">
            <v>3410</v>
          </cell>
          <cell r="H3328" t="str">
            <v>19950720</v>
          </cell>
          <cell r="I3328">
            <v>5313457</v>
          </cell>
        </row>
        <row r="3329">
          <cell r="A3329" t="str">
            <v>9511648</v>
          </cell>
          <cell r="B3329" t="str">
            <v>안　병　길</v>
          </cell>
          <cell r="C3329" t="str">
            <v>9511648안　병　길</v>
          </cell>
          <cell r="D3329" t="str">
            <v>HA40</v>
          </cell>
          <cell r="E3329" t="str">
            <v>부산급유담당</v>
          </cell>
          <cell r="F3329" t="str">
            <v>3410</v>
          </cell>
          <cell r="G3329" t="str">
            <v>3410</v>
          </cell>
          <cell r="H3329" t="str">
            <v>19951201</v>
          </cell>
          <cell r="I3329">
            <v>5543107</v>
          </cell>
        </row>
        <row r="3330">
          <cell r="A3330" t="str">
            <v>9111486</v>
          </cell>
          <cell r="B3330" t="str">
            <v>안　태　갑</v>
          </cell>
          <cell r="C3330" t="str">
            <v>9111486안　태　갑</v>
          </cell>
          <cell r="D3330" t="str">
            <v>HA40</v>
          </cell>
          <cell r="E3330" t="str">
            <v>부산급유담당</v>
          </cell>
          <cell r="F3330" t="str">
            <v>3410</v>
          </cell>
          <cell r="G3330" t="str">
            <v>3410</v>
          </cell>
          <cell r="H3330" t="str">
            <v>19911002</v>
          </cell>
          <cell r="I3330">
            <v>12551796</v>
          </cell>
        </row>
        <row r="3331">
          <cell r="A3331" t="str">
            <v>8811876</v>
          </cell>
          <cell r="B3331" t="str">
            <v>윤　병　천</v>
          </cell>
          <cell r="C3331" t="str">
            <v>8811876윤　병　천</v>
          </cell>
          <cell r="D3331" t="str">
            <v>HA40</v>
          </cell>
          <cell r="E3331" t="str">
            <v>부산급유담당</v>
          </cell>
          <cell r="F3331" t="str">
            <v>3410</v>
          </cell>
          <cell r="G3331" t="str">
            <v>3410</v>
          </cell>
          <cell r="H3331" t="str">
            <v>19881222</v>
          </cell>
          <cell r="I3331">
            <v>17127778</v>
          </cell>
        </row>
        <row r="3332">
          <cell r="A3332" t="str">
            <v>9502716</v>
          </cell>
          <cell r="B3332" t="str">
            <v>윤　석　환</v>
          </cell>
          <cell r="C3332" t="str">
            <v>9502716윤　석　환</v>
          </cell>
          <cell r="D3332" t="str">
            <v>HA40</v>
          </cell>
          <cell r="E3332" t="str">
            <v>부산급유담당</v>
          </cell>
          <cell r="F3332" t="str">
            <v>3410</v>
          </cell>
          <cell r="G3332" t="str">
            <v>3410</v>
          </cell>
          <cell r="H3332" t="str">
            <v>19951005</v>
          </cell>
          <cell r="I3332">
            <v>5538979</v>
          </cell>
        </row>
        <row r="3333">
          <cell r="A3333" t="str">
            <v>8910990</v>
          </cell>
          <cell r="B3333" t="str">
            <v>이　양　우</v>
          </cell>
          <cell r="C3333" t="str">
            <v>8910990이　양　우</v>
          </cell>
          <cell r="D3333" t="str">
            <v>HA40</v>
          </cell>
          <cell r="E3333" t="str">
            <v>부산급유담당</v>
          </cell>
          <cell r="F3333" t="str">
            <v>3410</v>
          </cell>
          <cell r="G3333" t="str">
            <v>3410</v>
          </cell>
          <cell r="H3333" t="str">
            <v>19890904</v>
          </cell>
          <cell r="I3333">
            <v>16173293</v>
          </cell>
        </row>
        <row r="3334">
          <cell r="A3334" t="str">
            <v>7300484</v>
          </cell>
          <cell r="B3334" t="str">
            <v>이　채　홍</v>
          </cell>
          <cell r="C3334" t="str">
            <v>7300484이　채　홍</v>
          </cell>
          <cell r="D3334" t="str">
            <v>HA40</v>
          </cell>
          <cell r="E3334" t="str">
            <v>부산급유담당</v>
          </cell>
          <cell r="F3334" t="str">
            <v>3410</v>
          </cell>
          <cell r="G3334" t="str">
            <v>3410</v>
          </cell>
          <cell r="H3334" t="str">
            <v>19731122</v>
          </cell>
          <cell r="I3334">
            <v>50186793</v>
          </cell>
        </row>
        <row r="3335">
          <cell r="A3335" t="str">
            <v>8810627</v>
          </cell>
          <cell r="B3335" t="str">
            <v>장　정　철</v>
          </cell>
          <cell r="C3335" t="str">
            <v>8810627장　정　철</v>
          </cell>
          <cell r="D3335" t="str">
            <v>HA40</v>
          </cell>
          <cell r="E3335" t="str">
            <v>부산급유담당</v>
          </cell>
          <cell r="F3335" t="str">
            <v>3410</v>
          </cell>
          <cell r="G3335" t="str">
            <v>3410</v>
          </cell>
          <cell r="H3335" t="str">
            <v>19880706</v>
          </cell>
          <cell r="I3335">
            <v>20066340</v>
          </cell>
          <cell r="J3335" t="str">
            <v>2 월</v>
          </cell>
          <cell r="K3335">
            <v>20098758</v>
          </cell>
        </row>
        <row r="3336">
          <cell r="A3336" t="str">
            <v>9311916</v>
          </cell>
          <cell r="B3336" t="str">
            <v>정　금　찬</v>
          </cell>
          <cell r="C3336" t="str">
            <v>9311916정　금　찬</v>
          </cell>
          <cell r="D3336" t="str">
            <v>HA40</v>
          </cell>
          <cell r="E3336" t="str">
            <v>부산급유담당</v>
          </cell>
          <cell r="F3336" t="str">
            <v>3410</v>
          </cell>
          <cell r="G3336" t="str">
            <v>3410</v>
          </cell>
          <cell r="H3336" t="str">
            <v>19931108</v>
          </cell>
          <cell r="I3336">
            <v>8507666</v>
          </cell>
        </row>
        <row r="3337">
          <cell r="A3337" t="str">
            <v>7810457</v>
          </cell>
          <cell r="B3337" t="str">
            <v>정　대　진</v>
          </cell>
          <cell r="C3337" t="str">
            <v>7810457정　대　진</v>
          </cell>
          <cell r="D3337" t="str">
            <v>HA40</v>
          </cell>
          <cell r="E3337" t="str">
            <v>부산급유담당</v>
          </cell>
          <cell r="F3337" t="str">
            <v>3410</v>
          </cell>
          <cell r="G3337" t="str">
            <v>3410</v>
          </cell>
          <cell r="H3337" t="str">
            <v>19780516</v>
          </cell>
          <cell r="I3337">
            <v>47743038</v>
          </cell>
        </row>
        <row r="3338">
          <cell r="A3338" t="str">
            <v>9211127</v>
          </cell>
          <cell r="B3338" t="str">
            <v>정　상　규</v>
          </cell>
          <cell r="C3338" t="str">
            <v>9211127정　상　규</v>
          </cell>
          <cell r="D3338" t="str">
            <v>HA40</v>
          </cell>
          <cell r="E3338" t="str">
            <v>부산급유담당</v>
          </cell>
          <cell r="F3338" t="str">
            <v>3410</v>
          </cell>
          <cell r="G3338" t="str">
            <v>3410</v>
          </cell>
          <cell r="H3338" t="str">
            <v>19920323</v>
          </cell>
          <cell r="I3338">
            <v>11610461</v>
          </cell>
          <cell r="J3338" t="str">
            <v>11 월</v>
          </cell>
          <cell r="K3338">
            <v>15557592</v>
          </cell>
        </row>
        <row r="3339">
          <cell r="A3339" t="str">
            <v>8910988</v>
          </cell>
          <cell r="B3339" t="str">
            <v>차　성　환</v>
          </cell>
          <cell r="C3339" t="str">
            <v>8910988차　성　환</v>
          </cell>
          <cell r="D3339" t="str">
            <v>HA40</v>
          </cell>
          <cell r="E3339" t="str">
            <v>부산급유담당</v>
          </cell>
          <cell r="F3339" t="str">
            <v>3410</v>
          </cell>
          <cell r="G3339" t="str">
            <v>3410</v>
          </cell>
          <cell r="H3339" t="str">
            <v>19890904</v>
          </cell>
          <cell r="I3339">
            <v>17271277</v>
          </cell>
        </row>
        <row r="3340">
          <cell r="A3340" t="str">
            <v>9410016</v>
          </cell>
          <cell r="B3340" t="str">
            <v>천　도　수</v>
          </cell>
          <cell r="C3340" t="str">
            <v>9410016천　도　수</v>
          </cell>
          <cell r="D3340" t="str">
            <v>HA40</v>
          </cell>
          <cell r="E3340" t="str">
            <v>부산급유담당</v>
          </cell>
          <cell r="F3340" t="str">
            <v>3410</v>
          </cell>
          <cell r="G3340" t="str">
            <v>3410</v>
          </cell>
          <cell r="H3340" t="str">
            <v>19940110</v>
          </cell>
          <cell r="I3340">
            <v>8324925</v>
          </cell>
        </row>
        <row r="3341">
          <cell r="A3341" t="str">
            <v>9210791</v>
          </cell>
          <cell r="B3341" t="str">
            <v>김　동　환</v>
          </cell>
          <cell r="C3341" t="str">
            <v>9210791김　동　환</v>
          </cell>
          <cell r="D3341" t="str">
            <v>부산시설</v>
          </cell>
          <cell r="E3341" t="str">
            <v>부산시설관리</v>
          </cell>
          <cell r="F3341" t="str">
            <v>3411</v>
          </cell>
          <cell r="G3341" t="e">
            <v>#N/A</v>
          </cell>
          <cell r="H3341" t="str">
            <v>19920215</v>
          </cell>
          <cell r="I3341">
            <v>16804939</v>
          </cell>
          <cell r="J3341" t="str">
            <v>12 월</v>
          </cell>
          <cell r="K3341">
            <v>29361849</v>
          </cell>
        </row>
        <row r="3342">
          <cell r="A3342" t="str">
            <v>9210824</v>
          </cell>
          <cell r="B3342" t="str">
            <v>김　영　욱</v>
          </cell>
          <cell r="C3342" t="str">
            <v>9210824김　영　욱</v>
          </cell>
          <cell r="D3342" t="str">
            <v>부산시설</v>
          </cell>
          <cell r="E3342" t="str">
            <v>부산시설관리</v>
          </cell>
          <cell r="F3342" t="str">
            <v>3411</v>
          </cell>
          <cell r="G3342" t="str">
            <v>3120</v>
          </cell>
          <cell r="H3342" t="str">
            <v>19920215</v>
          </cell>
          <cell r="I3342">
            <v>16537131</v>
          </cell>
        </row>
        <row r="3343">
          <cell r="A3343" t="str">
            <v>9210835</v>
          </cell>
          <cell r="B3343" t="str">
            <v>노　현　철</v>
          </cell>
          <cell r="C3343" t="str">
            <v>9210835노　현　철</v>
          </cell>
          <cell r="D3343" t="str">
            <v>부산시설</v>
          </cell>
          <cell r="E3343" t="str">
            <v>부산시설관리</v>
          </cell>
          <cell r="F3343" t="str">
            <v>3411</v>
          </cell>
          <cell r="G3343" t="str">
            <v>3310</v>
          </cell>
          <cell r="H3343" t="str">
            <v>19920215</v>
          </cell>
          <cell r="I3343">
            <v>11735621</v>
          </cell>
        </row>
        <row r="3344">
          <cell r="A3344" t="str">
            <v>9211140</v>
          </cell>
          <cell r="B3344" t="str">
            <v>성　기　원</v>
          </cell>
          <cell r="C3344" t="str">
            <v>9211140성　기　원</v>
          </cell>
          <cell r="D3344" t="str">
            <v>부산시설</v>
          </cell>
          <cell r="E3344" t="str">
            <v>부산시설관리</v>
          </cell>
          <cell r="F3344" t="str">
            <v>3411</v>
          </cell>
          <cell r="G3344" t="str">
            <v>3310</v>
          </cell>
          <cell r="H3344" t="str">
            <v>19920501</v>
          </cell>
          <cell r="I3344">
            <v>10700679</v>
          </cell>
        </row>
        <row r="3345">
          <cell r="A3345" t="str">
            <v>9210868</v>
          </cell>
          <cell r="B3345" t="str">
            <v>안　석　태</v>
          </cell>
          <cell r="C3345" t="str">
            <v>9210868안　석　태</v>
          </cell>
          <cell r="D3345" t="str">
            <v>부산시설</v>
          </cell>
          <cell r="E3345" t="str">
            <v>부산시설관리</v>
          </cell>
          <cell r="F3345" t="str">
            <v>3411</v>
          </cell>
          <cell r="G3345" t="str">
            <v>3120</v>
          </cell>
          <cell r="H3345" t="str">
            <v>19920215</v>
          </cell>
          <cell r="I3345">
            <v>17896516</v>
          </cell>
        </row>
        <row r="3346">
          <cell r="A3346" t="str">
            <v>9210881</v>
          </cell>
          <cell r="B3346" t="str">
            <v>윤　주　완</v>
          </cell>
          <cell r="C3346" t="str">
            <v>9210881윤　주　완</v>
          </cell>
          <cell r="D3346" t="str">
            <v>부산시설</v>
          </cell>
          <cell r="E3346" t="str">
            <v>부산시설관리</v>
          </cell>
          <cell r="F3346" t="str">
            <v>3411</v>
          </cell>
          <cell r="G3346" t="e">
            <v>#N/A</v>
          </cell>
          <cell r="H3346" t="str">
            <v>19920215</v>
          </cell>
          <cell r="I3346">
            <v>16742579</v>
          </cell>
          <cell r="J3346" t="str">
            <v>12 월</v>
          </cell>
          <cell r="K3346">
            <v>29196040</v>
          </cell>
        </row>
        <row r="3347">
          <cell r="A3347" t="str">
            <v>9210892</v>
          </cell>
          <cell r="B3347" t="str">
            <v>이　동　연</v>
          </cell>
          <cell r="C3347" t="str">
            <v>9210892이　동　연</v>
          </cell>
          <cell r="D3347" t="str">
            <v>부산시설</v>
          </cell>
          <cell r="E3347" t="str">
            <v>부산시설관리</v>
          </cell>
          <cell r="F3347" t="str">
            <v>3411</v>
          </cell>
          <cell r="G3347" t="str">
            <v>3120</v>
          </cell>
          <cell r="H3347" t="str">
            <v>19920215</v>
          </cell>
          <cell r="I3347">
            <v>16836446</v>
          </cell>
        </row>
        <row r="3348">
          <cell r="A3348" t="str">
            <v>9210903</v>
          </cell>
          <cell r="B3348" t="str">
            <v>이　상　모</v>
          </cell>
          <cell r="C3348" t="str">
            <v>9210903이　상　모</v>
          </cell>
          <cell r="D3348" t="str">
            <v>부산시설</v>
          </cell>
          <cell r="E3348" t="str">
            <v>부산시설관리</v>
          </cell>
          <cell r="F3348" t="str">
            <v>3411</v>
          </cell>
          <cell r="G3348" t="e">
            <v>#N/A</v>
          </cell>
          <cell r="H3348" t="str">
            <v>19920215</v>
          </cell>
          <cell r="I3348">
            <v>15339873</v>
          </cell>
          <cell r="J3348" t="str">
            <v>12 월</v>
          </cell>
          <cell r="K3348">
            <v>26087049</v>
          </cell>
        </row>
        <row r="3349">
          <cell r="A3349" t="str">
            <v>9210914</v>
          </cell>
          <cell r="B3349" t="str">
            <v>이　성　도</v>
          </cell>
          <cell r="C3349" t="str">
            <v>9210914이　성　도</v>
          </cell>
          <cell r="D3349" t="str">
            <v>부산시설</v>
          </cell>
          <cell r="E3349" t="str">
            <v>부산시설관리</v>
          </cell>
          <cell r="F3349" t="str">
            <v>3411</v>
          </cell>
          <cell r="G3349" t="str">
            <v>3120</v>
          </cell>
          <cell r="H3349" t="str">
            <v>19920215</v>
          </cell>
          <cell r="I3349">
            <v>17971344</v>
          </cell>
        </row>
        <row r="3350">
          <cell r="A3350" t="str">
            <v>9210925</v>
          </cell>
          <cell r="B3350" t="str">
            <v>이　영　무</v>
          </cell>
          <cell r="C3350" t="str">
            <v>9210925이　영　무</v>
          </cell>
          <cell r="D3350" t="str">
            <v>부산시설</v>
          </cell>
          <cell r="E3350" t="str">
            <v>부산시설관리</v>
          </cell>
          <cell r="F3350" t="str">
            <v>3411</v>
          </cell>
          <cell r="G3350" t="e">
            <v>#N/A</v>
          </cell>
          <cell r="H3350" t="str">
            <v>19920215</v>
          </cell>
          <cell r="I3350">
            <v>16474771</v>
          </cell>
          <cell r="J3350" t="str">
            <v>12 월</v>
          </cell>
          <cell r="K3350">
            <v>28274299</v>
          </cell>
        </row>
        <row r="3351">
          <cell r="A3351" t="str">
            <v>9210936</v>
          </cell>
          <cell r="B3351" t="str">
            <v>이　영　우</v>
          </cell>
          <cell r="C3351" t="str">
            <v>9210936이　영　우</v>
          </cell>
          <cell r="D3351" t="str">
            <v>부산시설</v>
          </cell>
          <cell r="E3351" t="str">
            <v>부산시설관리</v>
          </cell>
          <cell r="F3351" t="str">
            <v>3411</v>
          </cell>
          <cell r="G3351" t="e">
            <v>#N/A</v>
          </cell>
          <cell r="H3351" t="str">
            <v>19920215</v>
          </cell>
          <cell r="I3351">
            <v>16821346</v>
          </cell>
          <cell r="J3351" t="str">
            <v>12 월</v>
          </cell>
          <cell r="K3351">
            <v>28570579</v>
          </cell>
        </row>
        <row r="3352">
          <cell r="A3352" t="str">
            <v>9210947</v>
          </cell>
          <cell r="B3352" t="str">
            <v>이　영　일</v>
          </cell>
          <cell r="C3352" t="str">
            <v>9210947이　영　일</v>
          </cell>
          <cell r="D3352" t="str">
            <v>부산시설</v>
          </cell>
          <cell r="E3352" t="str">
            <v>부산시설관리</v>
          </cell>
          <cell r="F3352" t="str">
            <v>3411</v>
          </cell>
          <cell r="G3352" t="e">
            <v>#N/A</v>
          </cell>
          <cell r="H3352" t="str">
            <v>19920215</v>
          </cell>
          <cell r="I3352">
            <v>15851197</v>
          </cell>
          <cell r="J3352" t="str">
            <v>12 월</v>
          </cell>
          <cell r="K3352">
            <v>21124511</v>
          </cell>
        </row>
        <row r="3353">
          <cell r="A3353" t="str">
            <v>9210958</v>
          </cell>
          <cell r="B3353" t="str">
            <v>이　용　순</v>
          </cell>
          <cell r="C3353" t="str">
            <v>9210958이　용　순</v>
          </cell>
          <cell r="D3353" t="str">
            <v>부산시설</v>
          </cell>
          <cell r="E3353" t="str">
            <v>부산시설관리</v>
          </cell>
          <cell r="F3353" t="str">
            <v>3411</v>
          </cell>
          <cell r="G3353" t="str">
            <v>3120</v>
          </cell>
          <cell r="H3353" t="str">
            <v>19920215</v>
          </cell>
          <cell r="I3353">
            <v>17435075</v>
          </cell>
        </row>
        <row r="3354">
          <cell r="A3354" t="str">
            <v>9210960</v>
          </cell>
          <cell r="B3354" t="str">
            <v>이　일　상</v>
          </cell>
          <cell r="C3354" t="str">
            <v>9210960이　일　상</v>
          </cell>
          <cell r="D3354" t="str">
            <v>부산시설</v>
          </cell>
          <cell r="E3354" t="str">
            <v>부산시설관리</v>
          </cell>
          <cell r="F3354" t="str">
            <v>3411</v>
          </cell>
          <cell r="G3354" t="str">
            <v>3120</v>
          </cell>
          <cell r="H3354" t="str">
            <v>19920215</v>
          </cell>
          <cell r="I3354">
            <v>16537131</v>
          </cell>
        </row>
        <row r="3355">
          <cell r="A3355" t="str">
            <v>9210971</v>
          </cell>
          <cell r="B3355" t="str">
            <v>이　택　수</v>
          </cell>
          <cell r="C3355" t="str">
            <v>9210971이　택　수</v>
          </cell>
          <cell r="D3355" t="str">
            <v>부산시설</v>
          </cell>
          <cell r="E3355" t="str">
            <v>부산시설관리</v>
          </cell>
          <cell r="F3355" t="str">
            <v>3411</v>
          </cell>
          <cell r="G3355" t="str">
            <v>2220</v>
          </cell>
          <cell r="H3355" t="str">
            <v>19920215</v>
          </cell>
          <cell r="I3355">
            <v>14204966</v>
          </cell>
        </row>
        <row r="3356">
          <cell r="A3356" t="str">
            <v>9211015</v>
          </cell>
          <cell r="B3356" t="str">
            <v>정　경　원</v>
          </cell>
          <cell r="C3356" t="str">
            <v>9211015정　경　원</v>
          </cell>
          <cell r="D3356" t="str">
            <v>부산시설</v>
          </cell>
          <cell r="E3356" t="str">
            <v>부산시설관리</v>
          </cell>
          <cell r="F3356" t="str">
            <v>3411</v>
          </cell>
          <cell r="G3356" t="str">
            <v>3120</v>
          </cell>
          <cell r="H3356" t="str">
            <v>19920215</v>
          </cell>
          <cell r="I3356">
            <v>13718580</v>
          </cell>
        </row>
        <row r="3357">
          <cell r="A3357" t="str">
            <v>9211026</v>
          </cell>
          <cell r="B3357" t="str">
            <v>정　광　모</v>
          </cell>
          <cell r="C3357" t="str">
            <v>9211026정　광　모</v>
          </cell>
          <cell r="D3357" t="str">
            <v>부산시설</v>
          </cell>
          <cell r="E3357" t="str">
            <v>부산시설관리</v>
          </cell>
          <cell r="F3357" t="str">
            <v>3411</v>
          </cell>
          <cell r="G3357" t="str">
            <v>3120</v>
          </cell>
          <cell r="H3357" t="str">
            <v>19920215</v>
          </cell>
          <cell r="I3357">
            <v>11735621</v>
          </cell>
        </row>
        <row r="3358">
          <cell r="A3358" t="str">
            <v>9211037</v>
          </cell>
          <cell r="B3358" t="str">
            <v>정　석　원</v>
          </cell>
          <cell r="C3358" t="str">
            <v>9211037정　석　원</v>
          </cell>
          <cell r="D3358" t="str">
            <v>부산시설</v>
          </cell>
          <cell r="E3358" t="str">
            <v>부산시설관리</v>
          </cell>
          <cell r="F3358" t="str">
            <v>3411</v>
          </cell>
          <cell r="G3358" t="str">
            <v>3120</v>
          </cell>
          <cell r="H3358" t="str">
            <v>19920215</v>
          </cell>
          <cell r="I3358">
            <v>13924036</v>
          </cell>
        </row>
        <row r="3359">
          <cell r="A3359" t="str">
            <v>9211048</v>
          </cell>
          <cell r="B3359" t="str">
            <v>정　영　기</v>
          </cell>
          <cell r="C3359" t="str">
            <v>9211048정　영　기</v>
          </cell>
          <cell r="D3359" t="str">
            <v>부산시설</v>
          </cell>
          <cell r="E3359" t="str">
            <v>부산시설관리</v>
          </cell>
          <cell r="F3359" t="str">
            <v>3411</v>
          </cell>
          <cell r="G3359" t="str">
            <v>3120</v>
          </cell>
          <cell r="H3359" t="str">
            <v>19920215</v>
          </cell>
          <cell r="I3359">
            <v>15439639</v>
          </cell>
        </row>
        <row r="3360">
          <cell r="A3360" t="str">
            <v>9211050</v>
          </cell>
          <cell r="B3360" t="str">
            <v>조　병　훈</v>
          </cell>
          <cell r="C3360" t="str">
            <v>9211050조　병　훈</v>
          </cell>
          <cell r="D3360" t="str">
            <v>부산시설</v>
          </cell>
          <cell r="E3360" t="str">
            <v>부산시설관리</v>
          </cell>
          <cell r="F3360" t="str">
            <v>3411</v>
          </cell>
          <cell r="G3360" t="e">
            <v>#N/A</v>
          </cell>
          <cell r="H3360" t="str">
            <v>19920215</v>
          </cell>
          <cell r="I3360">
            <v>18856819</v>
          </cell>
          <cell r="J3360" t="str">
            <v>12 월</v>
          </cell>
          <cell r="K3360">
            <v>34409747</v>
          </cell>
        </row>
        <row r="3361">
          <cell r="A3361" t="str">
            <v>9211083</v>
          </cell>
          <cell r="B3361" t="str">
            <v>하　재　근</v>
          </cell>
          <cell r="C3361" t="str">
            <v>9211083하　재　근</v>
          </cell>
          <cell r="D3361" t="str">
            <v>부산시설</v>
          </cell>
          <cell r="E3361" t="str">
            <v>부산시설관리</v>
          </cell>
          <cell r="F3361" t="str">
            <v>3411</v>
          </cell>
          <cell r="G3361" t="e">
            <v>#N/A</v>
          </cell>
          <cell r="H3361" t="str">
            <v>19920215</v>
          </cell>
          <cell r="I3361">
            <v>16774086</v>
          </cell>
          <cell r="J3361" t="str">
            <v>12 월</v>
          </cell>
          <cell r="K3361">
            <v>29484148</v>
          </cell>
        </row>
        <row r="3362">
          <cell r="A3362" t="str">
            <v>9211061</v>
          </cell>
          <cell r="B3362" t="str">
            <v>한　석　보</v>
          </cell>
          <cell r="C3362" t="str">
            <v>9211061한　석　보</v>
          </cell>
          <cell r="D3362" t="str">
            <v>부산시설</v>
          </cell>
          <cell r="E3362" t="str">
            <v>부산시설관리</v>
          </cell>
          <cell r="F3362" t="str">
            <v>3411</v>
          </cell>
          <cell r="G3362" t="str">
            <v>3223</v>
          </cell>
          <cell r="H3362" t="str">
            <v>19920215</v>
          </cell>
          <cell r="I3362">
            <v>17856478</v>
          </cell>
        </row>
        <row r="3363">
          <cell r="A3363" t="str">
            <v>9211072</v>
          </cell>
          <cell r="B3363" t="str">
            <v>한　현　호</v>
          </cell>
          <cell r="C3363" t="str">
            <v>9211072한　현　호</v>
          </cell>
          <cell r="D3363" t="str">
            <v>부산시설</v>
          </cell>
          <cell r="E3363" t="str">
            <v>부산시설관리</v>
          </cell>
          <cell r="F3363" t="str">
            <v>3411</v>
          </cell>
          <cell r="G3363" t="str">
            <v>3120</v>
          </cell>
          <cell r="H3363" t="str">
            <v>19920215</v>
          </cell>
          <cell r="I3363">
            <v>14816072</v>
          </cell>
        </row>
        <row r="3364">
          <cell r="A3364" t="str">
            <v>7200202</v>
          </cell>
          <cell r="B3364" t="str">
            <v>강　태　홍</v>
          </cell>
          <cell r="C3364" t="str">
            <v>7200202강　태　홍</v>
          </cell>
          <cell r="D3364" t="str">
            <v>HB10</v>
          </cell>
          <cell r="E3364" t="str">
            <v>제주조업담당</v>
          </cell>
          <cell r="F3364" t="str">
            <v>4121</v>
          </cell>
          <cell r="G3364" t="e">
            <v>#N/A</v>
          </cell>
          <cell r="H3364" t="str">
            <v>19721118</v>
          </cell>
          <cell r="I3364">
            <v>87430986</v>
          </cell>
          <cell r="J3364" t="str">
            <v>3 월</v>
          </cell>
          <cell r="K3364">
            <v>100502302</v>
          </cell>
        </row>
        <row r="3365">
          <cell r="A3365" t="str">
            <v>9000832</v>
          </cell>
          <cell r="B3365" t="str">
            <v>김　동　주</v>
          </cell>
          <cell r="C3365" t="str">
            <v>9000832김　동　주</v>
          </cell>
          <cell r="D3365" t="str">
            <v>HB10</v>
          </cell>
          <cell r="E3365" t="str">
            <v>제주조업담당</v>
          </cell>
          <cell r="F3365" t="str">
            <v>4121</v>
          </cell>
          <cell r="G3365" t="str">
            <v>4121</v>
          </cell>
          <cell r="H3365" t="str">
            <v>19900301</v>
          </cell>
          <cell r="I3365">
            <v>19767604</v>
          </cell>
        </row>
        <row r="3366">
          <cell r="A3366" t="str">
            <v>8200451</v>
          </cell>
          <cell r="B3366" t="str">
            <v>강　영　두</v>
          </cell>
          <cell r="C3366" t="str">
            <v>8200451강　영　두</v>
          </cell>
          <cell r="D3366" t="str">
            <v>HB20</v>
          </cell>
          <cell r="E3366" t="str">
            <v>제주조업담당</v>
          </cell>
          <cell r="F3366" t="str">
            <v>4121</v>
          </cell>
          <cell r="G3366" t="str">
            <v>4121</v>
          </cell>
          <cell r="H3366" t="str">
            <v>19820515</v>
          </cell>
          <cell r="I3366">
            <v>33809412</v>
          </cell>
        </row>
        <row r="3367">
          <cell r="A3367" t="str">
            <v>9111036</v>
          </cell>
          <cell r="B3367" t="str">
            <v>강　용　준</v>
          </cell>
          <cell r="C3367" t="str">
            <v>9111036강　용　준</v>
          </cell>
          <cell r="D3367" t="str">
            <v>HB20</v>
          </cell>
          <cell r="E3367" t="str">
            <v>제주조업담당</v>
          </cell>
          <cell r="F3367" t="str">
            <v>4121</v>
          </cell>
          <cell r="G3367" t="str">
            <v>4121</v>
          </cell>
          <cell r="H3367" t="str">
            <v>19910701</v>
          </cell>
          <cell r="I3367">
            <v>12118342</v>
          </cell>
        </row>
        <row r="3368">
          <cell r="A3368" t="str">
            <v>8811090</v>
          </cell>
          <cell r="B3368" t="str">
            <v>고　수　철</v>
          </cell>
          <cell r="C3368" t="str">
            <v>8811090고　수　철</v>
          </cell>
          <cell r="D3368" t="str">
            <v>HB20</v>
          </cell>
          <cell r="E3368" t="str">
            <v>제주조업담당</v>
          </cell>
          <cell r="F3368" t="str">
            <v>4121</v>
          </cell>
          <cell r="G3368" t="str">
            <v>4121</v>
          </cell>
          <cell r="H3368" t="str">
            <v>19880701</v>
          </cell>
          <cell r="I3368">
            <v>21140693</v>
          </cell>
        </row>
        <row r="3369">
          <cell r="A3369" t="str">
            <v>9510570</v>
          </cell>
          <cell r="B3369" t="str">
            <v>김　경　중</v>
          </cell>
          <cell r="C3369" t="str">
            <v>9510570김　경　중</v>
          </cell>
          <cell r="D3369" t="str">
            <v>HB20</v>
          </cell>
          <cell r="E3369" t="str">
            <v>제주조업담당</v>
          </cell>
          <cell r="F3369" t="str">
            <v>4121</v>
          </cell>
          <cell r="G3369" t="str">
            <v>4121</v>
          </cell>
          <cell r="H3369" t="str">
            <v>19950501</v>
          </cell>
          <cell r="I3369">
            <v>5403905</v>
          </cell>
        </row>
        <row r="3370">
          <cell r="A3370" t="str">
            <v>9501794</v>
          </cell>
          <cell r="B3370" t="str">
            <v>김　도　형</v>
          </cell>
          <cell r="C3370" t="str">
            <v>9501794김　도　형</v>
          </cell>
          <cell r="D3370" t="str">
            <v>HB20</v>
          </cell>
          <cell r="E3370" t="str">
            <v>제주조업담당</v>
          </cell>
          <cell r="F3370" t="str">
            <v>4121</v>
          </cell>
          <cell r="G3370" t="str">
            <v>4121</v>
          </cell>
          <cell r="H3370" t="str">
            <v>19950720</v>
          </cell>
          <cell r="I3370">
            <v>5659974</v>
          </cell>
        </row>
        <row r="3371">
          <cell r="A3371" t="str">
            <v>8601344</v>
          </cell>
          <cell r="B3371" t="str">
            <v>김　동　환</v>
          </cell>
          <cell r="C3371" t="str">
            <v>8601344김　동　환</v>
          </cell>
          <cell r="D3371" t="str">
            <v>HB20</v>
          </cell>
          <cell r="E3371" t="str">
            <v>제주조업담당</v>
          </cell>
          <cell r="F3371" t="str">
            <v>4121</v>
          </cell>
          <cell r="G3371" t="str">
            <v>4121</v>
          </cell>
          <cell r="H3371" t="str">
            <v>19980101</v>
          </cell>
          <cell r="I3371">
            <v>3103332</v>
          </cell>
        </row>
        <row r="3372">
          <cell r="A3372" t="str">
            <v>9411333</v>
          </cell>
          <cell r="B3372" t="str">
            <v>김　성　욱</v>
          </cell>
          <cell r="C3372" t="str">
            <v>9411333김　성　욱</v>
          </cell>
          <cell r="D3372" t="str">
            <v>HB20</v>
          </cell>
          <cell r="E3372" t="str">
            <v>제주조업담당</v>
          </cell>
          <cell r="F3372" t="str">
            <v>4121</v>
          </cell>
          <cell r="G3372" t="str">
            <v>4121</v>
          </cell>
          <cell r="H3372" t="str">
            <v>19940801</v>
          </cell>
          <cell r="I3372">
            <v>8013943</v>
          </cell>
        </row>
        <row r="3373">
          <cell r="A3373" t="str">
            <v>9004230</v>
          </cell>
          <cell r="B3373" t="str">
            <v>김　성　철</v>
          </cell>
          <cell r="C3373" t="str">
            <v>9004230김　성　철</v>
          </cell>
          <cell r="D3373" t="str">
            <v>HB20</v>
          </cell>
          <cell r="E3373" t="str">
            <v>제주조업담당</v>
          </cell>
          <cell r="F3373" t="str">
            <v>4121</v>
          </cell>
          <cell r="G3373" t="str">
            <v>4121</v>
          </cell>
          <cell r="H3373" t="str">
            <v>19900917</v>
          </cell>
          <cell r="I3373">
            <v>13588222</v>
          </cell>
        </row>
        <row r="3374">
          <cell r="A3374" t="str">
            <v>8501275</v>
          </cell>
          <cell r="B3374" t="str">
            <v>김　종　보</v>
          </cell>
          <cell r="C3374" t="str">
            <v>8501275김　종　보</v>
          </cell>
          <cell r="D3374" t="str">
            <v>HB20</v>
          </cell>
          <cell r="E3374" t="str">
            <v>제주조업담당</v>
          </cell>
          <cell r="F3374" t="str">
            <v>4121</v>
          </cell>
          <cell r="G3374" t="str">
            <v>4121</v>
          </cell>
          <cell r="H3374" t="str">
            <v>19850501</v>
          </cell>
          <cell r="I3374">
            <v>21835631</v>
          </cell>
        </row>
        <row r="3375">
          <cell r="A3375" t="str">
            <v>7700231</v>
          </cell>
          <cell r="B3375" t="str">
            <v>김　창　섭</v>
          </cell>
          <cell r="C3375" t="str">
            <v>7700231김　창　섭</v>
          </cell>
          <cell r="D3375" t="str">
            <v>HB20</v>
          </cell>
          <cell r="E3375" t="str">
            <v>제주조업담당</v>
          </cell>
          <cell r="F3375" t="str">
            <v>4121</v>
          </cell>
          <cell r="G3375" t="str">
            <v>4121</v>
          </cell>
          <cell r="H3375" t="str">
            <v>19770326</v>
          </cell>
          <cell r="I3375">
            <v>55916936</v>
          </cell>
        </row>
        <row r="3376">
          <cell r="A3376" t="str">
            <v>9302501</v>
          </cell>
          <cell r="B3376" t="str">
            <v>김　형　섭</v>
          </cell>
          <cell r="C3376" t="str">
            <v>9302501김　형　섭</v>
          </cell>
          <cell r="D3376" t="str">
            <v>HB20</v>
          </cell>
          <cell r="E3376" t="str">
            <v>제주조업담당</v>
          </cell>
          <cell r="F3376" t="str">
            <v>4121</v>
          </cell>
          <cell r="G3376" t="str">
            <v>4121</v>
          </cell>
          <cell r="H3376" t="str">
            <v>19930501</v>
          </cell>
          <cell r="I3376">
            <v>9457373</v>
          </cell>
        </row>
        <row r="3377">
          <cell r="A3377" t="str">
            <v>8401735</v>
          </cell>
          <cell r="B3377" t="str">
            <v>김　형　수</v>
          </cell>
          <cell r="C3377" t="str">
            <v>8401735김　형　수</v>
          </cell>
          <cell r="D3377" t="str">
            <v>HB20</v>
          </cell>
          <cell r="E3377" t="str">
            <v>제주조업담당</v>
          </cell>
          <cell r="F3377" t="str">
            <v>4121</v>
          </cell>
          <cell r="G3377" t="str">
            <v>4121</v>
          </cell>
          <cell r="H3377" t="str">
            <v>19841126</v>
          </cell>
          <cell r="I3377">
            <v>28543903</v>
          </cell>
        </row>
        <row r="3378">
          <cell r="A3378" t="str">
            <v>9150647</v>
          </cell>
          <cell r="B3378" t="str">
            <v>김　형　신</v>
          </cell>
          <cell r="C3378" t="str">
            <v>9150647김　형　신</v>
          </cell>
          <cell r="D3378" t="str">
            <v>HB20</v>
          </cell>
          <cell r="E3378" t="str">
            <v>제주조업담당</v>
          </cell>
          <cell r="F3378" t="str">
            <v>4121</v>
          </cell>
          <cell r="G3378" t="str">
            <v>4121</v>
          </cell>
          <cell r="H3378" t="str">
            <v>19910401</v>
          </cell>
          <cell r="I3378">
            <v>14067440</v>
          </cell>
        </row>
        <row r="3379">
          <cell r="A3379" t="str">
            <v>9450281</v>
          </cell>
          <cell r="B3379" t="str">
            <v>문　경　미</v>
          </cell>
          <cell r="C3379" t="str">
            <v>9450281문　경　미</v>
          </cell>
          <cell r="D3379" t="str">
            <v>HB20</v>
          </cell>
          <cell r="E3379" t="str">
            <v>제주조업담당</v>
          </cell>
          <cell r="F3379" t="str">
            <v>4121</v>
          </cell>
          <cell r="G3379" t="str">
            <v>4121</v>
          </cell>
          <cell r="H3379" t="str">
            <v>19940201</v>
          </cell>
          <cell r="I3379">
            <v>9000163</v>
          </cell>
        </row>
        <row r="3380">
          <cell r="A3380" t="str">
            <v>9104938</v>
          </cell>
          <cell r="B3380" t="str">
            <v>문　승　현</v>
          </cell>
          <cell r="C3380" t="str">
            <v>9104938문　승　현</v>
          </cell>
          <cell r="D3380" t="str">
            <v>HB20</v>
          </cell>
          <cell r="E3380" t="str">
            <v>제주조업담당</v>
          </cell>
          <cell r="F3380" t="str">
            <v>4121</v>
          </cell>
          <cell r="G3380" t="str">
            <v>4121</v>
          </cell>
          <cell r="H3380" t="str">
            <v>19911101</v>
          </cell>
          <cell r="I3380">
            <v>12678450</v>
          </cell>
        </row>
        <row r="3381">
          <cell r="A3381" t="str">
            <v>9101970</v>
          </cell>
          <cell r="B3381" t="str">
            <v>박　경　일</v>
          </cell>
          <cell r="C3381" t="str">
            <v>9101970박　경　일</v>
          </cell>
          <cell r="D3381" t="str">
            <v>HB20</v>
          </cell>
          <cell r="E3381" t="str">
            <v>제주조업담당</v>
          </cell>
          <cell r="F3381" t="str">
            <v>4121</v>
          </cell>
          <cell r="G3381" t="str">
            <v>4121</v>
          </cell>
          <cell r="H3381" t="str">
            <v>19910701</v>
          </cell>
          <cell r="I3381">
            <v>13191109</v>
          </cell>
        </row>
        <row r="3382">
          <cell r="A3382" t="str">
            <v>9001844</v>
          </cell>
          <cell r="B3382" t="str">
            <v>박　영　방</v>
          </cell>
          <cell r="C3382" t="str">
            <v>9001844박　영　방</v>
          </cell>
          <cell r="D3382" t="str">
            <v>HB20</v>
          </cell>
          <cell r="E3382" t="str">
            <v>제주조업담당</v>
          </cell>
          <cell r="F3382" t="str">
            <v>4121</v>
          </cell>
          <cell r="G3382" t="str">
            <v>4121</v>
          </cell>
          <cell r="H3382" t="str">
            <v>19900616</v>
          </cell>
          <cell r="I3382">
            <v>14730324</v>
          </cell>
        </row>
        <row r="3383">
          <cell r="A3383" t="str">
            <v>8401724</v>
          </cell>
          <cell r="B3383" t="str">
            <v>박　용　석</v>
          </cell>
          <cell r="C3383" t="str">
            <v>8401724박　용　석</v>
          </cell>
          <cell r="D3383" t="str">
            <v>HB20</v>
          </cell>
          <cell r="E3383" t="str">
            <v>제주조업담당</v>
          </cell>
          <cell r="F3383" t="str">
            <v>4121</v>
          </cell>
          <cell r="G3383" t="str">
            <v>4121</v>
          </cell>
          <cell r="H3383" t="str">
            <v>19841126</v>
          </cell>
          <cell r="I3383">
            <v>22487583</v>
          </cell>
        </row>
        <row r="3384">
          <cell r="A3384" t="str">
            <v>8502377</v>
          </cell>
          <cell r="B3384" t="str">
            <v>백　창　흠</v>
          </cell>
          <cell r="C3384" t="str">
            <v>8502377백　창　흠</v>
          </cell>
          <cell r="D3384" t="str">
            <v>HB20</v>
          </cell>
          <cell r="E3384" t="str">
            <v>제주조업담당</v>
          </cell>
          <cell r="F3384" t="str">
            <v>4121</v>
          </cell>
          <cell r="G3384" t="str">
            <v>4121</v>
          </cell>
          <cell r="H3384" t="str">
            <v>19851016</v>
          </cell>
          <cell r="I3384">
            <v>21578057</v>
          </cell>
        </row>
        <row r="3385">
          <cell r="A3385" t="str">
            <v>8711335</v>
          </cell>
          <cell r="B3385" t="str">
            <v>변　영　재</v>
          </cell>
          <cell r="C3385" t="str">
            <v>8711335변　영　재</v>
          </cell>
          <cell r="D3385" t="str">
            <v>HB20</v>
          </cell>
          <cell r="E3385" t="str">
            <v>제주조업담당</v>
          </cell>
          <cell r="F3385" t="str">
            <v>4121</v>
          </cell>
          <cell r="G3385" t="str">
            <v>4121</v>
          </cell>
          <cell r="H3385" t="str">
            <v>19871101</v>
          </cell>
          <cell r="I3385">
            <v>23021491</v>
          </cell>
        </row>
        <row r="3386">
          <cell r="A3386" t="str">
            <v>9211860</v>
          </cell>
          <cell r="B3386" t="str">
            <v>부　태　수</v>
          </cell>
          <cell r="C3386" t="str">
            <v>9211860부　태　수</v>
          </cell>
          <cell r="D3386" t="str">
            <v>HB20</v>
          </cell>
          <cell r="E3386" t="str">
            <v>제주조업담당</v>
          </cell>
          <cell r="F3386" t="str">
            <v>4121</v>
          </cell>
          <cell r="G3386" t="str">
            <v>4210</v>
          </cell>
          <cell r="H3386" t="str">
            <v>19921001</v>
          </cell>
          <cell r="I3386">
            <v>10067589</v>
          </cell>
        </row>
        <row r="3387">
          <cell r="A3387" t="str">
            <v>9252325</v>
          </cell>
          <cell r="B3387" t="str">
            <v>서　은　경</v>
          </cell>
          <cell r="C3387" t="str">
            <v>9252325서　은　경</v>
          </cell>
          <cell r="D3387" t="str">
            <v>HB20</v>
          </cell>
          <cell r="E3387" t="str">
            <v>제주조업담당</v>
          </cell>
          <cell r="F3387" t="str">
            <v>4121</v>
          </cell>
          <cell r="G3387" t="str">
            <v>4121</v>
          </cell>
          <cell r="H3387" t="str">
            <v>19921005</v>
          </cell>
          <cell r="I3387">
            <v>9698711</v>
          </cell>
        </row>
        <row r="3388">
          <cell r="A3388" t="str">
            <v>9110733</v>
          </cell>
          <cell r="B3388" t="str">
            <v>송　영　완</v>
          </cell>
          <cell r="C3388" t="str">
            <v>9110733송　영　완</v>
          </cell>
          <cell r="D3388" t="str">
            <v>HB20</v>
          </cell>
          <cell r="E3388" t="str">
            <v>제주조업담당</v>
          </cell>
          <cell r="F3388" t="str">
            <v>4121</v>
          </cell>
          <cell r="G3388" t="str">
            <v>4121</v>
          </cell>
          <cell r="H3388" t="str">
            <v>19910516</v>
          </cell>
          <cell r="I3388">
            <v>14566590</v>
          </cell>
        </row>
        <row r="3389">
          <cell r="A3389" t="str">
            <v>8500803</v>
          </cell>
          <cell r="B3389" t="str">
            <v>신　영　광</v>
          </cell>
          <cell r="C3389" t="str">
            <v>8500803신　영　광</v>
          </cell>
          <cell r="D3389" t="str">
            <v>HB20</v>
          </cell>
          <cell r="E3389" t="str">
            <v>제주조업담당</v>
          </cell>
          <cell r="F3389" t="str">
            <v>4121</v>
          </cell>
          <cell r="G3389" t="str">
            <v>4121</v>
          </cell>
          <cell r="H3389" t="str">
            <v>19850305</v>
          </cell>
          <cell r="I3389">
            <v>27454421</v>
          </cell>
        </row>
        <row r="3390">
          <cell r="A3390" t="str">
            <v>9310691</v>
          </cell>
          <cell r="B3390" t="str">
            <v>안　귀　영</v>
          </cell>
          <cell r="C3390" t="str">
            <v>9310691안　귀　영</v>
          </cell>
          <cell r="D3390" t="str">
            <v>HB20</v>
          </cell>
          <cell r="E3390" t="str">
            <v>제주조업담당</v>
          </cell>
          <cell r="F3390" t="str">
            <v>4121</v>
          </cell>
          <cell r="G3390" t="str">
            <v>4121</v>
          </cell>
          <cell r="H3390" t="str">
            <v>19930716</v>
          </cell>
          <cell r="I3390">
            <v>9035810</v>
          </cell>
        </row>
        <row r="3391">
          <cell r="A3391" t="str">
            <v>9012227</v>
          </cell>
          <cell r="B3391" t="str">
            <v>양　문　중</v>
          </cell>
          <cell r="C3391" t="str">
            <v>9012227양　문　중</v>
          </cell>
          <cell r="D3391" t="str">
            <v>HB20</v>
          </cell>
          <cell r="E3391" t="str">
            <v>제주조업담당</v>
          </cell>
          <cell r="F3391" t="str">
            <v>4121</v>
          </cell>
          <cell r="G3391" t="str">
            <v>4210</v>
          </cell>
          <cell r="H3391" t="str">
            <v>19900716</v>
          </cell>
          <cell r="I3391">
            <v>15267755</v>
          </cell>
        </row>
        <row r="3392">
          <cell r="A3392" t="str">
            <v>8902034</v>
          </cell>
          <cell r="B3392" t="str">
            <v>여　경　수</v>
          </cell>
          <cell r="C3392" t="str">
            <v>8902034여　경　수</v>
          </cell>
          <cell r="D3392" t="str">
            <v>HB20</v>
          </cell>
          <cell r="E3392" t="str">
            <v>제주조업담당</v>
          </cell>
          <cell r="F3392" t="str">
            <v>4121</v>
          </cell>
          <cell r="G3392" t="str">
            <v>4121</v>
          </cell>
          <cell r="H3392" t="str">
            <v>19890410</v>
          </cell>
          <cell r="I3392">
            <v>16263132</v>
          </cell>
        </row>
        <row r="3393">
          <cell r="A3393" t="str">
            <v>9001833</v>
          </cell>
          <cell r="B3393" t="str">
            <v>이　광　석</v>
          </cell>
          <cell r="C3393" t="str">
            <v>9001833이　광　석</v>
          </cell>
          <cell r="D3393" t="str">
            <v>HB20</v>
          </cell>
          <cell r="E3393" t="str">
            <v>제주조업담당</v>
          </cell>
          <cell r="F3393" t="str">
            <v>4121</v>
          </cell>
          <cell r="G3393" t="str">
            <v>4121</v>
          </cell>
          <cell r="H3393" t="str">
            <v>19900616</v>
          </cell>
          <cell r="I3393">
            <v>14384406</v>
          </cell>
        </row>
        <row r="3394">
          <cell r="A3394" t="str">
            <v>9110788</v>
          </cell>
          <cell r="B3394" t="str">
            <v>이　기　영</v>
          </cell>
          <cell r="C3394" t="str">
            <v>9110788이　기　영</v>
          </cell>
          <cell r="D3394" t="str">
            <v>HB20</v>
          </cell>
          <cell r="E3394" t="str">
            <v>제주조업담당</v>
          </cell>
          <cell r="F3394" t="str">
            <v>4121</v>
          </cell>
          <cell r="G3394" t="str">
            <v>4121</v>
          </cell>
          <cell r="H3394" t="str">
            <v>19910601</v>
          </cell>
          <cell r="I3394">
            <v>17439487</v>
          </cell>
        </row>
        <row r="3395">
          <cell r="A3395" t="str">
            <v>8400936</v>
          </cell>
          <cell r="B3395" t="str">
            <v>임　영　길</v>
          </cell>
          <cell r="C3395" t="str">
            <v>8400936임　영　길</v>
          </cell>
          <cell r="D3395" t="str">
            <v>HB20</v>
          </cell>
          <cell r="E3395" t="str">
            <v>제주조업담당</v>
          </cell>
          <cell r="F3395" t="str">
            <v>4121</v>
          </cell>
          <cell r="G3395" t="str">
            <v>4121</v>
          </cell>
          <cell r="H3395" t="str">
            <v>19840816</v>
          </cell>
          <cell r="I3395">
            <v>27367703</v>
          </cell>
        </row>
        <row r="3396">
          <cell r="A3396" t="str">
            <v>9010135</v>
          </cell>
          <cell r="B3396" t="str">
            <v>조　승　우</v>
          </cell>
          <cell r="C3396" t="str">
            <v>9010135조　승　우</v>
          </cell>
          <cell r="D3396" t="str">
            <v>HB20</v>
          </cell>
          <cell r="E3396" t="str">
            <v>제주조업담당</v>
          </cell>
          <cell r="F3396" t="str">
            <v>4121</v>
          </cell>
          <cell r="G3396" t="str">
            <v>4121</v>
          </cell>
          <cell r="H3396" t="str">
            <v>19900301</v>
          </cell>
          <cell r="I3396">
            <v>15587143</v>
          </cell>
        </row>
        <row r="3397">
          <cell r="A3397" t="str">
            <v>8610456</v>
          </cell>
          <cell r="B3397" t="str">
            <v>한　종　훈</v>
          </cell>
          <cell r="C3397" t="str">
            <v>8610456한　종　훈</v>
          </cell>
          <cell r="D3397" t="str">
            <v>HB20</v>
          </cell>
          <cell r="E3397" t="str">
            <v>제주조업담당</v>
          </cell>
          <cell r="F3397" t="str">
            <v>4121</v>
          </cell>
          <cell r="G3397" t="str">
            <v>4121</v>
          </cell>
          <cell r="H3397" t="str">
            <v>19860605</v>
          </cell>
          <cell r="I3397">
            <v>24455902</v>
          </cell>
        </row>
        <row r="3398">
          <cell r="A3398" t="str">
            <v>8610423</v>
          </cell>
          <cell r="B3398" t="str">
            <v>현　응　주</v>
          </cell>
          <cell r="C3398" t="str">
            <v>8610423현　응　주</v>
          </cell>
          <cell r="D3398" t="str">
            <v>HB20</v>
          </cell>
          <cell r="E3398" t="str">
            <v>제주조업담당</v>
          </cell>
          <cell r="F3398" t="str">
            <v>4121</v>
          </cell>
          <cell r="G3398" t="str">
            <v>4210</v>
          </cell>
          <cell r="H3398" t="str">
            <v>19860605</v>
          </cell>
          <cell r="I3398">
            <v>24481913</v>
          </cell>
        </row>
        <row r="3399">
          <cell r="A3399" t="str">
            <v>9111014</v>
          </cell>
          <cell r="B3399" t="str">
            <v>홍　승　표</v>
          </cell>
          <cell r="C3399" t="str">
            <v>9111014홍　승　표</v>
          </cell>
          <cell r="D3399" t="str">
            <v>HB20</v>
          </cell>
          <cell r="E3399" t="str">
            <v>제주조업담당</v>
          </cell>
          <cell r="F3399" t="str">
            <v>4121</v>
          </cell>
          <cell r="G3399" t="str">
            <v>4121</v>
          </cell>
          <cell r="H3399" t="str">
            <v>19910701</v>
          </cell>
          <cell r="I3399">
            <v>14609329</v>
          </cell>
        </row>
        <row r="3400">
          <cell r="A3400" t="str">
            <v>8300070</v>
          </cell>
          <cell r="B3400" t="str">
            <v>강　대　유</v>
          </cell>
          <cell r="C3400" t="str">
            <v>8300070강　대　유</v>
          </cell>
          <cell r="D3400" t="str">
            <v>HB30</v>
          </cell>
          <cell r="E3400" t="str">
            <v>제주조업담당</v>
          </cell>
          <cell r="F3400" t="str">
            <v>4121</v>
          </cell>
          <cell r="G3400" t="str">
            <v>4121</v>
          </cell>
          <cell r="H3400" t="str">
            <v>19830101</v>
          </cell>
          <cell r="I3400">
            <v>28490147</v>
          </cell>
        </row>
        <row r="3401">
          <cell r="A3401" t="str">
            <v>8901898</v>
          </cell>
          <cell r="B3401" t="str">
            <v>강　명　수</v>
          </cell>
          <cell r="C3401" t="str">
            <v>8901898강　명　수</v>
          </cell>
          <cell r="D3401" t="str">
            <v>HB30</v>
          </cell>
          <cell r="E3401" t="str">
            <v>제주조업담당</v>
          </cell>
          <cell r="F3401" t="str">
            <v>4121</v>
          </cell>
          <cell r="G3401" t="str">
            <v>4121</v>
          </cell>
          <cell r="H3401" t="str">
            <v>19881101</v>
          </cell>
          <cell r="I3401">
            <v>14372281</v>
          </cell>
        </row>
        <row r="3402">
          <cell r="A3402" t="str">
            <v>9402074</v>
          </cell>
          <cell r="B3402" t="str">
            <v>강　보　천</v>
          </cell>
          <cell r="C3402" t="str">
            <v>9402074강　보　천</v>
          </cell>
          <cell r="D3402" t="str">
            <v>HB30</v>
          </cell>
          <cell r="E3402" t="str">
            <v>제주조업담당</v>
          </cell>
          <cell r="F3402" t="str">
            <v>4121</v>
          </cell>
          <cell r="G3402" t="str">
            <v>4121</v>
          </cell>
          <cell r="H3402" t="str">
            <v>19940401</v>
          </cell>
          <cell r="I3402">
            <v>6700541</v>
          </cell>
        </row>
        <row r="3403">
          <cell r="A3403" t="str">
            <v>7800873</v>
          </cell>
          <cell r="B3403" t="str">
            <v>강　봉　구</v>
          </cell>
          <cell r="C3403" t="str">
            <v>7800873강　봉　구</v>
          </cell>
          <cell r="D3403" t="str">
            <v>HB30</v>
          </cell>
          <cell r="E3403" t="str">
            <v>제주조업담당</v>
          </cell>
          <cell r="F3403" t="str">
            <v>4121</v>
          </cell>
          <cell r="G3403" t="str">
            <v>4121</v>
          </cell>
          <cell r="H3403" t="str">
            <v>19781015</v>
          </cell>
          <cell r="I3403">
            <v>33538022</v>
          </cell>
        </row>
        <row r="3404">
          <cell r="A3404" t="str">
            <v>9101564</v>
          </cell>
          <cell r="B3404" t="str">
            <v>강　봉　재</v>
          </cell>
          <cell r="C3404" t="str">
            <v>9101564강　봉　재</v>
          </cell>
          <cell r="D3404" t="str">
            <v>HB30</v>
          </cell>
          <cell r="E3404" t="str">
            <v>제주조업담당</v>
          </cell>
          <cell r="F3404" t="str">
            <v>4121</v>
          </cell>
          <cell r="G3404" t="str">
            <v>4121</v>
          </cell>
          <cell r="H3404" t="str">
            <v>19910501</v>
          </cell>
          <cell r="I3404">
            <v>12882845</v>
          </cell>
        </row>
        <row r="3405">
          <cell r="A3405" t="str">
            <v>7700387</v>
          </cell>
          <cell r="B3405" t="str">
            <v>강　봉　진</v>
          </cell>
          <cell r="C3405" t="str">
            <v>7700387강　봉　진</v>
          </cell>
          <cell r="D3405" t="str">
            <v>HB30</v>
          </cell>
          <cell r="E3405" t="str">
            <v>제주조업담당</v>
          </cell>
          <cell r="F3405" t="str">
            <v>4121</v>
          </cell>
          <cell r="G3405" t="str">
            <v>4121</v>
          </cell>
          <cell r="H3405" t="str">
            <v>19770701</v>
          </cell>
          <cell r="I3405">
            <v>38554766</v>
          </cell>
        </row>
        <row r="3406">
          <cell r="A3406" t="str">
            <v>9207900</v>
          </cell>
          <cell r="B3406" t="str">
            <v>강　상　원</v>
          </cell>
          <cell r="C3406" t="str">
            <v>9207900강　상　원</v>
          </cell>
          <cell r="D3406" t="str">
            <v>HB30</v>
          </cell>
          <cell r="E3406" t="str">
            <v>제주조업담당</v>
          </cell>
          <cell r="F3406" t="str">
            <v>4121</v>
          </cell>
          <cell r="G3406" t="str">
            <v>4121</v>
          </cell>
          <cell r="H3406" t="str">
            <v>19921201</v>
          </cell>
          <cell r="I3406">
            <v>8357773</v>
          </cell>
        </row>
        <row r="3407">
          <cell r="A3407" t="str">
            <v>8900965</v>
          </cell>
          <cell r="B3407" t="str">
            <v>강　석　보</v>
          </cell>
          <cell r="C3407" t="str">
            <v>8900965강　석　보</v>
          </cell>
          <cell r="D3407" t="str">
            <v>HB30</v>
          </cell>
          <cell r="E3407" t="str">
            <v>제주조업담당</v>
          </cell>
          <cell r="F3407" t="str">
            <v>4121</v>
          </cell>
          <cell r="G3407" t="str">
            <v>4121</v>
          </cell>
          <cell r="H3407" t="str">
            <v>19880908</v>
          </cell>
          <cell r="I3407">
            <v>15628029</v>
          </cell>
        </row>
        <row r="3408">
          <cell r="A3408" t="str">
            <v>9004410</v>
          </cell>
          <cell r="B3408" t="str">
            <v>강　석　훈</v>
          </cell>
          <cell r="C3408" t="str">
            <v>9004410강　석　훈</v>
          </cell>
          <cell r="D3408" t="str">
            <v>HB30</v>
          </cell>
          <cell r="E3408" t="str">
            <v>제주조업담당</v>
          </cell>
          <cell r="F3408" t="str">
            <v>4121</v>
          </cell>
          <cell r="G3408" t="str">
            <v>4121</v>
          </cell>
          <cell r="H3408" t="str">
            <v>19901002</v>
          </cell>
          <cell r="I3408">
            <v>12600885</v>
          </cell>
        </row>
        <row r="3409">
          <cell r="A3409" t="str">
            <v>9307113</v>
          </cell>
          <cell r="B3409" t="str">
            <v>강　성　봉</v>
          </cell>
          <cell r="C3409" t="str">
            <v>9307113강　성　봉</v>
          </cell>
          <cell r="D3409" t="str">
            <v>HB30</v>
          </cell>
          <cell r="E3409" t="str">
            <v>제주조업담당</v>
          </cell>
          <cell r="F3409" t="str">
            <v>4121</v>
          </cell>
          <cell r="G3409" t="str">
            <v>4121</v>
          </cell>
          <cell r="H3409" t="str">
            <v>19931116</v>
          </cell>
          <cell r="I3409">
            <v>7231687</v>
          </cell>
        </row>
        <row r="3410">
          <cell r="A3410" t="str">
            <v>7800816</v>
          </cell>
          <cell r="B3410" t="str">
            <v>강　세　천</v>
          </cell>
          <cell r="C3410" t="str">
            <v>7800816강　세　천</v>
          </cell>
          <cell r="D3410" t="str">
            <v>HB30</v>
          </cell>
          <cell r="E3410" t="str">
            <v>제주조업담당</v>
          </cell>
          <cell r="F3410" t="str">
            <v>4121</v>
          </cell>
          <cell r="G3410" t="str">
            <v>4121</v>
          </cell>
          <cell r="H3410" t="str">
            <v>19781001</v>
          </cell>
          <cell r="I3410">
            <v>39052313</v>
          </cell>
        </row>
        <row r="3411">
          <cell r="A3411" t="str">
            <v>9403683</v>
          </cell>
          <cell r="B3411" t="str">
            <v>강　수　철</v>
          </cell>
          <cell r="C3411" t="str">
            <v>9403683강　수　철</v>
          </cell>
          <cell r="D3411" t="str">
            <v>HB30</v>
          </cell>
          <cell r="E3411" t="str">
            <v>제주조업담당</v>
          </cell>
          <cell r="F3411" t="str">
            <v>4121</v>
          </cell>
          <cell r="G3411" t="e">
            <v>#N/A</v>
          </cell>
          <cell r="H3411" t="str">
            <v>19940601</v>
          </cell>
          <cell r="I3411">
            <v>7435789</v>
          </cell>
          <cell r="J3411" t="str">
            <v>5 월</v>
          </cell>
          <cell r="K3411">
            <v>7927739</v>
          </cell>
        </row>
        <row r="3412">
          <cell r="A3412" t="str">
            <v>9202781</v>
          </cell>
          <cell r="B3412" t="str">
            <v>강　승　완</v>
          </cell>
          <cell r="C3412" t="str">
            <v>9202781강　승　완</v>
          </cell>
          <cell r="D3412" t="str">
            <v>HB30</v>
          </cell>
          <cell r="E3412" t="str">
            <v>제주조업담당</v>
          </cell>
          <cell r="F3412" t="str">
            <v>4121</v>
          </cell>
          <cell r="G3412" t="str">
            <v>4121</v>
          </cell>
          <cell r="H3412" t="str">
            <v>19920501</v>
          </cell>
          <cell r="I3412">
            <v>11084331</v>
          </cell>
        </row>
        <row r="3413">
          <cell r="A3413" t="str">
            <v>9207191</v>
          </cell>
          <cell r="B3413" t="str">
            <v>강　영　문</v>
          </cell>
          <cell r="C3413" t="str">
            <v>9207191강　영　문</v>
          </cell>
          <cell r="D3413" t="str">
            <v>HB30</v>
          </cell>
          <cell r="E3413" t="str">
            <v>제주조업담당</v>
          </cell>
          <cell r="F3413" t="str">
            <v>4121</v>
          </cell>
          <cell r="G3413" t="str">
            <v>4121</v>
          </cell>
          <cell r="H3413" t="str">
            <v>19921101</v>
          </cell>
          <cell r="I3413">
            <v>8091082</v>
          </cell>
        </row>
        <row r="3414">
          <cell r="A3414" t="str">
            <v>8400903</v>
          </cell>
          <cell r="B3414" t="str">
            <v>강　영　신</v>
          </cell>
          <cell r="C3414" t="str">
            <v>8400903강　영　신</v>
          </cell>
          <cell r="D3414" t="str">
            <v>HB30</v>
          </cell>
          <cell r="E3414" t="str">
            <v>제주조업담당</v>
          </cell>
          <cell r="F3414" t="str">
            <v>4121</v>
          </cell>
          <cell r="G3414" t="str">
            <v>4121</v>
          </cell>
          <cell r="H3414" t="str">
            <v>19840816</v>
          </cell>
          <cell r="I3414">
            <v>25591698</v>
          </cell>
        </row>
        <row r="3415">
          <cell r="A3415" t="str">
            <v>7800085</v>
          </cell>
          <cell r="B3415" t="str">
            <v>강　영　희</v>
          </cell>
          <cell r="C3415" t="str">
            <v>7800085강　영　희</v>
          </cell>
          <cell r="D3415" t="str">
            <v>HB30</v>
          </cell>
          <cell r="E3415" t="str">
            <v>제주조업담당</v>
          </cell>
          <cell r="F3415" t="str">
            <v>4121</v>
          </cell>
          <cell r="G3415" t="str">
            <v>4121</v>
          </cell>
          <cell r="H3415" t="str">
            <v>19780201</v>
          </cell>
          <cell r="I3415">
            <v>37654418</v>
          </cell>
        </row>
        <row r="3416">
          <cell r="A3416" t="str">
            <v>9303243</v>
          </cell>
          <cell r="B3416" t="str">
            <v>강　우　일</v>
          </cell>
          <cell r="C3416" t="str">
            <v>9303243강　우　일</v>
          </cell>
          <cell r="D3416" t="str">
            <v>HB30</v>
          </cell>
          <cell r="E3416" t="str">
            <v>제주조업담당</v>
          </cell>
          <cell r="F3416" t="str">
            <v>4121</v>
          </cell>
          <cell r="G3416" t="str">
            <v>4121</v>
          </cell>
          <cell r="H3416" t="str">
            <v>19930601</v>
          </cell>
          <cell r="I3416">
            <v>7706517</v>
          </cell>
        </row>
        <row r="3417">
          <cell r="A3417" t="str">
            <v>9302512</v>
          </cell>
          <cell r="B3417" t="str">
            <v>강　춘　식</v>
          </cell>
          <cell r="C3417" t="str">
            <v>9302512강　춘　식</v>
          </cell>
          <cell r="D3417" t="str">
            <v>HB30</v>
          </cell>
          <cell r="E3417" t="str">
            <v>제주조업담당</v>
          </cell>
          <cell r="F3417" t="str">
            <v>4121</v>
          </cell>
          <cell r="G3417" t="str">
            <v>4121</v>
          </cell>
          <cell r="H3417" t="str">
            <v>19930501</v>
          </cell>
          <cell r="I3417">
            <v>8795203</v>
          </cell>
        </row>
        <row r="3418">
          <cell r="A3418" t="str">
            <v>9307541</v>
          </cell>
          <cell r="B3418" t="str">
            <v>강　형　직</v>
          </cell>
          <cell r="C3418" t="str">
            <v>9307541강　형　직</v>
          </cell>
          <cell r="D3418" t="str">
            <v>HB30</v>
          </cell>
          <cell r="E3418" t="str">
            <v>제주조업담당</v>
          </cell>
          <cell r="F3418" t="str">
            <v>4121</v>
          </cell>
          <cell r="G3418" t="str">
            <v>4121</v>
          </cell>
          <cell r="H3418" t="str">
            <v>19931116</v>
          </cell>
          <cell r="I3418">
            <v>8702969</v>
          </cell>
        </row>
        <row r="3419">
          <cell r="A3419" t="str">
            <v>8502311</v>
          </cell>
          <cell r="B3419" t="str">
            <v>고　경　빈</v>
          </cell>
          <cell r="C3419" t="str">
            <v>8502311고　경　빈</v>
          </cell>
          <cell r="D3419" t="str">
            <v>HB30</v>
          </cell>
          <cell r="E3419" t="str">
            <v>제주조업담당</v>
          </cell>
          <cell r="F3419" t="str">
            <v>4121</v>
          </cell>
          <cell r="G3419" t="str">
            <v>4121</v>
          </cell>
          <cell r="H3419" t="str">
            <v>19850901</v>
          </cell>
          <cell r="I3419">
            <v>22852169</v>
          </cell>
        </row>
        <row r="3420">
          <cell r="A3420" t="str">
            <v>8401768</v>
          </cell>
          <cell r="B3420" t="str">
            <v>고　관　문</v>
          </cell>
          <cell r="C3420" t="str">
            <v>8401768고　관　문</v>
          </cell>
          <cell r="D3420" t="str">
            <v>HB30</v>
          </cell>
          <cell r="E3420" t="str">
            <v>제주조업담당</v>
          </cell>
          <cell r="F3420" t="str">
            <v>4121</v>
          </cell>
          <cell r="G3420" t="str">
            <v>4121</v>
          </cell>
          <cell r="H3420" t="str">
            <v>19841201</v>
          </cell>
          <cell r="I3420">
            <v>26123607</v>
          </cell>
        </row>
        <row r="3421">
          <cell r="A3421" t="str">
            <v>9206504</v>
          </cell>
          <cell r="B3421" t="str">
            <v>고　석　봉</v>
          </cell>
          <cell r="C3421" t="str">
            <v>9206504고　석　봉</v>
          </cell>
          <cell r="D3421" t="str">
            <v>HB30</v>
          </cell>
          <cell r="E3421" t="str">
            <v>제주조업담당</v>
          </cell>
          <cell r="F3421" t="str">
            <v>4121</v>
          </cell>
          <cell r="G3421" t="str">
            <v>4121</v>
          </cell>
          <cell r="H3421" t="str">
            <v>19921016</v>
          </cell>
          <cell r="I3421">
            <v>8566549</v>
          </cell>
        </row>
        <row r="3422">
          <cell r="A3422" t="str">
            <v>9002261</v>
          </cell>
          <cell r="B3422" t="str">
            <v>고　성　우</v>
          </cell>
          <cell r="C3422" t="str">
            <v>9002261고　성　우</v>
          </cell>
          <cell r="D3422" t="str">
            <v>HB30</v>
          </cell>
          <cell r="E3422" t="str">
            <v>제주조업담당</v>
          </cell>
          <cell r="F3422" t="str">
            <v>4121</v>
          </cell>
          <cell r="G3422" t="str">
            <v>4121</v>
          </cell>
          <cell r="H3422" t="str">
            <v>19891205</v>
          </cell>
          <cell r="I3422">
            <v>14682467</v>
          </cell>
        </row>
        <row r="3423">
          <cell r="A3423" t="str">
            <v>9307978</v>
          </cell>
          <cell r="B3423" t="str">
            <v>고　순　보</v>
          </cell>
          <cell r="C3423" t="str">
            <v>9307978고　순　보</v>
          </cell>
          <cell r="D3423" t="str">
            <v>HB30</v>
          </cell>
          <cell r="E3423" t="str">
            <v>제주조업담당</v>
          </cell>
          <cell r="F3423" t="str">
            <v>4121</v>
          </cell>
          <cell r="G3423" t="str">
            <v>4121</v>
          </cell>
          <cell r="H3423" t="str">
            <v>19931201</v>
          </cell>
          <cell r="I3423">
            <v>7119838</v>
          </cell>
        </row>
        <row r="3424">
          <cell r="A3424" t="str">
            <v>8700838</v>
          </cell>
          <cell r="B3424" t="str">
            <v>고　안　수</v>
          </cell>
          <cell r="C3424" t="str">
            <v>8700838고　안　수</v>
          </cell>
          <cell r="D3424" t="str">
            <v>HB30</v>
          </cell>
          <cell r="E3424" t="str">
            <v>제주조업담당</v>
          </cell>
          <cell r="F3424" t="str">
            <v>4121</v>
          </cell>
          <cell r="G3424" t="str">
            <v>4121</v>
          </cell>
          <cell r="H3424" t="str">
            <v>19870610</v>
          </cell>
          <cell r="I3424">
            <v>20242478</v>
          </cell>
        </row>
        <row r="3425">
          <cell r="A3425" t="str">
            <v>9400590</v>
          </cell>
          <cell r="B3425" t="str">
            <v>고　영　민</v>
          </cell>
          <cell r="C3425" t="str">
            <v>9400590고　영　민</v>
          </cell>
          <cell r="D3425" t="str">
            <v>HB30</v>
          </cell>
          <cell r="E3425" t="str">
            <v>제주조업담당</v>
          </cell>
          <cell r="F3425" t="str">
            <v>4121</v>
          </cell>
          <cell r="G3425" t="str">
            <v>4121</v>
          </cell>
          <cell r="H3425" t="str">
            <v>19940120</v>
          </cell>
          <cell r="I3425">
            <v>7213565</v>
          </cell>
        </row>
        <row r="3426">
          <cell r="A3426" t="str">
            <v>8501995</v>
          </cell>
          <cell r="B3426" t="str">
            <v>고　영　석</v>
          </cell>
          <cell r="C3426" t="str">
            <v>8501995고　영　석</v>
          </cell>
          <cell r="D3426" t="str">
            <v>HB30</v>
          </cell>
          <cell r="E3426" t="str">
            <v>제주조업담당</v>
          </cell>
          <cell r="F3426" t="str">
            <v>4121</v>
          </cell>
          <cell r="G3426" t="str">
            <v>4121</v>
          </cell>
          <cell r="H3426" t="str">
            <v>19850715</v>
          </cell>
          <cell r="I3426">
            <v>21529778</v>
          </cell>
        </row>
        <row r="3427">
          <cell r="A3427" t="str">
            <v>9151413</v>
          </cell>
          <cell r="B3427" t="str">
            <v>고　영　순</v>
          </cell>
          <cell r="C3427" t="str">
            <v>9151413고　영　순</v>
          </cell>
          <cell r="D3427" t="str">
            <v>HB30</v>
          </cell>
          <cell r="E3427" t="str">
            <v>제주조업담당</v>
          </cell>
          <cell r="F3427" t="str">
            <v>4121</v>
          </cell>
          <cell r="G3427" t="str">
            <v>4121</v>
          </cell>
          <cell r="H3427" t="str">
            <v>19910701</v>
          </cell>
          <cell r="I3427">
            <v>10652652</v>
          </cell>
        </row>
        <row r="3428">
          <cell r="A3428" t="str">
            <v>8700884</v>
          </cell>
          <cell r="B3428" t="str">
            <v>고　영　주</v>
          </cell>
          <cell r="C3428" t="str">
            <v>8700884고　영　주</v>
          </cell>
          <cell r="D3428" t="str">
            <v>HB30</v>
          </cell>
          <cell r="E3428" t="str">
            <v>제주조업담당</v>
          </cell>
          <cell r="F3428" t="str">
            <v>4121</v>
          </cell>
          <cell r="G3428" t="str">
            <v>4121</v>
          </cell>
          <cell r="H3428" t="str">
            <v>19870610</v>
          </cell>
          <cell r="I3428">
            <v>20455811</v>
          </cell>
        </row>
        <row r="3429">
          <cell r="A3429" t="str">
            <v>9002338</v>
          </cell>
          <cell r="B3429" t="str">
            <v>고　영　진</v>
          </cell>
          <cell r="C3429" t="str">
            <v>9002338고　영　진</v>
          </cell>
          <cell r="D3429" t="str">
            <v>HB30</v>
          </cell>
          <cell r="E3429" t="str">
            <v>제주조업담당</v>
          </cell>
          <cell r="F3429" t="str">
            <v>4121</v>
          </cell>
          <cell r="G3429" t="str">
            <v>4121</v>
          </cell>
          <cell r="H3429" t="str">
            <v>19891205</v>
          </cell>
          <cell r="I3429">
            <v>15335306</v>
          </cell>
        </row>
        <row r="3430">
          <cell r="A3430" t="str">
            <v>8100101</v>
          </cell>
          <cell r="B3430" t="str">
            <v>고　영　희</v>
          </cell>
          <cell r="C3430" t="str">
            <v>8100101고　영　희</v>
          </cell>
          <cell r="D3430" t="str">
            <v>HB30</v>
          </cell>
          <cell r="E3430" t="str">
            <v>제주조업담당</v>
          </cell>
          <cell r="F3430" t="str">
            <v>4121</v>
          </cell>
          <cell r="G3430" t="str">
            <v>4121</v>
          </cell>
          <cell r="H3430" t="str">
            <v>19810401</v>
          </cell>
          <cell r="I3430">
            <v>31079484</v>
          </cell>
        </row>
        <row r="3431">
          <cell r="A3431" t="str">
            <v>8901055</v>
          </cell>
          <cell r="B3431" t="str">
            <v>고　운　산</v>
          </cell>
          <cell r="C3431" t="str">
            <v>8901055고　운　산</v>
          </cell>
          <cell r="D3431" t="str">
            <v>HB30</v>
          </cell>
          <cell r="E3431" t="str">
            <v>제주조업담당</v>
          </cell>
          <cell r="F3431" t="str">
            <v>4121</v>
          </cell>
          <cell r="G3431" t="str">
            <v>4121</v>
          </cell>
          <cell r="H3431" t="str">
            <v>19880908</v>
          </cell>
          <cell r="I3431">
            <v>15138621</v>
          </cell>
        </row>
        <row r="3432">
          <cell r="A3432" t="str">
            <v>7800592</v>
          </cell>
          <cell r="B3432" t="str">
            <v>고　임　길</v>
          </cell>
          <cell r="C3432" t="str">
            <v>7800592고　임　길</v>
          </cell>
          <cell r="D3432" t="str">
            <v>HB30</v>
          </cell>
          <cell r="E3432" t="str">
            <v>제주조업담당</v>
          </cell>
          <cell r="F3432" t="str">
            <v>4121</v>
          </cell>
          <cell r="G3432" t="str">
            <v>4121</v>
          </cell>
          <cell r="H3432" t="str">
            <v>19780724</v>
          </cell>
          <cell r="I3432">
            <v>36784158</v>
          </cell>
        </row>
        <row r="3433">
          <cell r="A3433" t="str">
            <v>9203534</v>
          </cell>
          <cell r="B3433" t="str">
            <v>고　재　홍</v>
          </cell>
          <cell r="C3433" t="str">
            <v>9203534고　재　홍</v>
          </cell>
          <cell r="D3433" t="str">
            <v>HB30</v>
          </cell>
          <cell r="E3433" t="str">
            <v>제주조업담당</v>
          </cell>
          <cell r="F3433" t="str">
            <v>4121</v>
          </cell>
          <cell r="G3433" t="str">
            <v>4121</v>
          </cell>
          <cell r="H3433" t="str">
            <v>19920616</v>
          </cell>
          <cell r="I3433">
            <v>10952242</v>
          </cell>
        </row>
        <row r="3434">
          <cell r="A3434" t="str">
            <v>9002575</v>
          </cell>
          <cell r="B3434" t="str">
            <v>고　정　범</v>
          </cell>
          <cell r="C3434" t="str">
            <v>9002575고　정　범</v>
          </cell>
          <cell r="D3434" t="str">
            <v>HB30</v>
          </cell>
          <cell r="E3434" t="str">
            <v>제주조업담당</v>
          </cell>
          <cell r="F3434" t="str">
            <v>4121</v>
          </cell>
          <cell r="G3434" t="str">
            <v>4121</v>
          </cell>
          <cell r="H3434" t="str">
            <v>19900122</v>
          </cell>
          <cell r="I3434">
            <v>14802672</v>
          </cell>
        </row>
        <row r="3435">
          <cell r="A3435" t="str">
            <v>7700400</v>
          </cell>
          <cell r="B3435" t="str">
            <v>고　철　남</v>
          </cell>
          <cell r="C3435" t="str">
            <v>7700400고　철　남</v>
          </cell>
          <cell r="D3435" t="str">
            <v>HB30</v>
          </cell>
          <cell r="E3435" t="str">
            <v>제주조업담당</v>
          </cell>
          <cell r="F3435" t="str">
            <v>4121</v>
          </cell>
          <cell r="G3435" t="str">
            <v>4121</v>
          </cell>
          <cell r="H3435" t="str">
            <v>19770701</v>
          </cell>
          <cell r="I3435">
            <v>41353151</v>
          </cell>
        </row>
        <row r="3436">
          <cell r="A3436" t="str">
            <v>8501984</v>
          </cell>
          <cell r="B3436" t="str">
            <v>고　태　곤</v>
          </cell>
          <cell r="C3436" t="str">
            <v>8501984고　태　곤</v>
          </cell>
          <cell r="D3436" t="str">
            <v>HB30</v>
          </cell>
          <cell r="E3436" t="str">
            <v>제주조업담당</v>
          </cell>
          <cell r="F3436" t="str">
            <v>4121</v>
          </cell>
          <cell r="G3436" t="str">
            <v>4121</v>
          </cell>
          <cell r="H3436" t="str">
            <v>19850715</v>
          </cell>
          <cell r="I3436">
            <v>24424423</v>
          </cell>
        </row>
        <row r="3437">
          <cell r="A3437" t="str">
            <v>7800581</v>
          </cell>
          <cell r="B3437" t="str">
            <v>고　태　학</v>
          </cell>
          <cell r="C3437" t="str">
            <v>7800581고　태　학</v>
          </cell>
          <cell r="D3437" t="str">
            <v>HB30</v>
          </cell>
          <cell r="E3437" t="str">
            <v>제주조업담당</v>
          </cell>
          <cell r="F3437" t="str">
            <v>4121</v>
          </cell>
          <cell r="G3437" t="str">
            <v>4121</v>
          </cell>
          <cell r="H3437" t="str">
            <v>19780707</v>
          </cell>
          <cell r="I3437">
            <v>38346942</v>
          </cell>
        </row>
        <row r="3438">
          <cell r="A3438" t="str">
            <v>9003137</v>
          </cell>
          <cell r="B3438" t="str">
            <v>김　건　석</v>
          </cell>
          <cell r="C3438" t="str">
            <v>9003137김　건　석</v>
          </cell>
          <cell r="D3438" t="str">
            <v>HB30</v>
          </cell>
          <cell r="E3438" t="str">
            <v>제주조업담당</v>
          </cell>
          <cell r="F3438" t="str">
            <v>4121</v>
          </cell>
          <cell r="G3438" t="str">
            <v>4121</v>
          </cell>
          <cell r="H3438" t="str">
            <v>19900516</v>
          </cell>
          <cell r="I3438">
            <v>12991004</v>
          </cell>
        </row>
        <row r="3439">
          <cell r="A3439" t="str">
            <v>7800827</v>
          </cell>
          <cell r="B3439" t="str">
            <v>김　경　찬</v>
          </cell>
          <cell r="C3439" t="str">
            <v>7800827김　경　찬</v>
          </cell>
          <cell r="D3439" t="str">
            <v>HB30</v>
          </cell>
          <cell r="E3439" t="str">
            <v>제주조업담당</v>
          </cell>
          <cell r="F3439" t="str">
            <v>4121</v>
          </cell>
          <cell r="G3439" t="str">
            <v>4121</v>
          </cell>
          <cell r="H3439" t="str">
            <v>19981211</v>
          </cell>
          <cell r="I3439">
            <v>1930452</v>
          </cell>
        </row>
        <row r="3440">
          <cell r="A3440" t="str">
            <v>9403716</v>
          </cell>
          <cell r="B3440" t="str">
            <v>김　경　표</v>
          </cell>
          <cell r="C3440" t="str">
            <v>9403716김　경　표</v>
          </cell>
          <cell r="D3440" t="str">
            <v>HB30</v>
          </cell>
          <cell r="E3440" t="str">
            <v>제주조업담당</v>
          </cell>
          <cell r="F3440" t="str">
            <v>4121</v>
          </cell>
          <cell r="G3440" t="str">
            <v>4121</v>
          </cell>
          <cell r="H3440" t="str">
            <v>19940601</v>
          </cell>
          <cell r="I3440">
            <v>6111635</v>
          </cell>
        </row>
        <row r="3441">
          <cell r="A3441" t="str">
            <v>8603098</v>
          </cell>
          <cell r="B3441" t="str">
            <v>김　경　희</v>
          </cell>
          <cell r="C3441" t="str">
            <v>8603098김　경　희</v>
          </cell>
          <cell r="D3441" t="str">
            <v>HB30</v>
          </cell>
          <cell r="E3441" t="str">
            <v>제주조업담당</v>
          </cell>
          <cell r="F3441" t="str">
            <v>4121</v>
          </cell>
          <cell r="G3441" t="str">
            <v>4121</v>
          </cell>
          <cell r="H3441" t="str">
            <v>19860818</v>
          </cell>
          <cell r="I3441">
            <v>19746663</v>
          </cell>
        </row>
        <row r="3442">
          <cell r="A3442" t="str">
            <v>8700906</v>
          </cell>
          <cell r="B3442" t="str">
            <v>김　기　남</v>
          </cell>
          <cell r="C3442" t="str">
            <v>8700906김　기　남</v>
          </cell>
          <cell r="D3442" t="str">
            <v>HB30</v>
          </cell>
          <cell r="E3442" t="str">
            <v>제주조업담당</v>
          </cell>
          <cell r="F3442" t="str">
            <v>4121</v>
          </cell>
          <cell r="G3442" t="str">
            <v>4121</v>
          </cell>
          <cell r="H3442" t="str">
            <v>19870610</v>
          </cell>
          <cell r="I3442">
            <v>20551229</v>
          </cell>
        </row>
        <row r="3443">
          <cell r="A3443" t="str">
            <v>9501445</v>
          </cell>
          <cell r="B3443" t="str">
            <v>김　기　철</v>
          </cell>
          <cell r="C3443" t="str">
            <v>9501445김　기　철</v>
          </cell>
          <cell r="D3443" t="str">
            <v>HB30</v>
          </cell>
          <cell r="E3443" t="str">
            <v>제주조업담당</v>
          </cell>
          <cell r="F3443" t="str">
            <v>4121</v>
          </cell>
          <cell r="G3443" t="str">
            <v>4121</v>
          </cell>
          <cell r="H3443" t="str">
            <v>19950615</v>
          </cell>
          <cell r="I3443">
            <v>5337674</v>
          </cell>
        </row>
        <row r="3444">
          <cell r="A3444" t="str">
            <v>9300824</v>
          </cell>
          <cell r="B3444" t="str">
            <v>김　기　필</v>
          </cell>
          <cell r="C3444" t="str">
            <v>9300824김　기　필</v>
          </cell>
          <cell r="D3444" t="str">
            <v>HB30</v>
          </cell>
          <cell r="E3444" t="str">
            <v>제주조업담당</v>
          </cell>
          <cell r="F3444" t="str">
            <v>4121</v>
          </cell>
          <cell r="G3444" t="str">
            <v>4121</v>
          </cell>
          <cell r="H3444" t="str">
            <v>19930201</v>
          </cell>
          <cell r="I3444">
            <v>8119641</v>
          </cell>
        </row>
        <row r="3445">
          <cell r="A3445" t="str">
            <v>9403694</v>
          </cell>
          <cell r="B3445" t="str">
            <v>김　남　홍</v>
          </cell>
          <cell r="C3445" t="str">
            <v>9403694김　남　홍</v>
          </cell>
          <cell r="D3445" t="str">
            <v>HB30</v>
          </cell>
          <cell r="E3445" t="str">
            <v>제주조업담당</v>
          </cell>
          <cell r="F3445" t="str">
            <v>4121</v>
          </cell>
          <cell r="G3445" t="str">
            <v>4121</v>
          </cell>
          <cell r="H3445" t="str">
            <v>19940601</v>
          </cell>
          <cell r="I3445">
            <v>7312120</v>
          </cell>
        </row>
        <row r="3446">
          <cell r="A3446" t="str">
            <v>8600242</v>
          </cell>
          <cell r="B3446" t="str">
            <v>김　대　순</v>
          </cell>
          <cell r="C3446" t="str">
            <v>8600242김　대　순</v>
          </cell>
          <cell r="D3446" t="str">
            <v>HB30</v>
          </cell>
          <cell r="E3446" t="str">
            <v>제주조업담당</v>
          </cell>
          <cell r="F3446" t="str">
            <v>4121</v>
          </cell>
          <cell r="G3446" t="str">
            <v>4121</v>
          </cell>
          <cell r="H3446" t="str">
            <v>19870907</v>
          </cell>
          <cell r="I3446">
            <v>20127543</v>
          </cell>
        </row>
        <row r="3447">
          <cell r="A3447" t="str">
            <v>9004937</v>
          </cell>
          <cell r="B3447" t="str">
            <v>김　동　명</v>
          </cell>
          <cell r="C3447" t="str">
            <v>9004937김　동　명</v>
          </cell>
          <cell r="D3447" t="str">
            <v>HB30</v>
          </cell>
          <cell r="E3447" t="str">
            <v>제주조업담당</v>
          </cell>
          <cell r="F3447" t="str">
            <v>4121</v>
          </cell>
          <cell r="G3447" t="str">
            <v>4121</v>
          </cell>
          <cell r="H3447" t="str">
            <v>19901102</v>
          </cell>
          <cell r="I3447">
            <v>11101367</v>
          </cell>
        </row>
        <row r="3448">
          <cell r="A3448" t="str">
            <v>8600286</v>
          </cell>
          <cell r="B3448" t="str">
            <v>김　만　범</v>
          </cell>
          <cell r="C3448" t="str">
            <v>8600286김　만　범</v>
          </cell>
          <cell r="D3448" t="str">
            <v>HB30</v>
          </cell>
          <cell r="E3448" t="str">
            <v>제주조업담당</v>
          </cell>
          <cell r="F3448" t="str">
            <v>4121</v>
          </cell>
          <cell r="G3448" t="str">
            <v>4121</v>
          </cell>
          <cell r="H3448" t="str">
            <v>19980101</v>
          </cell>
          <cell r="I3448">
            <v>3555954</v>
          </cell>
        </row>
        <row r="3449">
          <cell r="A3449" t="str">
            <v>9501838</v>
          </cell>
          <cell r="B3449" t="str">
            <v>김　만　복</v>
          </cell>
          <cell r="C3449" t="str">
            <v>9501838김　만　복</v>
          </cell>
          <cell r="D3449" t="str">
            <v>HB30</v>
          </cell>
          <cell r="E3449" t="str">
            <v>제주조업담당</v>
          </cell>
          <cell r="F3449" t="str">
            <v>4121</v>
          </cell>
          <cell r="G3449" t="str">
            <v>4121</v>
          </cell>
          <cell r="H3449" t="str">
            <v>19950801</v>
          </cell>
          <cell r="I3449">
            <v>4778014</v>
          </cell>
        </row>
        <row r="3450">
          <cell r="A3450" t="str">
            <v>9206357</v>
          </cell>
          <cell r="B3450" t="str">
            <v>김　명　석</v>
          </cell>
          <cell r="C3450" t="str">
            <v>9206357김　명　석</v>
          </cell>
          <cell r="D3450" t="str">
            <v>HB30</v>
          </cell>
          <cell r="E3450" t="str">
            <v>제주조업담당</v>
          </cell>
          <cell r="F3450" t="str">
            <v>4121</v>
          </cell>
          <cell r="G3450" t="str">
            <v>4121</v>
          </cell>
          <cell r="H3450" t="str">
            <v>19921005</v>
          </cell>
          <cell r="I3450">
            <v>8099855</v>
          </cell>
        </row>
        <row r="3451">
          <cell r="A3451" t="str">
            <v>9206548</v>
          </cell>
          <cell r="B3451" t="str">
            <v>김　명　옥</v>
          </cell>
          <cell r="C3451" t="str">
            <v>9206548김　명　옥</v>
          </cell>
          <cell r="D3451" t="str">
            <v>HB30</v>
          </cell>
          <cell r="E3451" t="str">
            <v>제주조업담당</v>
          </cell>
          <cell r="F3451" t="str">
            <v>4121</v>
          </cell>
          <cell r="G3451" t="str">
            <v>4121</v>
          </cell>
          <cell r="H3451" t="str">
            <v>19921016</v>
          </cell>
          <cell r="I3451">
            <v>9863256</v>
          </cell>
        </row>
        <row r="3452">
          <cell r="A3452" t="str">
            <v>7300530</v>
          </cell>
          <cell r="B3452" t="str">
            <v>김　민　공</v>
          </cell>
          <cell r="C3452" t="str">
            <v>7300530김　민　공</v>
          </cell>
          <cell r="D3452" t="str">
            <v>HB30</v>
          </cell>
          <cell r="E3452" t="str">
            <v>제주조업담당</v>
          </cell>
          <cell r="F3452" t="str">
            <v>4121</v>
          </cell>
          <cell r="G3452" t="str">
            <v>4121</v>
          </cell>
          <cell r="H3452" t="str">
            <v>19731122</v>
          </cell>
          <cell r="I3452">
            <v>49499173</v>
          </cell>
        </row>
        <row r="3453">
          <cell r="A3453" t="str">
            <v>9305032</v>
          </cell>
          <cell r="B3453" t="str">
            <v>김　민　성</v>
          </cell>
          <cell r="C3453" t="str">
            <v>9305032김　민　성</v>
          </cell>
          <cell r="D3453" t="str">
            <v>HB30</v>
          </cell>
          <cell r="E3453" t="str">
            <v>제주조업담당</v>
          </cell>
          <cell r="F3453" t="str">
            <v>4121</v>
          </cell>
          <cell r="G3453" t="str">
            <v>4121</v>
          </cell>
          <cell r="H3453" t="str">
            <v>19930801</v>
          </cell>
          <cell r="I3453">
            <v>8516540</v>
          </cell>
        </row>
        <row r="3454">
          <cell r="A3454" t="str">
            <v>8601243</v>
          </cell>
          <cell r="B3454" t="str">
            <v>김　민　원</v>
          </cell>
          <cell r="C3454" t="str">
            <v>8601243김　민　원</v>
          </cell>
          <cell r="D3454" t="str">
            <v>HB30</v>
          </cell>
          <cell r="E3454" t="str">
            <v>제주조업담당</v>
          </cell>
          <cell r="F3454" t="str">
            <v>4121</v>
          </cell>
          <cell r="G3454" t="str">
            <v>4121</v>
          </cell>
          <cell r="H3454" t="str">
            <v>19860510</v>
          </cell>
          <cell r="I3454">
            <v>19878392</v>
          </cell>
        </row>
        <row r="3455">
          <cell r="A3455" t="str">
            <v>9104973</v>
          </cell>
          <cell r="B3455" t="str">
            <v>김　봉　준</v>
          </cell>
          <cell r="C3455" t="str">
            <v>9104973김　봉　준</v>
          </cell>
          <cell r="D3455" t="str">
            <v>HB30</v>
          </cell>
          <cell r="E3455" t="str">
            <v>제주조업담당</v>
          </cell>
          <cell r="F3455" t="str">
            <v>4121</v>
          </cell>
          <cell r="G3455" t="str">
            <v>4121</v>
          </cell>
          <cell r="H3455" t="str">
            <v>19911101</v>
          </cell>
          <cell r="I3455">
            <v>11406702</v>
          </cell>
        </row>
        <row r="3456">
          <cell r="A3456" t="str">
            <v>9501895</v>
          </cell>
          <cell r="B3456" t="str">
            <v>김　상　수</v>
          </cell>
          <cell r="C3456" t="str">
            <v>9501895김　상　수</v>
          </cell>
          <cell r="D3456" t="str">
            <v>HB30</v>
          </cell>
          <cell r="E3456" t="str">
            <v>제주조업담당</v>
          </cell>
          <cell r="F3456" t="str">
            <v>4121</v>
          </cell>
          <cell r="G3456" t="str">
            <v>4121</v>
          </cell>
          <cell r="H3456" t="str">
            <v>19950801</v>
          </cell>
          <cell r="I3456">
            <v>5780430</v>
          </cell>
        </row>
        <row r="3457">
          <cell r="A3457" t="str">
            <v>8501286</v>
          </cell>
          <cell r="B3457" t="str">
            <v>김　석　홍</v>
          </cell>
          <cell r="C3457" t="str">
            <v>8501286김　석　홍</v>
          </cell>
          <cell r="D3457" t="str">
            <v>HB30</v>
          </cell>
          <cell r="E3457" t="str">
            <v>제주조업담당</v>
          </cell>
          <cell r="F3457" t="str">
            <v>4121</v>
          </cell>
          <cell r="G3457" t="str">
            <v>4121</v>
          </cell>
          <cell r="H3457" t="str">
            <v>19850501</v>
          </cell>
          <cell r="I3457">
            <v>24127830</v>
          </cell>
        </row>
        <row r="3458">
          <cell r="A3458" t="str">
            <v>9501884</v>
          </cell>
          <cell r="B3458" t="str">
            <v>김　성　언</v>
          </cell>
          <cell r="C3458" t="str">
            <v>9501884김　성　언</v>
          </cell>
          <cell r="D3458" t="str">
            <v>HB30</v>
          </cell>
          <cell r="E3458" t="str">
            <v>제주조업담당</v>
          </cell>
          <cell r="F3458" t="str">
            <v>4121</v>
          </cell>
          <cell r="G3458" t="str">
            <v>4121</v>
          </cell>
          <cell r="H3458" t="str">
            <v>19950801</v>
          </cell>
          <cell r="I3458">
            <v>5510144</v>
          </cell>
        </row>
        <row r="3459">
          <cell r="A3459" t="str">
            <v>8400352</v>
          </cell>
          <cell r="B3459" t="str">
            <v>김　성　현</v>
          </cell>
          <cell r="C3459" t="str">
            <v>8400352김　성　현</v>
          </cell>
          <cell r="D3459" t="str">
            <v>HB30</v>
          </cell>
          <cell r="E3459" t="str">
            <v>제주조업담당</v>
          </cell>
          <cell r="F3459" t="str">
            <v>4121</v>
          </cell>
          <cell r="G3459" t="str">
            <v>4121</v>
          </cell>
          <cell r="H3459" t="str">
            <v>19840510</v>
          </cell>
          <cell r="I3459">
            <v>29039246</v>
          </cell>
        </row>
        <row r="3460">
          <cell r="A3460" t="str">
            <v>9550293</v>
          </cell>
          <cell r="B3460" t="str">
            <v>김　수　미</v>
          </cell>
          <cell r="C3460" t="str">
            <v>9550293김　수　미</v>
          </cell>
          <cell r="D3460" t="str">
            <v>HB30</v>
          </cell>
          <cell r="E3460" t="str">
            <v>제주조업담당</v>
          </cell>
          <cell r="F3460" t="str">
            <v>4121</v>
          </cell>
          <cell r="G3460" t="str">
            <v>4121</v>
          </cell>
          <cell r="H3460" t="str">
            <v>19950601</v>
          </cell>
          <cell r="I3460">
            <v>4147868</v>
          </cell>
        </row>
        <row r="3461">
          <cell r="A3461" t="str">
            <v>9252505</v>
          </cell>
          <cell r="B3461" t="str">
            <v>김　양　미</v>
          </cell>
          <cell r="C3461" t="str">
            <v>9252505김　양　미</v>
          </cell>
          <cell r="D3461" t="str">
            <v>HB30</v>
          </cell>
          <cell r="E3461" t="str">
            <v>제주조업담당</v>
          </cell>
          <cell r="F3461" t="str">
            <v>4121</v>
          </cell>
          <cell r="G3461" t="str">
            <v>4121</v>
          </cell>
          <cell r="H3461" t="str">
            <v>19921101</v>
          </cell>
          <cell r="I3461">
            <v>6795607</v>
          </cell>
        </row>
        <row r="3462">
          <cell r="A3462" t="str">
            <v>8600220</v>
          </cell>
          <cell r="B3462" t="str">
            <v>김　영　범</v>
          </cell>
          <cell r="C3462" t="str">
            <v>8600220김　영　범</v>
          </cell>
          <cell r="D3462" t="str">
            <v>HB30</v>
          </cell>
          <cell r="E3462" t="str">
            <v>제주조업담당</v>
          </cell>
          <cell r="F3462" t="str">
            <v>4121</v>
          </cell>
          <cell r="G3462" t="str">
            <v>4121</v>
          </cell>
          <cell r="H3462" t="str">
            <v>19870907</v>
          </cell>
          <cell r="I3462">
            <v>22214117</v>
          </cell>
        </row>
        <row r="3463">
          <cell r="A3463" t="str">
            <v>9501862</v>
          </cell>
          <cell r="B3463" t="str">
            <v>김　영　재</v>
          </cell>
          <cell r="C3463" t="str">
            <v>9501862김　영　재</v>
          </cell>
          <cell r="D3463" t="str">
            <v>HB30</v>
          </cell>
          <cell r="E3463" t="str">
            <v>제주조업담당</v>
          </cell>
          <cell r="F3463" t="str">
            <v>4121</v>
          </cell>
          <cell r="G3463" t="str">
            <v>4121</v>
          </cell>
          <cell r="H3463" t="str">
            <v>19950801</v>
          </cell>
          <cell r="I3463">
            <v>5691981</v>
          </cell>
        </row>
        <row r="3464">
          <cell r="A3464" t="str">
            <v>8501297</v>
          </cell>
          <cell r="B3464" t="str">
            <v>김　완　빈</v>
          </cell>
          <cell r="C3464" t="str">
            <v>8501297김　완　빈</v>
          </cell>
          <cell r="D3464" t="str">
            <v>HB30</v>
          </cell>
          <cell r="E3464" t="str">
            <v>제주조업담당</v>
          </cell>
          <cell r="F3464" t="str">
            <v>4121</v>
          </cell>
          <cell r="G3464" t="str">
            <v>4121</v>
          </cell>
          <cell r="H3464" t="str">
            <v>19850501</v>
          </cell>
          <cell r="I3464">
            <v>22726026</v>
          </cell>
        </row>
        <row r="3465">
          <cell r="A3465" t="str">
            <v>8901876</v>
          </cell>
          <cell r="B3465" t="str">
            <v>김　완　수</v>
          </cell>
          <cell r="C3465" t="str">
            <v>8901876김　완　수</v>
          </cell>
          <cell r="D3465" t="str">
            <v>HB30</v>
          </cell>
          <cell r="E3465" t="str">
            <v>제주조업담당</v>
          </cell>
          <cell r="F3465" t="str">
            <v>4121</v>
          </cell>
          <cell r="G3465" t="str">
            <v>4121</v>
          </cell>
          <cell r="H3465" t="str">
            <v>19881101</v>
          </cell>
          <cell r="I3465">
            <v>15966663</v>
          </cell>
        </row>
        <row r="3466">
          <cell r="A3466" t="str">
            <v>9404425</v>
          </cell>
          <cell r="B3466" t="str">
            <v>김　왕　석</v>
          </cell>
          <cell r="C3466" t="str">
            <v>9404425김　왕　석</v>
          </cell>
          <cell r="D3466" t="str">
            <v>HB30</v>
          </cell>
          <cell r="E3466" t="str">
            <v>제주조업담당</v>
          </cell>
          <cell r="F3466" t="str">
            <v>4121</v>
          </cell>
          <cell r="G3466" t="str">
            <v>4121</v>
          </cell>
          <cell r="H3466" t="str">
            <v>19940701</v>
          </cell>
          <cell r="I3466">
            <v>7301678</v>
          </cell>
        </row>
        <row r="3467">
          <cell r="A3467" t="str">
            <v>8502366</v>
          </cell>
          <cell r="B3467" t="str">
            <v>김　용　석</v>
          </cell>
          <cell r="C3467" t="str">
            <v>8502366김　용　석</v>
          </cell>
          <cell r="D3467" t="str">
            <v>HB30</v>
          </cell>
          <cell r="E3467" t="str">
            <v>제주조업담당</v>
          </cell>
          <cell r="F3467" t="str">
            <v>4121</v>
          </cell>
          <cell r="G3467" t="str">
            <v>4121</v>
          </cell>
          <cell r="H3467" t="str">
            <v>19851101</v>
          </cell>
          <cell r="I3467">
            <v>21728591</v>
          </cell>
        </row>
        <row r="3468">
          <cell r="A3468" t="str">
            <v>9002496</v>
          </cell>
          <cell r="B3468" t="str">
            <v>김　용　찬</v>
          </cell>
          <cell r="C3468" t="str">
            <v>9002496김　용　찬</v>
          </cell>
          <cell r="D3468" t="str">
            <v>HB30</v>
          </cell>
          <cell r="E3468" t="str">
            <v>제주조업담당</v>
          </cell>
          <cell r="F3468" t="str">
            <v>4121</v>
          </cell>
          <cell r="G3468" t="str">
            <v>4121</v>
          </cell>
          <cell r="H3468" t="str">
            <v>19900122</v>
          </cell>
          <cell r="I3468">
            <v>15025322</v>
          </cell>
        </row>
        <row r="3469">
          <cell r="A3469" t="str">
            <v>7800265</v>
          </cell>
          <cell r="B3469" t="str">
            <v>김　원　배</v>
          </cell>
          <cell r="C3469" t="str">
            <v>7800265김　원　배</v>
          </cell>
          <cell r="D3469" t="str">
            <v>HB30</v>
          </cell>
          <cell r="E3469" t="str">
            <v>제주조업담당</v>
          </cell>
          <cell r="F3469" t="str">
            <v>4121</v>
          </cell>
          <cell r="G3469" t="str">
            <v>4121</v>
          </cell>
          <cell r="H3469" t="str">
            <v>19780510</v>
          </cell>
          <cell r="I3469">
            <v>40620003</v>
          </cell>
        </row>
        <row r="3470">
          <cell r="A3470" t="str">
            <v>9305425</v>
          </cell>
          <cell r="B3470" t="str">
            <v>김　윤　권</v>
          </cell>
          <cell r="C3470" t="str">
            <v>9305425김　윤　권</v>
          </cell>
          <cell r="D3470" t="str">
            <v>HB30</v>
          </cell>
          <cell r="E3470" t="str">
            <v>제주조업담당</v>
          </cell>
          <cell r="F3470" t="str">
            <v>4121</v>
          </cell>
          <cell r="G3470" t="str">
            <v>4121</v>
          </cell>
          <cell r="H3470" t="str">
            <v>19930816</v>
          </cell>
          <cell r="I3470">
            <v>8597014</v>
          </cell>
        </row>
        <row r="3471">
          <cell r="A3471" t="str">
            <v>7700027</v>
          </cell>
          <cell r="B3471" t="str">
            <v>김　정　순</v>
          </cell>
          <cell r="C3471" t="str">
            <v>7700027김　정　순</v>
          </cell>
          <cell r="D3471" t="str">
            <v>HB30</v>
          </cell>
          <cell r="E3471" t="str">
            <v>제주조업담당</v>
          </cell>
          <cell r="F3471" t="str">
            <v>4121</v>
          </cell>
          <cell r="G3471" t="e">
            <v>#N/A</v>
          </cell>
          <cell r="H3471" t="str">
            <v>19770303</v>
          </cell>
          <cell r="I3471">
            <v>38863663</v>
          </cell>
          <cell r="J3471" t="str">
            <v>11 월</v>
          </cell>
          <cell r="K3471">
            <v>47092059</v>
          </cell>
        </row>
        <row r="3472">
          <cell r="A3472" t="str">
            <v>7200270</v>
          </cell>
          <cell r="B3472" t="str">
            <v>김　정　혁</v>
          </cell>
          <cell r="C3472" t="str">
            <v>7200270김　정　혁</v>
          </cell>
          <cell r="D3472" t="str">
            <v>HB30</v>
          </cell>
          <cell r="E3472" t="str">
            <v>제주조업담당</v>
          </cell>
          <cell r="F3472" t="str">
            <v>4121</v>
          </cell>
          <cell r="G3472" t="str">
            <v>4121</v>
          </cell>
          <cell r="H3472" t="str">
            <v>19721018</v>
          </cell>
          <cell r="I3472">
            <v>54573325</v>
          </cell>
        </row>
        <row r="3473">
          <cell r="A3473" t="str">
            <v>9501456</v>
          </cell>
          <cell r="B3473" t="str">
            <v>김　진　택</v>
          </cell>
          <cell r="C3473" t="str">
            <v>9501456김　진　택</v>
          </cell>
          <cell r="D3473" t="str">
            <v>HB30</v>
          </cell>
          <cell r="E3473" t="str">
            <v>제주조업담당</v>
          </cell>
          <cell r="F3473" t="str">
            <v>4121</v>
          </cell>
          <cell r="G3473" t="str">
            <v>4121</v>
          </cell>
          <cell r="H3473" t="str">
            <v>19950601</v>
          </cell>
          <cell r="I3473">
            <v>5978943</v>
          </cell>
        </row>
        <row r="3474">
          <cell r="A3474" t="str">
            <v>8901854</v>
          </cell>
          <cell r="B3474" t="str">
            <v>김　창　남</v>
          </cell>
          <cell r="C3474" t="str">
            <v>8901854김　창　남</v>
          </cell>
          <cell r="D3474" t="str">
            <v>HB30</v>
          </cell>
          <cell r="E3474" t="str">
            <v>제주조업담당</v>
          </cell>
          <cell r="F3474" t="str">
            <v>4121</v>
          </cell>
          <cell r="G3474" t="str">
            <v>4121</v>
          </cell>
          <cell r="H3474" t="str">
            <v>19881125</v>
          </cell>
          <cell r="I3474">
            <v>16972033</v>
          </cell>
        </row>
        <row r="3475">
          <cell r="A3475" t="str">
            <v>9002327</v>
          </cell>
          <cell r="B3475" t="str">
            <v>김　창　모</v>
          </cell>
          <cell r="C3475" t="str">
            <v>9002327김　창　모</v>
          </cell>
          <cell r="D3475" t="str">
            <v>HB30</v>
          </cell>
          <cell r="E3475" t="str">
            <v>제주조업담당</v>
          </cell>
          <cell r="F3475" t="str">
            <v>4121</v>
          </cell>
          <cell r="G3475" t="str">
            <v>4121</v>
          </cell>
          <cell r="H3475" t="str">
            <v>19891205</v>
          </cell>
          <cell r="I3475">
            <v>14738115</v>
          </cell>
        </row>
        <row r="3476">
          <cell r="A3476" t="str">
            <v>9403380</v>
          </cell>
          <cell r="B3476" t="str">
            <v>김　철　민</v>
          </cell>
          <cell r="C3476" t="str">
            <v>9403380김　철　민</v>
          </cell>
          <cell r="D3476" t="str">
            <v>HB30</v>
          </cell>
          <cell r="E3476" t="str">
            <v>제주조업담당</v>
          </cell>
          <cell r="F3476" t="str">
            <v>4121</v>
          </cell>
          <cell r="G3476" t="str">
            <v>4121</v>
          </cell>
          <cell r="H3476" t="str">
            <v>19940519</v>
          </cell>
          <cell r="I3476">
            <v>7165083</v>
          </cell>
        </row>
        <row r="3477">
          <cell r="A3477" t="str">
            <v>8601366</v>
          </cell>
          <cell r="B3477" t="str">
            <v>김　춘　배</v>
          </cell>
          <cell r="C3477" t="str">
            <v>8601366김　춘　배</v>
          </cell>
          <cell r="D3477" t="str">
            <v>HB30</v>
          </cell>
          <cell r="E3477" t="str">
            <v>제주조업담당</v>
          </cell>
          <cell r="F3477" t="str">
            <v>4121</v>
          </cell>
          <cell r="G3477" t="str">
            <v>4121</v>
          </cell>
          <cell r="H3477" t="str">
            <v>19860510</v>
          </cell>
          <cell r="I3477">
            <v>20879185</v>
          </cell>
        </row>
        <row r="3478">
          <cell r="A3478" t="str">
            <v>8901022</v>
          </cell>
          <cell r="B3478" t="str">
            <v>김　춘　호</v>
          </cell>
          <cell r="C3478" t="str">
            <v>8901022김　춘　호</v>
          </cell>
          <cell r="D3478" t="str">
            <v>HB30</v>
          </cell>
          <cell r="E3478" t="str">
            <v>제주조업담당</v>
          </cell>
          <cell r="F3478" t="str">
            <v>4121</v>
          </cell>
          <cell r="G3478" t="str">
            <v>4121</v>
          </cell>
          <cell r="H3478" t="str">
            <v>19880908</v>
          </cell>
          <cell r="I3478">
            <v>15364457</v>
          </cell>
        </row>
        <row r="3479">
          <cell r="A3479" t="str">
            <v>9200316</v>
          </cell>
          <cell r="B3479" t="str">
            <v>김　치　오</v>
          </cell>
          <cell r="C3479" t="str">
            <v>9200316김　치　오</v>
          </cell>
          <cell r="D3479" t="str">
            <v>HB30</v>
          </cell>
          <cell r="E3479" t="str">
            <v>제주조업담당</v>
          </cell>
          <cell r="F3479" t="str">
            <v>4121</v>
          </cell>
          <cell r="G3479" t="str">
            <v>4121</v>
          </cell>
          <cell r="H3479" t="str">
            <v>19920106</v>
          </cell>
          <cell r="I3479">
            <v>10143687</v>
          </cell>
        </row>
        <row r="3480">
          <cell r="A3480" t="str">
            <v>7300563</v>
          </cell>
          <cell r="B3480" t="str">
            <v>김　치　중</v>
          </cell>
          <cell r="C3480" t="str">
            <v>7300563김　치　중</v>
          </cell>
          <cell r="D3480" t="str">
            <v>HB30</v>
          </cell>
          <cell r="E3480" t="str">
            <v>제주조업담당</v>
          </cell>
          <cell r="F3480" t="str">
            <v>4121</v>
          </cell>
          <cell r="G3480" t="str">
            <v>4121</v>
          </cell>
          <cell r="H3480" t="str">
            <v>19731122</v>
          </cell>
          <cell r="I3480">
            <v>45639406</v>
          </cell>
        </row>
        <row r="3481">
          <cell r="A3481" t="str">
            <v>8502030</v>
          </cell>
          <cell r="B3481" t="str">
            <v>김　치　혁</v>
          </cell>
          <cell r="C3481" t="str">
            <v>8502030김　치　혁</v>
          </cell>
          <cell r="D3481" t="str">
            <v>HB30</v>
          </cell>
          <cell r="E3481" t="str">
            <v>제주조업담당</v>
          </cell>
          <cell r="F3481" t="str">
            <v>4121</v>
          </cell>
          <cell r="G3481" t="str">
            <v>4121</v>
          </cell>
          <cell r="H3481" t="str">
            <v>19850715</v>
          </cell>
          <cell r="I3481">
            <v>23514328</v>
          </cell>
        </row>
        <row r="3482">
          <cell r="A3482" t="str">
            <v>8801155</v>
          </cell>
          <cell r="B3482" t="str">
            <v>김　태　국</v>
          </cell>
          <cell r="C3482" t="str">
            <v>8801155김　태　국</v>
          </cell>
          <cell r="D3482" t="str">
            <v>HB30</v>
          </cell>
          <cell r="E3482" t="str">
            <v>제주조업담당</v>
          </cell>
          <cell r="F3482" t="str">
            <v>4121</v>
          </cell>
          <cell r="G3482" t="str">
            <v>4121</v>
          </cell>
          <cell r="H3482" t="str">
            <v>19880716</v>
          </cell>
          <cell r="I3482">
            <v>17449907</v>
          </cell>
        </row>
        <row r="3483">
          <cell r="A3483" t="str">
            <v>9302185</v>
          </cell>
          <cell r="B3483" t="str">
            <v>김　태　석</v>
          </cell>
          <cell r="C3483" t="str">
            <v>9302185김　태　석</v>
          </cell>
          <cell r="D3483" t="str">
            <v>HB30</v>
          </cell>
          <cell r="E3483" t="str">
            <v>제주조업담당</v>
          </cell>
          <cell r="F3483" t="str">
            <v>4121</v>
          </cell>
          <cell r="G3483" t="str">
            <v>4121</v>
          </cell>
          <cell r="H3483" t="str">
            <v>19930416</v>
          </cell>
          <cell r="I3483">
            <v>8730762</v>
          </cell>
        </row>
        <row r="3484">
          <cell r="A3484" t="str">
            <v>8000054</v>
          </cell>
          <cell r="B3484" t="str">
            <v>김　태　성</v>
          </cell>
          <cell r="C3484" t="str">
            <v>8000054김　태　성</v>
          </cell>
          <cell r="D3484" t="str">
            <v>HB30</v>
          </cell>
          <cell r="E3484" t="str">
            <v>제주조업담당</v>
          </cell>
          <cell r="F3484" t="str">
            <v>4121</v>
          </cell>
          <cell r="G3484" t="str">
            <v>4121</v>
          </cell>
          <cell r="H3484" t="str">
            <v>19800211</v>
          </cell>
          <cell r="I3484">
            <v>32313810</v>
          </cell>
        </row>
        <row r="3485">
          <cell r="A3485" t="str">
            <v>8400374</v>
          </cell>
          <cell r="B3485" t="str">
            <v>김　태　현</v>
          </cell>
          <cell r="C3485" t="str">
            <v>8400374김　태　현</v>
          </cell>
          <cell r="D3485" t="str">
            <v>HB30</v>
          </cell>
          <cell r="E3485" t="str">
            <v>제주조업담당</v>
          </cell>
          <cell r="F3485" t="str">
            <v>4121</v>
          </cell>
          <cell r="G3485" t="str">
            <v>4121</v>
          </cell>
          <cell r="H3485" t="str">
            <v>19840510</v>
          </cell>
          <cell r="I3485">
            <v>28170959</v>
          </cell>
        </row>
        <row r="3486">
          <cell r="A3486" t="str">
            <v>7800805</v>
          </cell>
          <cell r="B3486" t="str">
            <v>김　태　홍</v>
          </cell>
          <cell r="C3486" t="str">
            <v>7800805김　태　홍</v>
          </cell>
          <cell r="D3486" t="str">
            <v>HB30</v>
          </cell>
          <cell r="E3486" t="str">
            <v>제주조업담당</v>
          </cell>
          <cell r="F3486" t="str">
            <v>4121</v>
          </cell>
          <cell r="G3486" t="str">
            <v>4121</v>
          </cell>
          <cell r="H3486" t="str">
            <v>19781001</v>
          </cell>
          <cell r="I3486">
            <v>36475508</v>
          </cell>
        </row>
        <row r="3487">
          <cell r="A3487" t="str">
            <v>8601254</v>
          </cell>
          <cell r="B3487" t="str">
            <v>김　태　화</v>
          </cell>
          <cell r="C3487" t="str">
            <v>8601254김　태　화</v>
          </cell>
          <cell r="D3487" t="str">
            <v>HB30</v>
          </cell>
          <cell r="E3487" t="str">
            <v>제주조업담당</v>
          </cell>
          <cell r="F3487" t="str">
            <v>4121</v>
          </cell>
          <cell r="G3487" t="str">
            <v>4121</v>
          </cell>
          <cell r="H3487" t="str">
            <v>19860510</v>
          </cell>
          <cell r="I3487">
            <v>20620625</v>
          </cell>
        </row>
        <row r="3488">
          <cell r="A3488" t="str">
            <v>9404403</v>
          </cell>
          <cell r="B3488" t="str">
            <v>김　현　수</v>
          </cell>
          <cell r="C3488" t="str">
            <v>9404403김　현　수</v>
          </cell>
          <cell r="D3488" t="str">
            <v>HB30</v>
          </cell>
          <cell r="E3488" t="str">
            <v>제주조업담당</v>
          </cell>
          <cell r="F3488" t="str">
            <v>4121</v>
          </cell>
          <cell r="G3488" t="str">
            <v>4121</v>
          </cell>
          <cell r="H3488" t="str">
            <v>19940701</v>
          </cell>
          <cell r="I3488">
            <v>7375191</v>
          </cell>
        </row>
        <row r="3489">
          <cell r="A3489" t="str">
            <v>9501434</v>
          </cell>
          <cell r="B3489" t="str">
            <v>김　형　수</v>
          </cell>
          <cell r="C3489" t="str">
            <v>9501434김　형　수</v>
          </cell>
          <cell r="D3489" t="str">
            <v>HB30</v>
          </cell>
          <cell r="E3489" t="str">
            <v>제주조업담당</v>
          </cell>
          <cell r="F3489" t="str">
            <v>4121</v>
          </cell>
          <cell r="G3489" t="str">
            <v>4121</v>
          </cell>
          <cell r="H3489" t="str">
            <v>19950601</v>
          </cell>
          <cell r="I3489">
            <v>4937913</v>
          </cell>
        </row>
        <row r="3490">
          <cell r="A3490" t="str">
            <v>9151402</v>
          </cell>
          <cell r="B3490" t="str">
            <v>김　형　옥</v>
          </cell>
          <cell r="C3490" t="str">
            <v>9151402김　형　옥</v>
          </cell>
          <cell r="D3490" t="str">
            <v>HB30</v>
          </cell>
          <cell r="E3490" t="str">
            <v>제주조업담당</v>
          </cell>
          <cell r="F3490" t="str">
            <v>4121</v>
          </cell>
          <cell r="G3490" t="str">
            <v>4121</v>
          </cell>
          <cell r="H3490" t="str">
            <v>19910701</v>
          </cell>
          <cell r="I3490">
            <v>9951047</v>
          </cell>
        </row>
        <row r="3491">
          <cell r="A3491" t="str">
            <v>9002553</v>
          </cell>
          <cell r="B3491" t="str">
            <v>김　홍　철</v>
          </cell>
          <cell r="C3491" t="str">
            <v>9002553김　홍　철</v>
          </cell>
          <cell r="D3491" t="str">
            <v>HB30</v>
          </cell>
          <cell r="E3491" t="str">
            <v>제주조업담당</v>
          </cell>
          <cell r="F3491" t="str">
            <v>4121</v>
          </cell>
          <cell r="G3491" t="str">
            <v>4121</v>
          </cell>
          <cell r="H3491" t="str">
            <v>19900122</v>
          </cell>
          <cell r="I3491">
            <v>13119225</v>
          </cell>
        </row>
        <row r="3492">
          <cell r="A3492" t="str">
            <v>9207911</v>
          </cell>
          <cell r="B3492" t="str">
            <v>김　효　철</v>
          </cell>
          <cell r="C3492" t="str">
            <v>9207911김　효　철</v>
          </cell>
          <cell r="D3492" t="str">
            <v>HB30</v>
          </cell>
          <cell r="E3492" t="str">
            <v>제주조업담당</v>
          </cell>
          <cell r="F3492" t="str">
            <v>4121</v>
          </cell>
          <cell r="G3492" t="str">
            <v>4121</v>
          </cell>
          <cell r="H3492" t="str">
            <v>19921201</v>
          </cell>
          <cell r="I3492">
            <v>8655934</v>
          </cell>
        </row>
        <row r="3493">
          <cell r="A3493" t="str">
            <v>9010056</v>
          </cell>
          <cell r="B3493" t="str">
            <v>김　희　호</v>
          </cell>
          <cell r="C3493" t="str">
            <v>9010056김　희　호</v>
          </cell>
          <cell r="D3493" t="str">
            <v>HB30</v>
          </cell>
          <cell r="E3493" t="str">
            <v>제주조업담당</v>
          </cell>
          <cell r="F3493" t="str">
            <v>4121</v>
          </cell>
          <cell r="G3493" t="str">
            <v>4121</v>
          </cell>
          <cell r="H3493" t="str">
            <v>19900216</v>
          </cell>
          <cell r="I3493">
            <v>14783499</v>
          </cell>
        </row>
        <row r="3494">
          <cell r="A3494" t="str">
            <v>8700873</v>
          </cell>
          <cell r="B3494" t="str">
            <v>문　동　실</v>
          </cell>
          <cell r="C3494" t="str">
            <v>8700873문　동　실</v>
          </cell>
          <cell r="D3494" t="str">
            <v>HB30</v>
          </cell>
          <cell r="E3494" t="str">
            <v>제주조업담당</v>
          </cell>
          <cell r="F3494" t="str">
            <v>4121</v>
          </cell>
          <cell r="G3494" t="str">
            <v>4121</v>
          </cell>
          <cell r="H3494" t="str">
            <v>19870610</v>
          </cell>
          <cell r="I3494">
            <v>19653741</v>
          </cell>
        </row>
        <row r="3495">
          <cell r="A3495" t="str">
            <v>9211724</v>
          </cell>
          <cell r="B3495" t="str">
            <v>문　두　홍</v>
          </cell>
          <cell r="C3495" t="str">
            <v>9211724문　두　홍</v>
          </cell>
          <cell r="D3495" t="str">
            <v>HB30</v>
          </cell>
          <cell r="E3495" t="str">
            <v>제주조업담당</v>
          </cell>
          <cell r="F3495" t="str">
            <v>4121</v>
          </cell>
          <cell r="G3495" t="str">
            <v>4121</v>
          </cell>
          <cell r="H3495" t="str">
            <v>19920801</v>
          </cell>
          <cell r="I3495">
            <v>10457718</v>
          </cell>
        </row>
        <row r="3496">
          <cell r="A3496" t="str">
            <v>9003126</v>
          </cell>
          <cell r="B3496" t="str">
            <v>문　성　호</v>
          </cell>
          <cell r="C3496" t="str">
            <v>9003126문　성　호</v>
          </cell>
          <cell r="D3496" t="str">
            <v>HB30</v>
          </cell>
          <cell r="E3496" t="str">
            <v>제주조업담당</v>
          </cell>
          <cell r="F3496" t="str">
            <v>4121</v>
          </cell>
          <cell r="G3496" t="str">
            <v>4121</v>
          </cell>
          <cell r="H3496" t="str">
            <v>19900516</v>
          </cell>
          <cell r="I3496">
            <v>12702670</v>
          </cell>
        </row>
        <row r="3497">
          <cell r="A3497" t="str">
            <v>9206324</v>
          </cell>
          <cell r="B3497" t="str">
            <v>문　승　언</v>
          </cell>
          <cell r="C3497" t="str">
            <v>9206324문　승　언</v>
          </cell>
          <cell r="D3497" t="str">
            <v>HB30</v>
          </cell>
          <cell r="E3497" t="str">
            <v>제주조업담당</v>
          </cell>
          <cell r="F3497" t="str">
            <v>4121</v>
          </cell>
          <cell r="G3497" t="str">
            <v>4121</v>
          </cell>
          <cell r="H3497" t="str">
            <v>19921005</v>
          </cell>
          <cell r="I3497">
            <v>10642966</v>
          </cell>
        </row>
        <row r="3498">
          <cell r="A3498" t="str">
            <v>9104940</v>
          </cell>
          <cell r="B3498" t="str">
            <v>문　영　탁</v>
          </cell>
          <cell r="C3498" t="str">
            <v>9104940문　영　탁</v>
          </cell>
          <cell r="D3498" t="str">
            <v>HB30</v>
          </cell>
          <cell r="E3498" t="str">
            <v>제주조업담당</v>
          </cell>
          <cell r="F3498" t="str">
            <v>4121</v>
          </cell>
          <cell r="G3498" t="str">
            <v>4121</v>
          </cell>
          <cell r="H3498" t="str">
            <v>19911101</v>
          </cell>
          <cell r="I3498">
            <v>10752738</v>
          </cell>
        </row>
        <row r="3499">
          <cell r="A3499" t="str">
            <v>9204772</v>
          </cell>
          <cell r="B3499" t="str">
            <v>문　창　준</v>
          </cell>
          <cell r="C3499" t="str">
            <v>9204772문　창　준</v>
          </cell>
          <cell r="D3499" t="str">
            <v>HB30</v>
          </cell>
          <cell r="E3499" t="str">
            <v>제주조업담당</v>
          </cell>
          <cell r="F3499" t="str">
            <v>4121</v>
          </cell>
          <cell r="G3499" t="str">
            <v>4121</v>
          </cell>
          <cell r="H3499" t="str">
            <v>19920801</v>
          </cell>
          <cell r="I3499">
            <v>10000939</v>
          </cell>
        </row>
        <row r="3500">
          <cell r="A3500" t="str">
            <v>8501253</v>
          </cell>
          <cell r="B3500" t="str">
            <v>문　태　윤</v>
          </cell>
          <cell r="C3500" t="str">
            <v>8501253문　태　윤</v>
          </cell>
          <cell r="D3500" t="str">
            <v>HB30</v>
          </cell>
          <cell r="E3500" t="str">
            <v>제주조업담당</v>
          </cell>
          <cell r="F3500" t="str">
            <v>4121</v>
          </cell>
          <cell r="G3500" t="str">
            <v>4121</v>
          </cell>
          <cell r="H3500" t="str">
            <v>19850501</v>
          </cell>
          <cell r="I3500">
            <v>22686428</v>
          </cell>
        </row>
        <row r="3501">
          <cell r="A3501" t="str">
            <v>9102532</v>
          </cell>
          <cell r="B3501" t="str">
            <v>박　기　찬</v>
          </cell>
          <cell r="C3501" t="str">
            <v>9102532박　기　찬</v>
          </cell>
          <cell r="D3501" t="str">
            <v>HB30</v>
          </cell>
          <cell r="E3501" t="str">
            <v>제주조업담당</v>
          </cell>
          <cell r="F3501" t="str">
            <v>4121</v>
          </cell>
          <cell r="G3501" t="str">
            <v>4121</v>
          </cell>
          <cell r="H3501" t="str">
            <v>19910701</v>
          </cell>
          <cell r="I3501">
            <v>10376337</v>
          </cell>
        </row>
        <row r="3502">
          <cell r="A3502" t="str">
            <v>7700275</v>
          </cell>
          <cell r="B3502" t="str">
            <v>박　명　선</v>
          </cell>
          <cell r="C3502" t="str">
            <v>7700275박　명　선</v>
          </cell>
          <cell r="D3502" t="str">
            <v>HB30</v>
          </cell>
          <cell r="E3502" t="str">
            <v>제주조업담당</v>
          </cell>
          <cell r="F3502" t="str">
            <v>4121</v>
          </cell>
          <cell r="G3502" t="str">
            <v>4121</v>
          </cell>
          <cell r="H3502" t="str">
            <v>19770506</v>
          </cell>
          <cell r="I3502">
            <v>36053746</v>
          </cell>
        </row>
        <row r="3503">
          <cell r="A3503" t="str">
            <v>9404414</v>
          </cell>
          <cell r="B3503" t="str">
            <v>박　성　남</v>
          </cell>
          <cell r="C3503" t="str">
            <v>9404414박　성　남</v>
          </cell>
          <cell r="D3503" t="str">
            <v>HB30</v>
          </cell>
          <cell r="E3503" t="str">
            <v>제주조업담당</v>
          </cell>
          <cell r="F3503" t="str">
            <v>4121</v>
          </cell>
          <cell r="G3503" t="str">
            <v>4121</v>
          </cell>
          <cell r="H3503" t="str">
            <v>19940701</v>
          </cell>
          <cell r="I3503">
            <v>6042896</v>
          </cell>
        </row>
        <row r="3504">
          <cell r="A3504" t="str">
            <v>8901933</v>
          </cell>
          <cell r="B3504" t="str">
            <v>박　영　관</v>
          </cell>
          <cell r="C3504" t="str">
            <v>8901933박　영　관</v>
          </cell>
          <cell r="D3504" t="str">
            <v>HB30</v>
          </cell>
          <cell r="E3504" t="str">
            <v>제주조업담당</v>
          </cell>
          <cell r="F3504" t="str">
            <v>4121</v>
          </cell>
          <cell r="G3504" t="str">
            <v>4121</v>
          </cell>
          <cell r="H3504" t="str">
            <v>19890413</v>
          </cell>
          <cell r="I3504">
            <v>14173390</v>
          </cell>
        </row>
        <row r="3505">
          <cell r="A3505" t="str">
            <v>9304953</v>
          </cell>
          <cell r="B3505" t="str">
            <v>박　영　종</v>
          </cell>
          <cell r="C3505" t="str">
            <v>9304953박　영　종</v>
          </cell>
          <cell r="D3505" t="str">
            <v>HB30</v>
          </cell>
          <cell r="E3505" t="str">
            <v>제주조업담당</v>
          </cell>
          <cell r="F3505" t="str">
            <v>4121</v>
          </cell>
          <cell r="G3505" t="str">
            <v>4121</v>
          </cell>
          <cell r="H3505" t="str">
            <v>19930801</v>
          </cell>
          <cell r="I3505">
            <v>8592466</v>
          </cell>
        </row>
        <row r="3506">
          <cell r="A3506" t="str">
            <v>8801133</v>
          </cell>
          <cell r="B3506" t="str">
            <v>박　옥　석</v>
          </cell>
          <cell r="C3506" t="str">
            <v>8801133박　옥　석</v>
          </cell>
          <cell r="D3506" t="str">
            <v>HB30</v>
          </cell>
          <cell r="E3506" t="str">
            <v>제주조업담당</v>
          </cell>
          <cell r="F3506" t="str">
            <v>4121</v>
          </cell>
          <cell r="G3506" t="str">
            <v>4121</v>
          </cell>
          <cell r="H3506" t="str">
            <v>19880623</v>
          </cell>
          <cell r="I3506">
            <v>17712580</v>
          </cell>
        </row>
        <row r="3507">
          <cell r="A3507" t="str">
            <v>8100336</v>
          </cell>
          <cell r="B3507" t="str">
            <v>박　윤　석</v>
          </cell>
          <cell r="C3507" t="str">
            <v>8100336박　윤　석</v>
          </cell>
          <cell r="D3507" t="str">
            <v>HB30</v>
          </cell>
          <cell r="E3507" t="str">
            <v>제주조업담당</v>
          </cell>
          <cell r="F3507" t="str">
            <v>4121</v>
          </cell>
          <cell r="G3507" t="str">
            <v>4121</v>
          </cell>
          <cell r="H3507" t="str">
            <v>19810920</v>
          </cell>
          <cell r="I3507">
            <v>31074834</v>
          </cell>
        </row>
        <row r="3508">
          <cell r="A3508" t="str">
            <v>9350234</v>
          </cell>
          <cell r="B3508" t="str">
            <v>박　인　숙</v>
          </cell>
          <cell r="C3508" t="str">
            <v>9350234박　인　숙</v>
          </cell>
          <cell r="D3508" t="str">
            <v>HB30</v>
          </cell>
          <cell r="E3508" t="str">
            <v>제주조업담당</v>
          </cell>
          <cell r="F3508" t="str">
            <v>4121</v>
          </cell>
          <cell r="G3508" t="str">
            <v>4121</v>
          </cell>
          <cell r="H3508" t="str">
            <v>19930301</v>
          </cell>
          <cell r="I3508">
            <v>6502108</v>
          </cell>
        </row>
        <row r="3509">
          <cell r="A3509" t="str">
            <v>9301184</v>
          </cell>
          <cell r="B3509" t="str">
            <v>박　진　우</v>
          </cell>
          <cell r="C3509" t="str">
            <v>9301184박　진　우</v>
          </cell>
          <cell r="D3509" t="str">
            <v>HB30</v>
          </cell>
          <cell r="E3509" t="str">
            <v>제주조업담당</v>
          </cell>
          <cell r="F3509" t="str">
            <v>4121</v>
          </cell>
          <cell r="G3509" t="str">
            <v>4121</v>
          </cell>
          <cell r="H3509" t="str">
            <v>19930216</v>
          </cell>
          <cell r="I3509">
            <v>9634726</v>
          </cell>
        </row>
        <row r="3510">
          <cell r="A3510" t="str">
            <v>9207178</v>
          </cell>
          <cell r="B3510" t="str">
            <v>박　철　호</v>
          </cell>
          <cell r="C3510" t="str">
            <v>9207178박　철　호</v>
          </cell>
          <cell r="D3510" t="str">
            <v>HB30</v>
          </cell>
          <cell r="E3510" t="str">
            <v>제주조업담당</v>
          </cell>
          <cell r="F3510" t="str">
            <v>4121</v>
          </cell>
          <cell r="G3510" t="str">
            <v>4121</v>
          </cell>
          <cell r="H3510" t="str">
            <v>19921101</v>
          </cell>
          <cell r="I3510">
            <v>8113752</v>
          </cell>
        </row>
        <row r="3511">
          <cell r="A3511" t="str">
            <v>7900108</v>
          </cell>
          <cell r="B3511" t="str">
            <v>박　홍　인</v>
          </cell>
          <cell r="C3511" t="str">
            <v>7900108박　홍　인</v>
          </cell>
          <cell r="D3511" t="str">
            <v>HB30</v>
          </cell>
          <cell r="E3511" t="str">
            <v>제주조업담당</v>
          </cell>
          <cell r="F3511" t="str">
            <v>4121</v>
          </cell>
          <cell r="G3511" t="str">
            <v>4121</v>
          </cell>
          <cell r="H3511" t="str">
            <v>19790301</v>
          </cell>
          <cell r="I3511">
            <v>34643673</v>
          </cell>
        </row>
        <row r="3512">
          <cell r="A3512" t="str">
            <v>8850273</v>
          </cell>
          <cell r="B3512" t="str">
            <v>배　성　렬</v>
          </cell>
          <cell r="C3512" t="str">
            <v>8850273배　성　렬</v>
          </cell>
          <cell r="D3512" t="str">
            <v>HB30</v>
          </cell>
          <cell r="E3512" t="str">
            <v>제주조업담당</v>
          </cell>
          <cell r="F3512" t="str">
            <v>4121</v>
          </cell>
          <cell r="G3512" t="str">
            <v>4121</v>
          </cell>
          <cell r="H3512" t="str">
            <v>19881101</v>
          </cell>
          <cell r="I3512">
            <v>12544785</v>
          </cell>
        </row>
        <row r="3513">
          <cell r="A3513" t="str">
            <v>9151391</v>
          </cell>
          <cell r="B3513" t="str">
            <v>배　춘　홍</v>
          </cell>
          <cell r="C3513" t="str">
            <v>9151391배　춘　홍</v>
          </cell>
          <cell r="D3513" t="str">
            <v>HB30</v>
          </cell>
          <cell r="E3513" t="str">
            <v>제주조업담당</v>
          </cell>
          <cell r="F3513" t="str">
            <v>4121</v>
          </cell>
          <cell r="G3513" t="str">
            <v>4121</v>
          </cell>
          <cell r="H3513" t="str">
            <v>19910701</v>
          </cell>
          <cell r="I3513">
            <v>10749879</v>
          </cell>
        </row>
        <row r="3514">
          <cell r="A3514" t="str">
            <v>9307530</v>
          </cell>
          <cell r="B3514" t="str">
            <v>백　상　훈</v>
          </cell>
          <cell r="C3514" t="str">
            <v>9307530백　상　훈</v>
          </cell>
          <cell r="D3514" t="str">
            <v>HB30</v>
          </cell>
          <cell r="E3514" t="str">
            <v>제주조업담당</v>
          </cell>
          <cell r="F3514" t="str">
            <v>4121</v>
          </cell>
          <cell r="G3514" t="str">
            <v>4121</v>
          </cell>
          <cell r="H3514" t="str">
            <v>19931116</v>
          </cell>
          <cell r="I3514">
            <v>7506230</v>
          </cell>
        </row>
        <row r="3515">
          <cell r="A3515" t="str">
            <v>9450292</v>
          </cell>
          <cell r="B3515" t="str">
            <v>부　윤　정</v>
          </cell>
          <cell r="C3515" t="str">
            <v>9450292부　윤　정</v>
          </cell>
          <cell r="D3515" t="str">
            <v>HB30</v>
          </cell>
          <cell r="E3515" t="str">
            <v>제주조업담당</v>
          </cell>
          <cell r="F3515" t="str">
            <v>4121</v>
          </cell>
          <cell r="G3515" t="str">
            <v>4121</v>
          </cell>
          <cell r="H3515" t="str">
            <v>19940201</v>
          </cell>
          <cell r="I3515">
            <v>7089618</v>
          </cell>
        </row>
        <row r="3516">
          <cell r="A3516" t="str">
            <v>8500814</v>
          </cell>
          <cell r="B3516" t="str">
            <v>부　종　림</v>
          </cell>
          <cell r="C3516" t="str">
            <v>8500814부　종　림</v>
          </cell>
          <cell r="D3516" t="str">
            <v>HB30</v>
          </cell>
          <cell r="E3516" t="str">
            <v>제주조업담당</v>
          </cell>
          <cell r="F3516" t="str">
            <v>4121</v>
          </cell>
          <cell r="G3516" t="str">
            <v>4121</v>
          </cell>
          <cell r="H3516" t="str">
            <v>19850305</v>
          </cell>
          <cell r="I3516">
            <v>24798866</v>
          </cell>
        </row>
        <row r="3517">
          <cell r="A3517" t="str">
            <v>9152515</v>
          </cell>
          <cell r="B3517" t="str">
            <v>서　은　숙</v>
          </cell>
          <cell r="C3517" t="str">
            <v>9152515서　은　숙</v>
          </cell>
          <cell r="D3517" t="str">
            <v>HB30</v>
          </cell>
          <cell r="E3517" t="str">
            <v>제주조업담당</v>
          </cell>
          <cell r="F3517" t="str">
            <v>4121</v>
          </cell>
          <cell r="G3517" t="str">
            <v>4121</v>
          </cell>
          <cell r="H3517" t="str">
            <v>19911101</v>
          </cell>
          <cell r="I3517">
            <v>8638063</v>
          </cell>
        </row>
        <row r="3518">
          <cell r="A3518" t="str">
            <v>9307124</v>
          </cell>
          <cell r="B3518" t="str">
            <v>서　창　국</v>
          </cell>
          <cell r="C3518" t="str">
            <v>9307124서　창　국</v>
          </cell>
          <cell r="D3518" t="str">
            <v>HB30</v>
          </cell>
          <cell r="E3518" t="str">
            <v>제주조업담당</v>
          </cell>
          <cell r="F3518" t="str">
            <v>4121</v>
          </cell>
          <cell r="G3518" t="str">
            <v>4121</v>
          </cell>
          <cell r="H3518" t="str">
            <v>19931116</v>
          </cell>
          <cell r="I3518">
            <v>8201690</v>
          </cell>
        </row>
        <row r="3519">
          <cell r="A3519" t="str">
            <v>8902708</v>
          </cell>
          <cell r="B3519" t="str">
            <v>성　기　훈</v>
          </cell>
          <cell r="C3519" t="str">
            <v>8902708성　기　훈</v>
          </cell>
          <cell r="D3519" t="str">
            <v>HB30</v>
          </cell>
          <cell r="E3519" t="str">
            <v>제주조업담당</v>
          </cell>
          <cell r="F3519" t="str">
            <v>4121</v>
          </cell>
          <cell r="G3519" t="str">
            <v>4121</v>
          </cell>
          <cell r="H3519" t="str">
            <v>19890201</v>
          </cell>
          <cell r="I3519">
            <v>16450367</v>
          </cell>
        </row>
        <row r="3520">
          <cell r="A3520" t="str">
            <v>8900998</v>
          </cell>
          <cell r="B3520" t="str">
            <v>손　영　보</v>
          </cell>
          <cell r="C3520" t="str">
            <v>8900998손　영　보</v>
          </cell>
          <cell r="D3520" t="str">
            <v>HB30</v>
          </cell>
          <cell r="E3520" t="str">
            <v>제주조업담당</v>
          </cell>
          <cell r="F3520" t="str">
            <v>4121</v>
          </cell>
          <cell r="G3520" t="str">
            <v>4121</v>
          </cell>
          <cell r="H3520" t="str">
            <v>19880908</v>
          </cell>
          <cell r="I3520">
            <v>16968607</v>
          </cell>
        </row>
        <row r="3521">
          <cell r="A3521" t="str">
            <v>9002507</v>
          </cell>
          <cell r="B3521" t="str">
            <v>송　병　철</v>
          </cell>
          <cell r="C3521" t="str">
            <v>9002507송　병　철</v>
          </cell>
          <cell r="D3521" t="str">
            <v>HB30</v>
          </cell>
          <cell r="E3521" t="str">
            <v>제주조업담당</v>
          </cell>
          <cell r="F3521" t="str">
            <v>4121</v>
          </cell>
          <cell r="G3521" t="str">
            <v>4121</v>
          </cell>
          <cell r="H3521" t="str">
            <v>19900122</v>
          </cell>
          <cell r="I3521">
            <v>13398736</v>
          </cell>
        </row>
        <row r="3522">
          <cell r="A3522" t="str">
            <v>9400566</v>
          </cell>
          <cell r="B3522" t="str">
            <v>송　영　호</v>
          </cell>
          <cell r="C3522" t="str">
            <v>9400566송　영　호</v>
          </cell>
          <cell r="D3522" t="str">
            <v>HB30</v>
          </cell>
          <cell r="E3522" t="str">
            <v>제주조업담당</v>
          </cell>
          <cell r="F3522" t="str">
            <v>4121</v>
          </cell>
          <cell r="G3522" t="str">
            <v>4121</v>
          </cell>
          <cell r="H3522" t="str">
            <v>19940120</v>
          </cell>
          <cell r="I3522">
            <v>7254142</v>
          </cell>
        </row>
        <row r="3523">
          <cell r="A3523" t="str">
            <v>9202770</v>
          </cell>
          <cell r="B3523" t="str">
            <v>송　용　철</v>
          </cell>
          <cell r="C3523" t="str">
            <v>9202770송　용　철</v>
          </cell>
          <cell r="D3523" t="str">
            <v>HB30</v>
          </cell>
          <cell r="E3523" t="str">
            <v>제주조업담당</v>
          </cell>
          <cell r="F3523" t="str">
            <v>4121</v>
          </cell>
          <cell r="G3523" t="e">
            <v>#N/A</v>
          </cell>
          <cell r="H3523" t="str">
            <v>19920501</v>
          </cell>
          <cell r="I3523">
            <v>9116630</v>
          </cell>
          <cell r="J3523" t="str">
            <v>5 월</v>
          </cell>
          <cell r="K3523">
            <v>9685463</v>
          </cell>
        </row>
        <row r="3524">
          <cell r="A3524" t="str">
            <v>9403356</v>
          </cell>
          <cell r="B3524" t="str">
            <v>송　진　영</v>
          </cell>
          <cell r="C3524" t="str">
            <v>9403356송　진　영</v>
          </cell>
          <cell r="D3524" t="str">
            <v>HB30</v>
          </cell>
          <cell r="E3524" t="str">
            <v>제주조업담당</v>
          </cell>
          <cell r="F3524" t="str">
            <v>4121</v>
          </cell>
          <cell r="G3524" t="str">
            <v>4121</v>
          </cell>
          <cell r="H3524" t="str">
            <v>19940519</v>
          </cell>
          <cell r="I3524">
            <v>7168793</v>
          </cell>
        </row>
        <row r="3525">
          <cell r="A3525" t="str">
            <v>8601311</v>
          </cell>
          <cell r="B3525" t="str">
            <v>송　창　훈</v>
          </cell>
          <cell r="C3525" t="str">
            <v>8601311송　창　훈</v>
          </cell>
          <cell r="D3525" t="str">
            <v>HB30</v>
          </cell>
          <cell r="E3525" t="str">
            <v>제주조업담당</v>
          </cell>
          <cell r="F3525" t="str">
            <v>4121</v>
          </cell>
          <cell r="G3525" t="str">
            <v>4121</v>
          </cell>
          <cell r="H3525" t="str">
            <v>19981201</v>
          </cell>
          <cell r="I3525">
            <v>1657636</v>
          </cell>
        </row>
        <row r="3526">
          <cell r="A3526" t="str">
            <v>9206471</v>
          </cell>
          <cell r="B3526" t="str">
            <v>신　맹　범</v>
          </cell>
          <cell r="C3526" t="str">
            <v>9206471신　맹　범</v>
          </cell>
          <cell r="D3526" t="str">
            <v>HB30</v>
          </cell>
          <cell r="E3526" t="str">
            <v>제주조업담당</v>
          </cell>
          <cell r="F3526" t="str">
            <v>4121</v>
          </cell>
          <cell r="G3526" t="str">
            <v>4121</v>
          </cell>
          <cell r="H3526" t="str">
            <v>19921016</v>
          </cell>
          <cell r="I3526">
            <v>8848372</v>
          </cell>
        </row>
        <row r="3527">
          <cell r="A3527" t="str">
            <v>8501242</v>
          </cell>
          <cell r="B3527" t="str">
            <v>신　상　국</v>
          </cell>
          <cell r="C3527" t="str">
            <v>8501242신　상　국</v>
          </cell>
          <cell r="D3527" t="str">
            <v>HB30</v>
          </cell>
          <cell r="E3527" t="str">
            <v>제주조업담당</v>
          </cell>
          <cell r="F3527" t="str">
            <v>4121</v>
          </cell>
          <cell r="G3527" t="str">
            <v>4121</v>
          </cell>
          <cell r="H3527" t="str">
            <v>19850501</v>
          </cell>
          <cell r="I3527">
            <v>24520460</v>
          </cell>
        </row>
        <row r="3528">
          <cell r="A3528" t="str">
            <v>7900334</v>
          </cell>
          <cell r="B3528" t="str">
            <v>신　상　우</v>
          </cell>
          <cell r="C3528" t="str">
            <v>7900334신　상　우</v>
          </cell>
          <cell r="D3528" t="str">
            <v>HB30</v>
          </cell>
          <cell r="E3528" t="str">
            <v>제주조업담당</v>
          </cell>
          <cell r="F3528" t="str">
            <v>4121</v>
          </cell>
          <cell r="G3528" t="str">
            <v>4121</v>
          </cell>
          <cell r="H3528" t="str">
            <v>19790510</v>
          </cell>
          <cell r="I3528">
            <v>31917961</v>
          </cell>
        </row>
        <row r="3529">
          <cell r="A3529" t="str">
            <v>8700390</v>
          </cell>
          <cell r="B3529" t="str">
            <v>신　철　수</v>
          </cell>
          <cell r="C3529" t="str">
            <v>8700390신　철　수</v>
          </cell>
          <cell r="D3529" t="str">
            <v>HB30</v>
          </cell>
          <cell r="E3529" t="str">
            <v>제주조업담당</v>
          </cell>
          <cell r="F3529" t="str">
            <v>4121</v>
          </cell>
          <cell r="G3529" t="str">
            <v>4121</v>
          </cell>
          <cell r="H3529" t="str">
            <v>19870501</v>
          </cell>
          <cell r="I3529">
            <v>18282818</v>
          </cell>
        </row>
        <row r="3530">
          <cell r="A3530" t="str">
            <v>9206550</v>
          </cell>
          <cell r="B3530" t="str">
            <v>신　충　호</v>
          </cell>
          <cell r="C3530" t="str">
            <v>9206550신　충　호</v>
          </cell>
          <cell r="D3530" t="str">
            <v>HB30</v>
          </cell>
          <cell r="E3530" t="str">
            <v>제주조업담당</v>
          </cell>
          <cell r="F3530" t="str">
            <v>4121</v>
          </cell>
          <cell r="G3530" t="str">
            <v>4121</v>
          </cell>
          <cell r="H3530" t="str">
            <v>19921016</v>
          </cell>
          <cell r="I3530">
            <v>9858807</v>
          </cell>
        </row>
        <row r="3531">
          <cell r="A3531" t="str">
            <v>9403672</v>
          </cell>
          <cell r="B3531" t="str">
            <v>신　호　선</v>
          </cell>
          <cell r="C3531" t="str">
            <v>9403672신　호　선</v>
          </cell>
          <cell r="D3531" t="str">
            <v>HB30</v>
          </cell>
          <cell r="E3531" t="str">
            <v>제주조업담당</v>
          </cell>
          <cell r="F3531" t="str">
            <v>4121</v>
          </cell>
          <cell r="G3531" t="str">
            <v>4121</v>
          </cell>
          <cell r="H3531" t="str">
            <v>19940601</v>
          </cell>
          <cell r="I3531">
            <v>7190545</v>
          </cell>
        </row>
        <row r="3532">
          <cell r="A3532" t="str">
            <v>9005376</v>
          </cell>
          <cell r="B3532" t="str">
            <v>안　병　용</v>
          </cell>
          <cell r="C3532" t="str">
            <v>9005376안　병　용</v>
          </cell>
          <cell r="D3532" t="str">
            <v>HB30</v>
          </cell>
          <cell r="E3532" t="str">
            <v>제주조업담당</v>
          </cell>
          <cell r="F3532" t="str">
            <v>4121</v>
          </cell>
          <cell r="G3532" t="str">
            <v>4121</v>
          </cell>
          <cell r="H3532" t="str">
            <v>19901217</v>
          </cell>
          <cell r="I3532">
            <v>13444419</v>
          </cell>
        </row>
        <row r="3533">
          <cell r="A3533" t="str">
            <v>7900841</v>
          </cell>
          <cell r="B3533" t="str">
            <v>양　동　준</v>
          </cell>
          <cell r="C3533" t="str">
            <v>7900841양　동　준</v>
          </cell>
          <cell r="D3533" t="str">
            <v>HB30</v>
          </cell>
          <cell r="E3533" t="str">
            <v>제주조업담당</v>
          </cell>
          <cell r="F3533" t="str">
            <v>4121</v>
          </cell>
          <cell r="G3533" t="str">
            <v>4121</v>
          </cell>
          <cell r="H3533" t="str">
            <v>19791116</v>
          </cell>
          <cell r="I3533">
            <v>35167266</v>
          </cell>
        </row>
        <row r="3534">
          <cell r="A3534" t="str">
            <v>9203883</v>
          </cell>
          <cell r="B3534" t="str">
            <v>양　용　선</v>
          </cell>
          <cell r="C3534" t="str">
            <v>9203883양　용　선</v>
          </cell>
          <cell r="D3534" t="str">
            <v>HB30</v>
          </cell>
          <cell r="E3534" t="str">
            <v>제주조업담당</v>
          </cell>
          <cell r="F3534" t="str">
            <v>4121</v>
          </cell>
          <cell r="G3534" t="str">
            <v>4121</v>
          </cell>
          <cell r="H3534" t="str">
            <v>19920701</v>
          </cell>
          <cell r="I3534">
            <v>9607101</v>
          </cell>
        </row>
        <row r="3535">
          <cell r="A3535" t="str">
            <v>9600557</v>
          </cell>
          <cell r="B3535" t="str">
            <v>양　인　종</v>
          </cell>
          <cell r="C3535" t="str">
            <v>9600557양　인　종</v>
          </cell>
          <cell r="D3535" t="str">
            <v>HB30</v>
          </cell>
          <cell r="E3535" t="str">
            <v>제주조업담당</v>
          </cell>
          <cell r="F3535" t="str">
            <v>4121</v>
          </cell>
          <cell r="G3535" t="e">
            <v>#N/A</v>
          </cell>
          <cell r="H3535" t="str">
            <v>19960408</v>
          </cell>
          <cell r="I3535">
            <v>4774671</v>
          </cell>
          <cell r="J3535" t="str">
            <v>5 월</v>
          </cell>
          <cell r="K3535">
            <v>5238087</v>
          </cell>
        </row>
        <row r="3536">
          <cell r="A3536" t="str">
            <v>8600321</v>
          </cell>
          <cell r="B3536" t="str">
            <v>오　경　주</v>
          </cell>
          <cell r="C3536" t="str">
            <v>8600321오　경　주</v>
          </cell>
          <cell r="D3536" t="str">
            <v>HB30</v>
          </cell>
          <cell r="E3536" t="str">
            <v>제주조업담당</v>
          </cell>
          <cell r="F3536" t="str">
            <v>4121</v>
          </cell>
          <cell r="G3536" t="str">
            <v>4121</v>
          </cell>
          <cell r="H3536" t="str">
            <v>19870907</v>
          </cell>
          <cell r="I3536">
            <v>19069210</v>
          </cell>
        </row>
        <row r="3537">
          <cell r="A3537" t="str">
            <v>9304964</v>
          </cell>
          <cell r="B3537" t="str">
            <v>오　승　준</v>
          </cell>
          <cell r="C3537" t="str">
            <v>9304964오　승　준</v>
          </cell>
          <cell r="D3537" t="str">
            <v>HB30</v>
          </cell>
          <cell r="E3537" t="str">
            <v>제주조업담당</v>
          </cell>
          <cell r="F3537" t="str">
            <v>4121</v>
          </cell>
          <cell r="G3537" t="str">
            <v>4121</v>
          </cell>
          <cell r="H3537" t="str">
            <v>19930801</v>
          </cell>
          <cell r="I3537">
            <v>8417494</v>
          </cell>
        </row>
        <row r="3538">
          <cell r="A3538" t="str">
            <v>9404932</v>
          </cell>
          <cell r="B3538" t="str">
            <v>오　창　근</v>
          </cell>
          <cell r="C3538" t="str">
            <v>9404932오　창　근</v>
          </cell>
          <cell r="D3538" t="str">
            <v>HB30</v>
          </cell>
          <cell r="E3538" t="str">
            <v>제주조업담당</v>
          </cell>
          <cell r="F3538" t="str">
            <v>4121</v>
          </cell>
          <cell r="G3538" t="str">
            <v>4121</v>
          </cell>
          <cell r="H3538" t="str">
            <v>19940801</v>
          </cell>
          <cell r="I3538">
            <v>6340796</v>
          </cell>
        </row>
        <row r="3539">
          <cell r="A3539" t="str">
            <v>7800063</v>
          </cell>
          <cell r="B3539" t="str">
            <v>윤　경　욱</v>
          </cell>
          <cell r="C3539" t="str">
            <v>7800063윤　경　욱</v>
          </cell>
          <cell r="D3539" t="str">
            <v>HB30</v>
          </cell>
          <cell r="E3539" t="str">
            <v>제주조업담당</v>
          </cell>
          <cell r="F3539" t="str">
            <v>4121</v>
          </cell>
          <cell r="G3539" t="str">
            <v>4121</v>
          </cell>
          <cell r="H3539" t="str">
            <v>19780201</v>
          </cell>
          <cell r="I3539">
            <v>36780667</v>
          </cell>
        </row>
        <row r="3540">
          <cell r="A3540" t="str">
            <v>9451506</v>
          </cell>
          <cell r="B3540" t="str">
            <v>윤　선　정</v>
          </cell>
          <cell r="C3540" t="str">
            <v>9451506윤　선　정</v>
          </cell>
          <cell r="D3540" t="str">
            <v>HB30</v>
          </cell>
          <cell r="E3540" t="str">
            <v>제주조업담당</v>
          </cell>
          <cell r="F3540" t="str">
            <v>4121</v>
          </cell>
          <cell r="G3540" t="str">
            <v>4121</v>
          </cell>
          <cell r="H3540" t="str">
            <v>19940701</v>
          </cell>
          <cell r="I3540">
            <v>5047815</v>
          </cell>
        </row>
        <row r="3541">
          <cell r="A3541" t="str">
            <v>8702212</v>
          </cell>
          <cell r="B3541" t="str">
            <v>윤　용　준</v>
          </cell>
          <cell r="C3541" t="str">
            <v>8702212윤　용　준</v>
          </cell>
          <cell r="D3541" t="str">
            <v>HB30</v>
          </cell>
          <cell r="E3541" t="str">
            <v>제주조업담당</v>
          </cell>
          <cell r="F3541" t="str">
            <v>4121</v>
          </cell>
          <cell r="G3541" t="str">
            <v>4121</v>
          </cell>
          <cell r="H3541" t="str">
            <v>19871020</v>
          </cell>
          <cell r="I3541">
            <v>17961340</v>
          </cell>
        </row>
        <row r="3542">
          <cell r="A3542" t="str">
            <v>8200326</v>
          </cell>
          <cell r="B3542" t="str">
            <v>이　강　술</v>
          </cell>
          <cell r="C3542" t="str">
            <v>8200326이　강　술</v>
          </cell>
          <cell r="D3542" t="str">
            <v>HB30</v>
          </cell>
          <cell r="E3542" t="str">
            <v>제주조업담당</v>
          </cell>
          <cell r="F3542" t="str">
            <v>4121</v>
          </cell>
          <cell r="G3542" t="str">
            <v>4121</v>
          </cell>
          <cell r="H3542" t="str">
            <v>19820320</v>
          </cell>
          <cell r="I3542">
            <v>31899106</v>
          </cell>
        </row>
        <row r="3543">
          <cell r="A3543" t="str">
            <v>8000717</v>
          </cell>
          <cell r="B3543" t="str">
            <v>이　근　백</v>
          </cell>
          <cell r="C3543" t="str">
            <v>8000717이　근　백</v>
          </cell>
          <cell r="D3543" t="str">
            <v>HB30</v>
          </cell>
          <cell r="E3543" t="str">
            <v>제주조업담당</v>
          </cell>
          <cell r="F3543" t="str">
            <v>4121</v>
          </cell>
          <cell r="G3543" t="str">
            <v>4121</v>
          </cell>
          <cell r="H3543" t="str">
            <v>19801230</v>
          </cell>
          <cell r="I3543">
            <v>40142559</v>
          </cell>
        </row>
        <row r="3544">
          <cell r="A3544" t="str">
            <v>7800570</v>
          </cell>
          <cell r="B3544" t="str">
            <v>이　덕　우</v>
          </cell>
          <cell r="C3544" t="str">
            <v>7800570이　덕　우</v>
          </cell>
          <cell r="D3544" t="str">
            <v>HB30</v>
          </cell>
          <cell r="E3544" t="str">
            <v>제주조업담당</v>
          </cell>
          <cell r="F3544" t="str">
            <v>4121</v>
          </cell>
          <cell r="G3544" t="str">
            <v>4121</v>
          </cell>
          <cell r="H3544" t="str">
            <v>19780707</v>
          </cell>
          <cell r="I3544">
            <v>39135881</v>
          </cell>
        </row>
        <row r="3545">
          <cell r="A3545" t="str">
            <v>8800187</v>
          </cell>
          <cell r="B3545" t="str">
            <v>이　도　영</v>
          </cell>
          <cell r="C3545" t="str">
            <v>8800187이　도　영</v>
          </cell>
          <cell r="D3545" t="str">
            <v>HB30</v>
          </cell>
          <cell r="E3545" t="str">
            <v>제주조업담당</v>
          </cell>
          <cell r="F3545" t="str">
            <v>4121</v>
          </cell>
          <cell r="G3545" t="str">
            <v>4121</v>
          </cell>
          <cell r="H3545" t="str">
            <v>19880411</v>
          </cell>
          <cell r="I3545">
            <v>18470724</v>
          </cell>
        </row>
        <row r="3546">
          <cell r="A3546" t="str">
            <v>7800120</v>
          </cell>
          <cell r="B3546" t="str">
            <v>이　동　근</v>
          </cell>
          <cell r="C3546" t="str">
            <v>7800120이　동　근</v>
          </cell>
          <cell r="D3546" t="str">
            <v>HB30</v>
          </cell>
          <cell r="E3546" t="str">
            <v>제주조업담당</v>
          </cell>
          <cell r="F3546" t="str">
            <v>4121</v>
          </cell>
          <cell r="G3546" t="str">
            <v>4121</v>
          </cell>
          <cell r="H3546" t="str">
            <v>19780301</v>
          </cell>
          <cell r="I3546">
            <v>34823680</v>
          </cell>
        </row>
        <row r="3547">
          <cell r="A3547" t="str">
            <v>9204783</v>
          </cell>
          <cell r="B3547" t="str">
            <v>이　동　학</v>
          </cell>
          <cell r="C3547" t="str">
            <v>9204783이　동　학</v>
          </cell>
          <cell r="D3547" t="str">
            <v>HB30</v>
          </cell>
          <cell r="E3547" t="str">
            <v>제주조업담당</v>
          </cell>
          <cell r="F3547" t="str">
            <v>4121</v>
          </cell>
          <cell r="G3547" t="str">
            <v>4121</v>
          </cell>
          <cell r="H3547" t="str">
            <v>19920801</v>
          </cell>
          <cell r="I3547">
            <v>8829433</v>
          </cell>
        </row>
        <row r="3548">
          <cell r="A3548" t="str">
            <v>7900830</v>
          </cell>
          <cell r="B3548" t="str">
            <v>이　명　호</v>
          </cell>
          <cell r="C3548" t="str">
            <v>7900830이　명　호</v>
          </cell>
          <cell r="D3548" t="str">
            <v>HB30</v>
          </cell>
          <cell r="E3548" t="str">
            <v>제주조업담당</v>
          </cell>
          <cell r="F3548" t="str">
            <v>4121</v>
          </cell>
          <cell r="G3548" t="str">
            <v>4121</v>
          </cell>
          <cell r="H3548" t="str">
            <v>19791116</v>
          </cell>
          <cell r="I3548">
            <v>34462615</v>
          </cell>
        </row>
        <row r="3549">
          <cell r="A3549" t="str">
            <v>7800906</v>
          </cell>
          <cell r="B3549" t="str">
            <v>이　상　훈</v>
          </cell>
          <cell r="C3549" t="str">
            <v>7800906이　상　훈</v>
          </cell>
          <cell r="D3549" t="str">
            <v>HB30</v>
          </cell>
          <cell r="E3549" t="str">
            <v>제주조업담당</v>
          </cell>
          <cell r="F3549" t="str">
            <v>4121</v>
          </cell>
          <cell r="G3549" t="str">
            <v>4121</v>
          </cell>
          <cell r="H3549" t="str">
            <v>19781015</v>
          </cell>
          <cell r="I3549">
            <v>39539732</v>
          </cell>
        </row>
        <row r="3550">
          <cell r="A3550" t="str">
            <v>9102464</v>
          </cell>
          <cell r="B3550" t="str">
            <v>이　상　훈</v>
          </cell>
          <cell r="C3550" t="str">
            <v>9102464이　상　훈</v>
          </cell>
          <cell r="D3550" t="str">
            <v>HB30</v>
          </cell>
          <cell r="E3550" t="str">
            <v>제주조업담당</v>
          </cell>
          <cell r="F3550" t="str">
            <v>4121</v>
          </cell>
          <cell r="G3550" t="str">
            <v>4121</v>
          </cell>
          <cell r="H3550" t="str">
            <v>19910701</v>
          </cell>
          <cell r="I3550">
            <v>9768872</v>
          </cell>
        </row>
        <row r="3551">
          <cell r="A3551" t="str">
            <v>8200350</v>
          </cell>
          <cell r="B3551" t="str">
            <v>이　세　환</v>
          </cell>
          <cell r="C3551" t="str">
            <v>8200350이　세　환</v>
          </cell>
          <cell r="D3551" t="str">
            <v>HB30</v>
          </cell>
          <cell r="E3551" t="str">
            <v>제주조업담당</v>
          </cell>
          <cell r="F3551" t="str">
            <v>4121</v>
          </cell>
          <cell r="G3551" t="str">
            <v>4121</v>
          </cell>
          <cell r="H3551" t="str">
            <v>19981201</v>
          </cell>
          <cell r="I3551">
            <v>1873351</v>
          </cell>
        </row>
        <row r="3552">
          <cell r="A3552" t="str">
            <v>8903441</v>
          </cell>
          <cell r="B3552" t="str">
            <v>이　승　국</v>
          </cell>
          <cell r="C3552" t="str">
            <v>8903441이　승　국</v>
          </cell>
          <cell r="D3552" t="str">
            <v>HB30</v>
          </cell>
          <cell r="E3552" t="str">
            <v>제주조업담당</v>
          </cell>
          <cell r="F3552" t="str">
            <v>4121</v>
          </cell>
          <cell r="G3552" t="str">
            <v>4121</v>
          </cell>
          <cell r="H3552" t="str">
            <v>19890410</v>
          </cell>
          <cell r="I3552">
            <v>16202600</v>
          </cell>
        </row>
        <row r="3553">
          <cell r="A3553" t="str">
            <v>9501827</v>
          </cell>
          <cell r="B3553" t="str">
            <v>이　승　협</v>
          </cell>
          <cell r="C3553" t="str">
            <v>9501827이　승　협</v>
          </cell>
          <cell r="D3553" t="str">
            <v>HB30</v>
          </cell>
          <cell r="E3553" t="str">
            <v>제주조업담당</v>
          </cell>
          <cell r="F3553" t="str">
            <v>4121</v>
          </cell>
          <cell r="G3553" t="str">
            <v>4121</v>
          </cell>
          <cell r="H3553" t="str">
            <v>19950720</v>
          </cell>
          <cell r="I3553">
            <v>5184901</v>
          </cell>
        </row>
        <row r="3554">
          <cell r="A3554" t="str">
            <v>8300970</v>
          </cell>
          <cell r="B3554" t="str">
            <v>이　영　근</v>
          </cell>
          <cell r="C3554" t="str">
            <v>8300970이　영　근</v>
          </cell>
          <cell r="D3554" t="str">
            <v>HB30</v>
          </cell>
          <cell r="E3554" t="str">
            <v>제주조업담당</v>
          </cell>
          <cell r="F3554" t="str">
            <v>4121</v>
          </cell>
          <cell r="G3554" t="str">
            <v>4121</v>
          </cell>
          <cell r="H3554" t="str">
            <v>19981001</v>
          </cell>
          <cell r="I3554">
            <v>1982332</v>
          </cell>
        </row>
        <row r="3555">
          <cell r="A3555" t="str">
            <v>7300552</v>
          </cell>
          <cell r="B3555" t="str">
            <v>이　종　순</v>
          </cell>
          <cell r="C3555" t="str">
            <v>7300552이　종　순</v>
          </cell>
          <cell r="D3555" t="str">
            <v>HB30</v>
          </cell>
          <cell r="E3555" t="str">
            <v>제주조업담당</v>
          </cell>
          <cell r="F3555" t="str">
            <v>4121</v>
          </cell>
          <cell r="G3555" t="str">
            <v>4121</v>
          </cell>
          <cell r="H3555" t="str">
            <v>19731122</v>
          </cell>
          <cell r="I3555">
            <v>45952119</v>
          </cell>
        </row>
        <row r="3556">
          <cell r="A3556" t="str">
            <v>8400385</v>
          </cell>
          <cell r="B3556" t="str">
            <v>이　창　두</v>
          </cell>
          <cell r="C3556" t="str">
            <v>8400385이　창　두</v>
          </cell>
          <cell r="D3556" t="str">
            <v>HB30</v>
          </cell>
          <cell r="E3556" t="str">
            <v>제주조업담당</v>
          </cell>
          <cell r="F3556" t="str">
            <v>4121</v>
          </cell>
          <cell r="G3556" t="str">
            <v>4121</v>
          </cell>
          <cell r="H3556" t="str">
            <v>19840510</v>
          </cell>
          <cell r="I3556">
            <v>23444074</v>
          </cell>
        </row>
        <row r="3557">
          <cell r="A3557" t="str">
            <v>8902675</v>
          </cell>
          <cell r="B3557" t="str">
            <v>이　창　은</v>
          </cell>
          <cell r="C3557" t="str">
            <v>8902675이　창　은</v>
          </cell>
          <cell r="D3557" t="str">
            <v>HB30</v>
          </cell>
          <cell r="E3557" t="str">
            <v>제주조업담당</v>
          </cell>
          <cell r="F3557" t="str">
            <v>4121</v>
          </cell>
          <cell r="G3557" t="str">
            <v>4121</v>
          </cell>
          <cell r="H3557" t="str">
            <v>19890201</v>
          </cell>
          <cell r="I3557">
            <v>13472220</v>
          </cell>
        </row>
        <row r="3558">
          <cell r="A3558" t="str">
            <v>9002272</v>
          </cell>
          <cell r="B3558" t="str">
            <v>이　창　헌</v>
          </cell>
          <cell r="C3558" t="str">
            <v>9002272이　창　헌</v>
          </cell>
          <cell r="D3558" t="str">
            <v>HB30</v>
          </cell>
          <cell r="E3558" t="str">
            <v>제주조업담당</v>
          </cell>
          <cell r="F3558" t="str">
            <v>4121</v>
          </cell>
          <cell r="G3558" t="str">
            <v>4121</v>
          </cell>
          <cell r="H3558" t="str">
            <v>19891205</v>
          </cell>
          <cell r="I3558">
            <v>13710990</v>
          </cell>
        </row>
        <row r="3559">
          <cell r="A3559" t="str">
            <v>9301162</v>
          </cell>
          <cell r="B3559" t="str">
            <v>이　창　헌</v>
          </cell>
          <cell r="C3559" t="str">
            <v>9301162이　창　헌</v>
          </cell>
          <cell r="D3559" t="str">
            <v>HB30</v>
          </cell>
          <cell r="E3559" t="str">
            <v>제주조업담당</v>
          </cell>
          <cell r="F3559" t="str">
            <v>4121</v>
          </cell>
          <cell r="G3559" t="str">
            <v>4121</v>
          </cell>
          <cell r="H3559" t="str">
            <v>19930216</v>
          </cell>
          <cell r="I3559">
            <v>8118378</v>
          </cell>
        </row>
        <row r="3560">
          <cell r="A3560" t="str">
            <v>9403391</v>
          </cell>
          <cell r="B3560" t="str">
            <v>이　태　훈</v>
          </cell>
          <cell r="C3560" t="str">
            <v>9403391이　태　훈</v>
          </cell>
          <cell r="D3560" t="str">
            <v>HB30</v>
          </cell>
          <cell r="E3560" t="str">
            <v>제주조업담당</v>
          </cell>
          <cell r="F3560" t="str">
            <v>4121</v>
          </cell>
          <cell r="G3560" t="str">
            <v>4121</v>
          </cell>
          <cell r="H3560" t="str">
            <v>19940519</v>
          </cell>
          <cell r="I3560">
            <v>6146254</v>
          </cell>
        </row>
        <row r="3561">
          <cell r="A3561" t="str">
            <v>8501951</v>
          </cell>
          <cell r="B3561" t="str">
            <v>이　희　복</v>
          </cell>
          <cell r="C3561" t="str">
            <v>8501951이　희　복</v>
          </cell>
          <cell r="D3561" t="str">
            <v>HB30</v>
          </cell>
          <cell r="E3561" t="str">
            <v>제주조업담당</v>
          </cell>
          <cell r="F3561" t="str">
            <v>4121</v>
          </cell>
          <cell r="G3561" t="str">
            <v>4121</v>
          </cell>
          <cell r="H3561" t="str">
            <v>19850715</v>
          </cell>
          <cell r="I3561">
            <v>24155693</v>
          </cell>
        </row>
        <row r="3562">
          <cell r="A3562" t="str">
            <v>9000483</v>
          </cell>
          <cell r="B3562" t="str">
            <v>임　근　범</v>
          </cell>
          <cell r="C3562" t="str">
            <v>9000483임　근　범</v>
          </cell>
          <cell r="D3562" t="str">
            <v>HB30</v>
          </cell>
          <cell r="E3562" t="str">
            <v>제주조업담당</v>
          </cell>
          <cell r="F3562" t="str">
            <v>4121</v>
          </cell>
          <cell r="G3562" t="str">
            <v>4121</v>
          </cell>
          <cell r="H3562" t="str">
            <v>19890520</v>
          </cell>
          <cell r="I3562">
            <v>13534924</v>
          </cell>
        </row>
        <row r="3563">
          <cell r="A3563" t="str">
            <v>9550800</v>
          </cell>
          <cell r="B3563" t="str">
            <v>임　승　미</v>
          </cell>
          <cell r="C3563" t="str">
            <v>9550800임　승　미</v>
          </cell>
          <cell r="D3563" t="str">
            <v>HB30</v>
          </cell>
          <cell r="E3563" t="str">
            <v>제주조업담당</v>
          </cell>
          <cell r="F3563" t="str">
            <v>4121</v>
          </cell>
          <cell r="G3563" t="str">
            <v>4121</v>
          </cell>
          <cell r="H3563" t="str">
            <v>19951113</v>
          </cell>
          <cell r="I3563">
            <v>3695681</v>
          </cell>
        </row>
        <row r="3564">
          <cell r="A3564" t="str">
            <v>9206368</v>
          </cell>
          <cell r="B3564" t="str">
            <v>임　철　수</v>
          </cell>
          <cell r="C3564" t="str">
            <v>9206368임　철　수</v>
          </cell>
          <cell r="D3564" t="str">
            <v>HB30</v>
          </cell>
          <cell r="E3564" t="str">
            <v>제주조업담당</v>
          </cell>
          <cell r="F3564" t="str">
            <v>4121</v>
          </cell>
          <cell r="G3564" t="str">
            <v>4121</v>
          </cell>
          <cell r="H3564" t="str">
            <v>19921005</v>
          </cell>
          <cell r="I3564">
            <v>9750042</v>
          </cell>
        </row>
        <row r="3565">
          <cell r="A3565" t="str">
            <v>7300541</v>
          </cell>
          <cell r="B3565" t="str">
            <v>장　봉　섭</v>
          </cell>
          <cell r="C3565" t="str">
            <v>7300541장　봉　섭</v>
          </cell>
          <cell r="D3565" t="str">
            <v>HB30</v>
          </cell>
          <cell r="E3565" t="str">
            <v>제주조업담당</v>
          </cell>
          <cell r="F3565" t="str">
            <v>4121</v>
          </cell>
          <cell r="G3565" t="str">
            <v>4121</v>
          </cell>
          <cell r="H3565" t="str">
            <v>19730425</v>
          </cell>
          <cell r="I3565">
            <v>49883954</v>
          </cell>
        </row>
        <row r="3566">
          <cell r="A3566" t="str">
            <v>9003115</v>
          </cell>
          <cell r="B3566" t="str">
            <v>장　유　선</v>
          </cell>
          <cell r="C3566" t="str">
            <v>9003115장　유　선</v>
          </cell>
          <cell r="D3566" t="str">
            <v>HB30</v>
          </cell>
          <cell r="E3566" t="str">
            <v>제주조업담당</v>
          </cell>
          <cell r="F3566" t="str">
            <v>4121</v>
          </cell>
          <cell r="G3566" t="str">
            <v>4121</v>
          </cell>
          <cell r="H3566" t="str">
            <v>19900516</v>
          </cell>
          <cell r="I3566">
            <v>13481514</v>
          </cell>
        </row>
        <row r="3567">
          <cell r="A3567" t="str">
            <v>8400870</v>
          </cell>
          <cell r="B3567" t="str">
            <v>전　경　종</v>
          </cell>
          <cell r="C3567" t="str">
            <v>8400870전　경　종</v>
          </cell>
          <cell r="D3567" t="str">
            <v>HB30</v>
          </cell>
          <cell r="E3567" t="str">
            <v>제주조업담당</v>
          </cell>
          <cell r="F3567" t="str">
            <v>4121</v>
          </cell>
          <cell r="G3567" t="str">
            <v>4121</v>
          </cell>
          <cell r="H3567" t="str">
            <v>19840816</v>
          </cell>
          <cell r="I3567">
            <v>25568923</v>
          </cell>
        </row>
        <row r="3568">
          <cell r="A3568" t="str">
            <v>9501873</v>
          </cell>
          <cell r="B3568" t="str">
            <v>전　보　현</v>
          </cell>
          <cell r="C3568" t="str">
            <v>9501873전　보　현</v>
          </cell>
          <cell r="D3568" t="str">
            <v>HB30</v>
          </cell>
          <cell r="E3568" t="str">
            <v>제주조업담당</v>
          </cell>
          <cell r="F3568" t="str">
            <v>4121</v>
          </cell>
          <cell r="G3568" t="e">
            <v>#N/A</v>
          </cell>
          <cell r="H3568" t="str">
            <v>19950801</v>
          </cell>
          <cell r="I3568">
            <v>4987643</v>
          </cell>
          <cell r="J3568" t="str">
            <v>4 월</v>
          </cell>
          <cell r="K3568">
            <v>5344075</v>
          </cell>
        </row>
        <row r="3569">
          <cell r="A3569" t="str">
            <v>7700220</v>
          </cell>
          <cell r="B3569" t="str">
            <v>전　성　익</v>
          </cell>
          <cell r="C3569" t="str">
            <v>7700220전　성　익</v>
          </cell>
          <cell r="D3569" t="str">
            <v>HB30</v>
          </cell>
          <cell r="E3569" t="str">
            <v>제주조업담당</v>
          </cell>
          <cell r="F3569" t="str">
            <v>4121</v>
          </cell>
          <cell r="G3569" t="str">
            <v>4121</v>
          </cell>
          <cell r="H3569" t="str">
            <v>19770407</v>
          </cell>
          <cell r="I3569">
            <v>42693418</v>
          </cell>
        </row>
        <row r="3570">
          <cell r="A3570" t="str">
            <v>7800840</v>
          </cell>
          <cell r="B3570" t="str">
            <v>정　성　근</v>
          </cell>
          <cell r="C3570" t="str">
            <v>7800840정　성　근</v>
          </cell>
          <cell r="D3570" t="str">
            <v>HB30</v>
          </cell>
          <cell r="E3570" t="str">
            <v>제주조업담당</v>
          </cell>
          <cell r="F3570" t="str">
            <v>4121</v>
          </cell>
          <cell r="G3570" t="str">
            <v>4121</v>
          </cell>
          <cell r="H3570" t="str">
            <v>19991101</v>
          </cell>
          <cell r="I3570">
            <v>277390</v>
          </cell>
        </row>
        <row r="3571">
          <cell r="A3571" t="str">
            <v>8200440</v>
          </cell>
          <cell r="B3571" t="str">
            <v>정　승　원</v>
          </cell>
          <cell r="C3571" t="str">
            <v>8200440정　승　원</v>
          </cell>
          <cell r="D3571" t="str">
            <v>HB30</v>
          </cell>
          <cell r="E3571" t="str">
            <v>제주조업담당</v>
          </cell>
          <cell r="F3571" t="str">
            <v>4121</v>
          </cell>
          <cell r="G3571" t="str">
            <v>4121</v>
          </cell>
          <cell r="H3571" t="str">
            <v>19820515</v>
          </cell>
          <cell r="I3571">
            <v>28337373</v>
          </cell>
        </row>
        <row r="3572">
          <cell r="A3572" t="str">
            <v>9501805</v>
          </cell>
          <cell r="B3572" t="str">
            <v>정　의　관</v>
          </cell>
          <cell r="C3572" t="str">
            <v>9501805정　의　관</v>
          </cell>
          <cell r="D3572" t="str">
            <v>HB30</v>
          </cell>
          <cell r="E3572" t="str">
            <v>제주조업담당</v>
          </cell>
          <cell r="F3572" t="str">
            <v>4121</v>
          </cell>
          <cell r="G3572" t="str">
            <v>4121</v>
          </cell>
          <cell r="H3572" t="str">
            <v>19950720</v>
          </cell>
          <cell r="I3572">
            <v>5792100</v>
          </cell>
        </row>
        <row r="3573">
          <cell r="A3573" t="str">
            <v>8910810</v>
          </cell>
          <cell r="B3573" t="str">
            <v>조　상　훈</v>
          </cell>
          <cell r="C3573" t="str">
            <v>8910810조　상　훈</v>
          </cell>
          <cell r="D3573" t="str">
            <v>HB30</v>
          </cell>
          <cell r="E3573" t="str">
            <v>제주조업담당</v>
          </cell>
          <cell r="F3573" t="str">
            <v>4121</v>
          </cell>
          <cell r="G3573" t="str">
            <v>4121</v>
          </cell>
          <cell r="H3573" t="str">
            <v>19881031</v>
          </cell>
          <cell r="I3573">
            <v>16182247</v>
          </cell>
        </row>
        <row r="3574">
          <cell r="A3574" t="str">
            <v>9300813</v>
          </cell>
          <cell r="B3574" t="str">
            <v>조　응　호</v>
          </cell>
          <cell r="C3574" t="str">
            <v>9300813조　응　호</v>
          </cell>
          <cell r="D3574" t="str">
            <v>HB30</v>
          </cell>
          <cell r="E3574" t="str">
            <v>제주조업담당</v>
          </cell>
          <cell r="F3574" t="str">
            <v>4121</v>
          </cell>
          <cell r="G3574" t="str">
            <v>4121</v>
          </cell>
          <cell r="H3574" t="str">
            <v>19930201</v>
          </cell>
          <cell r="I3574">
            <v>10005880</v>
          </cell>
        </row>
        <row r="3575">
          <cell r="A3575" t="str">
            <v>8400396</v>
          </cell>
          <cell r="B3575" t="str">
            <v>진　동　수</v>
          </cell>
          <cell r="C3575" t="str">
            <v>8400396진　동　수</v>
          </cell>
          <cell r="D3575" t="str">
            <v>HB30</v>
          </cell>
          <cell r="E3575" t="str">
            <v>제주조업담당</v>
          </cell>
          <cell r="F3575" t="str">
            <v>4121</v>
          </cell>
          <cell r="G3575" t="str">
            <v>4121</v>
          </cell>
          <cell r="H3575" t="str">
            <v>19840510</v>
          </cell>
          <cell r="I3575">
            <v>24377669</v>
          </cell>
        </row>
        <row r="3576">
          <cell r="A3576" t="str">
            <v>9301950</v>
          </cell>
          <cell r="B3576" t="str">
            <v>진　동　진</v>
          </cell>
          <cell r="C3576" t="str">
            <v>9301950진　동　진</v>
          </cell>
          <cell r="D3576" t="str">
            <v>HB30</v>
          </cell>
          <cell r="E3576" t="str">
            <v>제주조업담당</v>
          </cell>
          <cell r="F3576" t="str">
            <v>4121</v>
          </cell>
          <cell r="G3576" t="str">
            <v>4121</v>
          </cell>
          <cell r="H3576" t="str">
            <v>19930401</v>
          </cell>
          <cell r="I3576">
            <v>11539480</v>
          </cell>
        </row>
        <row r="3577">
          <cell r="A3577" t="str">
            <v>8700827</v>
          </cell>
          <cell r="B3577" t="str">
            <v>진　상　전</v>
          </cell>
          <cell r="C3577" t="str">
            <v>8700827진　상　전</v>
          </cell>
          <cell r="D3577" t="str">
            <v>HB30</v>
          </cell>
          <cell r="E3577" t="str">
            <v>제주조업담당</v>
          </cell>
          <cell r="F3577" t="str">
            <v>4121</v>
          </cell>
          <cell r="G3577" t="str">
            <v>4121</v>
          </cell>
          <cell r="H3577" t="str">
            <v>19870610</v>
          </cell>
          <cell r="I3577">
            <v>20632779</v>
          </cell>
        </row>
        <row r="3578">
          <cell r="A3578" t="str">
            <v>9001034</v>
          </cell>
          <cell r="B3578" t="str">
            <v>진　석　완</v>
          </cell>
          <cell r="C3578" t="str">
            <v>9001034진　석　완</v>
          </cell>
          <cell r="D3578" t="str">
            <v>HB30</v>
          </cell>
          <cell r="E3578" t="str">
            <v>제주조업담당</v>
          </cell>
          <cell r="F3578" t="str">
            <v>4121</v>
          </cell>
          <cell r="G3578" t="str">
            <v>4121</v>
          </cell>
          <cell r="H3578" t="str">
            <v>19890821</v>
          </cell>
          <cell r="I3578">
            <v>13768101</v>
          </cell>
        </row>
        <row r="3579">
          <cell r="A3579" t="str">
            <v>9350144</v>
          </cell>
          <cell r="B3579" t="str">
            <v>추　정　연</v>
          </cell>
          <cell r="C3579" t="str">
            <v>9350144추　정　연</v>
          </cell>
          <cell r="D3579" t="str">
            <v>HB30</v>
          </cell>
          <cell r="E3579" t="str">
            <v>제주조업담당</v>
          </cell>
          <cell r="F3579" t="str">
            <v>4121</v>
          </cell>
          <cell r="G3579" t="str">
            <v>4121</v>
          </cell>
          <cell r="H3579" t="str">
            <v>19930216</v>
          </cell>
          <cell r="I3579">
            <v>6540550</v>
          </cell>
        </row>
        <row r="3580">
          <cell r="A3580" t="str">
            <v>9304920</v>
          </cell>
          <cell r="B3580" t="str">
            <v>현　용　호</v>
          </cell>
          <cell r="C3580" t="str">
            <v>9304920현　용　호</v>
          </cell>
          <cell r="D3580" t="str">
            <v>HB30</v>
          </cell>
          <cell r="E3580" t="str">
            <v>제주조업담당</v>
          </cell>
          <cell r="F3580" t="str">
            <v>4121</v>
          </cell>
          <cell r="G3580" t="str">
            <v>4121</v>
          </cell>
          <cell r="H3580" t="str">
            <v>19930801</v>
          </cell>
          <cell r="I3580">
            <v>8538051</v>
          </cell>
        </row>
        <row r="3581">
          <cell r="A3581" t="str">
            <v>8501310</v>
          </cell>
          <cell r="B3581" t="str">
            <v>현　우　길</v>
          </cell>
          <cell r="C3581" t="str">
            <v>8501310현　우　길</v>
          </cell>
          <cell r="D3581" t="str">
            <v>HB30</v>
          </cell>
          <cell r="E3581" t="str">
            <v>제주조업담당</v>
          </cell>
          <cell r="F3581" t="str">
            <v>4121</v>
          </cell>
          <cell r="G3581" t="str">
            <v>4121</v>
          </cell>
          <cell r="H3581" t="str">
            <v>19850501</v>
          </cell>
          <cell r="I3581">
            <v>23554611</v>
          </cell>
        </row>
        <row r="3582">
          <cell r="A3582" t="str">
            <v>9002193</v>
          </cell>
          <cell r="B3582" t="str">
            <v>현　종　훈</v>
          </cell>
          <cell r="C3582" t="str">
            <v>9002193현　종　훈</v>
          </cell>
          <cell r="D3582" t="str">
            <v>HB30</v>
          </cell>
          <cell r="E3582" t="str">
            <v>제주조업담당</v>
          </cell>
          <cell r="F3582" t="str">
            <v>4121</v>
          </cell>
          <cell r="G3582" t="str">
            <v>4121</v>
          </cell>
          <cell r="H3582" t="str">
            <v>19891205</v>
          </cell>
          <cell r="I3582">
            <v>13437746</v>
          </cell>
        </row>
        <row r="3583">
          <cell r="A3583" t="str">
            <v>7300574</v>
          </cell>
          <cell r="B3583" t="str">
            <v>현　창　효</v>
          </cell>
          <cell r="C3583" t="str">
            <v>7300574현　창　효</v>
          </cell>
          <cell r="D3583" t="str">
            <v>HB30</v>
          </cell>
          <cell r="E3583" t="str">
            <v>제주조업담당</v>
          </cell>
          <cell r="F3583" t="str">
            <v>4121</v>
          </cell>
          <cell r="G3583" t="str">
            <v>4121</v>
          </cell>
          <cell r="H3583" t="str">
            <v>19731122</v>
          </cell>
          <cell r="I3583">
            <v>52690642</v>
          </cell>
        </row>
        <row r="3584">
          <cell r="A3584" t="str">
            <v>9104984</v>
          </cell>
          <cell r="B3584" t="str">
            <v>홍　경　원</v>
          </cell>
          <cell r="C3584" t="str">
            <v>9104984홍　경　원</v>
          </cell>
          <cell r="D3584" t="str">
            <v>HB30</v>
          </cell>
          <cell r="E3584" t="str">
            <v>제주조업담당</v>
          </cell>
          <cell r="F3584" t="str">
            <v>4121</v>
          </cell>
          <cell r="G3584" t="str">
            <v>4121</v>
          </cell>
          <cell r="H3584" t="str">
            <v>19911101</v>
          </cell>
          <cell r="I3584">
            <v>10249277</v>
          </cell>
        </row>
        <row r="3585">
          <cell r="A3585" t="str">
            <v>8200438</v>
          </cell>
          <cell r="B3585" t="str">
            <v>홍　상　범</v>
          </cell>
          <cell r="C3585" t="str">
            <v>8200438홍　상　범</v>
          </cell>
          <cell r="D3585" t="str">
            <v>HB30</v>
          </cell>
          <cell r="E3585" t="str">
            <v>제주조업담당</v>
          </cell>
          <cell r="F3585" t="str">
            <v>4121</v>
          </cell>
          <cell r="G3585" t="str">
            <v>4121</v>
          </cell>
          <cell r="H3585" t="str">
            <v>19820515</v>
          </cell>
          <cell r="I3585">
            <v>29254825</v>
          </cell>
        </row>
        <row r="3586">
          <cell r="A3586" t="str">
            <v>9350166</v>
          </cell>
          <cell r="B3586" t="str">
            <v>홍　승　옥</v>
          </cell>
          <cell r="C3586" t="str">
            <v>9350166홍　승　옥</v>
          </cell>
          <cell r="D3586" t="str">
            <v>HB30</v>
          </cell>
          <cell r="E3586" t="str">
            <v>제주조업담당</v>
          </cell>
          <cell r="F3586" t="str">
            <v>4121</v>
          </cell>
          <cell r="G3586" t="str">
            <v>4121</v>
          </cell>
          <cell r="H3586" t="str">
            <v>19930216</v>
          </cell>
          <cell r="I3586">
            <v>7328367</v>
          </cell>
        </row>
        <row r="3587">
          <cell r="A3587" t="str">
            <v>9501840</v>
          </cell>
          <cell r="B3587" t="str">
            <v>김　군　환</v>
          </cell>
          <cell r="C3587" t="str">
            <v>9501840김　군　환</v>
          </cell>
          <cell r="D3587" t="str">
            <v>제주캐터링</v>
          </cell>
          <cell r="E3587" t="str">
            <v>제주C R/H 용역</v>
          </cell>
          <cell r="F3587" t="str">
            <v>4122</v>
          </cell>
          <cell r="G3587" t="str">
            <v>4121</v>
          </cell>
          <cell r="H3587" t="str">
            <v>19950801</v>
          </cell>
          <cell r="I3587">
            <v>4757894</v>
          </cell>
        </row>
        <row r="3588">
          <cell r="A3588" t="str">
            <v>9201925</v>
          </cell>
          <cell r="B3588" t="str">
            <v>김　성　관</v>
          </cell>
          <cell r="C3588" t="str">
            <v>9201925김　성　관</v>
          </cell>
          <cell r="D3588" t="str">
            <v>제주캐터링</v>
          </cell>
          <cell r="E3588" t="str">
            <v>제주C R/H 용역</v>
          </cell>
          <cell r="F3588" t="str">
            <v>4122</v>
          </cell>
          <cell r="G3588" t="str">
            <v>4121</v>
          </cell>
          <cell r="H3588" t="str">
            <v>19920401</v>
          </cell>
          <cell r="I3588">
            <v>9536418</v>
          </cell>
        </row>
        <row r="3589">
          <cell r="A3589" t="str">
            <v>9002204</v>
          </cell>
          <cell r="B3589" t="str">
            <v>박　승　준</v>
          </cell>
          <cell r="C3589" t="str">
            <v>9002204박　승　준</v>
          </cell>
          <cell r="D3589" t="str">
            <v>제주캐터링</v>
          </cell>
          <cell r="E3589" t="str">
            <v>제주C R/H 용역</v>
          </cell>
          <cell r="F3589" t="str">
            <v>4122</v>
          </cell>
          <cell r="G3589" t="str">
            <v>4122</v>
          </cell>
          <cell r="H3589" t="str">
            <v>19891205</v>
          </cell>
          <cell r="I3589">
            <v>12912422</v>
          </cell>
        </row>
        <row r="3590">
          <cell r="A3590" t="str">
            <v>8502592</v>
          </cell>
          <cell r="B3590" t="str">
            <v>박　영　국</v>
          </cell>
          <cell r="C3590" t="str">
            <v>8502592박　영　국</v>
          </cell>
          <cell r="D3590" t="str">
            <v>제주캐터링</v>
          </cell>
          <cell r="E3590" t="str">
            <v>제주C R/H 용역</v>
          </cell>
          <cell r="F3590" t="str">
            <v>4122</v>
          </cell>
          <cell r="G3590" t="str">
            <v>4121</v>
          </cell>
          <cell r="H3590" t="str">
            <v>19991001</v>
          </cell>
          <cell r="I3590">
            <v>405916</v>
          </cell>
        </row>
        <row r="3591">
          <cell r="A3591" t="str">
            <v>7500150</v>
          </cell>
          <cell r="B3591" t="str">
            <v>이　근　창</v>
          </cell>
          <cell r="C3591" t="str">
            <v>7500150이　근　창</v>
          </cell>
          <cell r="D3591" t="str">
            <v>제주캐터링</v>
          </cell>
          <cell r="E3591" t="str">
            <v>제주C R/H 용역</v>
          </cell>
          <cell r="F3591" t="str">
            <v>4122</v>
          </cell>
          <cell r="G3591" t="str">
            <v>4122</v>
          </cell>
          <cell r="H3591" t="str">
            <v>19751222</v>
          </cell>
          <cell r="I3591">
            <v>38449038</v>
          </cell>
        </row>
        <row r="3592">
          <cell r="A3592" t="str">
            <v>9305818</v>
          </cell>
          <cell r="B3592" t="str">
            <v>이　상　헌</v>
          </cell>
          <cell r="C3592" t="str">
            <v>9305818이　상　헌</v>
          </cell>
          <cell r="D3592" t="str">
            <v>제주캐터링</v>
          </cell>
          <cell r="E3592" t="str">
            <v>제주C R/H 용역</v>
          </cell>
          <cell r="F3592" t="str">
            <v>4122</v>
          </cell>
          <cell r="G3592" t="str">
            <v>4121</v>
          </cell>
          <cell r="H3592" t="str">
            <v>19930901</v>
          </cell>
          <cell r="I3592">
            <v>8213873</v>
          </cell>
        </row>
        <row r="3593">
          <cell r="A3593" t="str">
            <v>7900828</v>
          </cell>
          <cell r="B3593" t="str">
            <v>이　순　흠</v>
          </cell>
          <cell r="C3593" t="str">
            <v>7900828이　순　흠</v>
          </cell>
          <cell r="D3593" t="str">
            <v>제주캐터링</v>
          </cell>
          <cell r="E3593" t="str">
            <v>제주C R/H 용역</v>
          </cell>
          <cell r="F3593" t="str">
            <v>4122</v>
          </cell>
          <cell r="G3593" t="str">
            <v>4121</v>
          </cell>
          <cell r="H3593" t="str">
            <v>19791116</v>
          </cell>
          <cell r="I3593">
            <v>31547505</v>
          </cell>
        </row>
        <row r="3594">
          <cell r="A3594" t="str">
            <v>8000728</v>
          </cell>
          <cell r="B3594" t="str">
            <v>임　중　보</v>
          </cell>
          <cell r="C3594" t="str">
            <v>8000728임　중　보</v>
          </cell>
          <cell r="D3594" t="str">
            <v>제주캐터링</v>
          </cell>
          <cell r="E3594" t="str">
            <v>제주C R/H 용역</v>
          </cell>
          <cell r="F3594" t="str">
            <v>4122</v>
          </cell>
          <cell r="G3594" t="str">
            <v>4121</v>
          </cell>
          <cell r="H3594" t="str">
            <v>19801230</v>
          </cell>
          <cell r="I3594">
            <v>29339586</v>
          </cell>
        </row>
        <row r="3595">
          <cell r="A3595" t="str">
            <v>7700398</v>
          </cell>
          <cell r="B3595" t="str">
            <v>장　봉　희</v>
          </cell>
          <cell r="C3595" t="str">
            <v>7700398장　봉　희</v>
          </cell>
          <cell r="D3595" t="str">
            <v>제주캐터링</v>
          </cell>
          <cell r="E3595" t="str">
            <v>제주C R/H 용역</v>
          </cell>
          <cell r="F3595" t="str">
            <v>4122</v>
          </cell>
          <cell r="G3595" t="str">
            <v>4122</v>
          </cell>
          <cell r="H3595" t="str">
            <v>19770701</v>
          </cell>
          <cell r="I3595">
            <v>40227946</v>
          </cell>
        </row>
        <row r="3596">
          <cell r="A3596" t="str">
            <v>9206515</v>
          </cell>
          <cell r="B3596" t="str">
            <v>한　홍　현</v>
          </cell>
          <cell r="C3596" t="str">
            <v>9206515한　홍　현</v>
          </cell>
          <cell r="D3596" t="str">
            <v>제주캐터링</v>
          </cell>
          <cell r="E3596" t="str">
            <v>제주C R/H 용역</v>
          </cell>
          <cell r="F3596" t="str">
            <v>4122</v>
          </cell>
          <cell r="G3596" t="str">
            <v>4121</v>
          </cell>
          <cell r="H3596" t="str">
            <v>19921016</v>
          </cell>
          <cell r="I3596">
            <v>10116560</v>
          </cell>
        </row>
        <row r="3597">
          <cell r="A3597" t="str">
            <v>9206313</v>
          </cell>
          <cell r="B3597" t="str">
            <v>현　영　식</v>
          </cell>
          <cell r="C3597" t="str">
            <v>9206313현　영　식</v>
          </cell>
          <cell r="D3597" t="str">
            <v>제주캐터링</v>
          </cell>
          <cell r="E3597" t="str">
            <v>제주C R/H 용역</v>
          </cell>
          <cell r="F3597" t="str">
            <v>4122</v>
          </cell>
          <cell r="G3597" t="str">
            <v>4121</v>
          </cell>
          <cell r="H3597" t="str">
            <v>19920902</v>
          </cell>
          <cell r="I3597">
            <v>8268934</v>
          </cell>
        </row>
        <row r="3598">
          <cell r="A3598" t="str">
            <v>8910180</v>
          </cell>
          <cell r="B3598" t="str">
            <v>강　영　환</v>
          </cell>
          <cell r="C3598" t="str">
            <v>8910180강　영　환</v>
          </cell>
          <cell r="D3598" t="str">
            <v>HB40</v>
          </cell>
          <cell r="E3598" t="str">
            <v>제주급유담당</v>
          </cell>
          <cell r="F3598" t="str">
            <v>4210</v>
          </cell>
          <cell r="G3598" t="str">
            <v>4210</v>
          </cell>
          <cell r="H3598" t="str">
            <v>19890401</v>
          </cell>
          <cell r="I3598">
            <v>17860494</v>
          </cell>
        </row>
        <row r="3599">
          <cell r="A3599" t="str">
            <v>7800783</v>
          </cell>
          <cell r="B3599" t="str">
            <v>고　철　순</v>
          </cell>
          <cell r="C3599" t="str">
            <v>7800783고　철　순</v>
          </cell>
          <cell r="D3599" t="str">
            <v>HB40</v>
          </cell>
          <cell r="E3599" t="str">
            <v>제주급유담당</v>
          </cell>
          <cell r="F3599" t="str">
            <v>4210</v>
          </cell>
          <cell r="G3599" t="str">
            <v>4210</v>
          </cell>
          <cell r="H3599" t="str">
            <v>19780907</v>
          </cell>
          <cell r="I3599">
            <v>40132527</v>
          </cell>
        </row>
        <row r="3600">
          <cell r="A3600" t="str">
            <v>9311758</v>
          </cell>
          <cell r="B3600" t="str">
            <v>김　남　식</v>
          </cell>
          <cell r="C3600" t="str">
            <v>9311758김　남　식</v>
          </cell>
          <cell r="D3600" t="str">
            <v>HB40</v>
          </cell>
          <cell r="E3600" t="str">
            <v>제주급유담당</v>
          </cell>
          <cell r="F3600" t="str">
            <v>4210</v>
          </cell>
          <cell r="G3600" t="str">
            <v>4210</v>
          </cell>
          <cell r="H3600" t="str">
            <v>19931101</v>
          </cell>
          <cell r="I3600">
            <v>8534236</v>
          </cell>
        </row>
        <row r="3601">
          <cell r="A3601" t="str">
            <v>7810571</v>
          </cell>
          <cell r="B3601" t="str">
            <v>김　석　호</v>
          </cell>
          <cell r="C3601" t="str">
            <v>7810571김　석　호</v>
          </cell>
          <cell r="D3601" t="str">
            <v>HB40</v>
          </cell>
          <cell r="E3601" t="str">
            <v>제주급유담당</v>
          </cell>
          <cell r="F3601" t="str">
            <v>4210</v>
          </cell>
          <cell r="G3601" t="str">
            <v>4210</v>
          </cell>
          <cell r="H3601" t="str">
            <v>19780901</v>
          </cell>
          <cell r="I3601">
            <v>39150027</v>
          </cell>
        </row>
        <row r="3602">
          <cell r="A3602" t="str">
            <v>8210171</v>
          </cell>
          <cell r="B3602" t="str">
            <v>김　성　곤</v>
          </cell>
          <cell r="C3602" t="str">
            <v>8210171김　성　곤</v>
          </cell>
          <cell r="D3602" t="str">
            <v>HB40</v>
          </cell>
          <cell r="E3602" t="str">
            <v>제주급유담당</v>
          </cell>
          <cell r="F3602" t="str">
            <v>4210</v>
          </cell>
          <cell r="G3602" t="str">
            <v>4210</v>
          </cell>
          <cell r="H3602" t="str">
            <v>19821101</v>
          </cell>
          <cell r="I3602">
            <v>33060366</v>
          </cell>
        </row>
        <row r="3603">
          <cell r="A3603" t="str">
            <v>8811448</v>
          </cell>
          <cell r="B3603" t="str">
            <v>김　우　철</v>
          </cell>
          <cell r="C3603" t="str">
            <v>8811448김　우　철</v>
          </cell>
          <cell r="D3603" t="str">
            <v>HB40</v>
          </cell>
          <cell r="E3603" t="str">
            <v>제주급유담당</v>
          </cell>
          <cell r="F3603" t="str">
            <v>4210</v>
          </cell>
          <cell r="G3603" t="str">
            <v>4210</v>
          </cell>
          <cell r="H3603" t="str">
            <v>19881005</v>
          </cell>
          <cell r="I3603">
            <v>17424483</v>
          </cell>
        </row>
        <row r="3604">
          <cell r="A3604" t="str">
            <v>8300081</v>
          </cell>
          <cell r="B3604" t="str">
            <v>김　인　수</v>
          </cell>
          <cell r="C3604" t="str">
            <v>8300081김　인　수</v>
          </cell>
          <cell r="D3604" t="str">
            <v>HB40</v>
          </cell>
          <cell r="E3604" t="str">
            <v>제주급유담당</v>
          </cell>
          <cell r="F3604" t="str">
            <v>4210</v>
          </cell>
          <cell r="G3604" t="str">
            <v>4210</v>
          </cell>
          <cell r="H3604" t="str">
            <v>19830101</v>
          </cell>
          <cell r="I3604">
            <v>29421713</v>
          </cell>
        </row>
        <row r="3605">
          <cell r="A3605" t="str">
            <v>7910098</v>
          </cell>
          <cell r="B3605" t="str">
            <v>김　채　규</v>
          </cell>
          <cell r="C3605" t="str">
            <v>7910098김　채　규</v>
          </cell>
          <cell r="D3605" t="str">
            <v>HB40</v>
          </cell>
          <cell r="E3605" t="str">
            <v>제주급유담당</v>
          </cell>
          <cell r="F3605" t="str">
            <v>4210</v>
          </cell>
          <cell r="G3605" t="str">
            <v>4121</v>
          </cell>
          <cell r="H3605" t="str">
            <v>19790701</v>
          </cell>
          <cell r="I3605">
            <v>38925311</v>
          </cell>
        </row>
        <row r="3606">
          <cell r="A3606" t="str">
            <v>8610434</v>
          </cell>
          <cell r="B3606" t="str">
            <v>김　태　석</v>
          </cell>
          <cell r="C3606" t="str">
            <v>8610434김　태　석</v>
          </cell>
          <cell r="D3606" t="str">
            <v>HB40</v>
          </cell>
          <cell r="E3606" t="str">
            <v>제주급유담당</v>
          </cell>
          <cell r="F3606" t="str">
            <v>4210</v>
          </cell>
          <cell r="G3606" t="str">
            <v>4210</v>
          </cell>
          <cell r="H3606" t="str">
            <v>19860605</v>
          </cell>
          <cell r="I3606">
            <v>25026499</v>
          </cell>
        </row>
        <row r="3607">
          <cell r="A3607" t="str">
            <v>8610445</v>
          </cell>
          <cell r="B3607" t="str">
            <v>김　희　진</v>
          </cell>
          <cell r="C3607" t="str">
            <v>8610445김　희　진</v>
          </cell>
          <cell r="D3607" t="str">
            <v>HB40</v>
          </cell>
          <cell r="E3607" t="str">
            <v>제주급유담당</v>
          </cell>
          <cell r="F3607" t="str">
            <v>4210</v>
          </cell>
          <cell r="G3607" t="str">
            <v>4210</v>
          </cell>
          <cell r="H3607" t="str">
            <v>19860605</v>
          </cell>
          <cell r="I3607">
            <v>23944562</v>
          </cell>
        </row>
        <row r="3608">
          <cell r="A3608" t="str">
            <v>9010462</v>
          </cell>
          <cell r="B3608" t="str">
            <v>신　행　섭</v>
          </cell>
          <cell r="C3608" t="str">
            <v>9010462신　행　섭</v>
          </cell>
          <cell r="D3608" t="str">
            <v>HB40</v>
          </cell>
          <cell r="E3608" t="str">
            <v>제주급유담당</v>
          </cell>
          <cell r="F3608" t="str">
            <v>4210</v>
          </cell>
          <cell r="G3608" t="str">
            <v>4121</v>
          </cell>
          <cell r="H3608" t="str">
            <v>19900416</v>
          </cell>
          <cell r="I3608">
            <v>15115223</v>
          </cell>
        </row>
        <row r="3609">
          <cell r="A3609" t="str">
            <v>8610985</v>
          </cell>
          <cell r="B3609" t="str">
            <v>양　석　원</v>
          </cell>
          <cell r="C3609" t="str">
            <v>8610985양　석　원</v>
          </cell>
          <cell r="D3609" t="str">
            <v>HB40</v>
          </cell>
          <cell r="E3609" t="str">
            <v>제주급유담당</v>
          </cell>
          <cell r="F3609" t="str">
            <v>4210</v>
          </cell>
          <cell r="G3609" t="str">
            <v>4210</v>
          </cell>
          <cell r="H3609" t="str">
            <v>19861025</v>
          </cell>
          <cell r="I3609">
            <v>21588162</v>
          </cell>
        </row>
        <row r="3610">
          <cell r="A3610" t="str">
            <v>8510117</v>
          </cell>
          <cell r="B3610" t="str">
            <v>이　근　택</v>
          </cell>
          <cell r="C3610" t="str">
            <v>8510117이　근　택</v>
          </cell>
          <cell r="D3610" t="str">
            <v>HB40</v>
          </cell>
          <cell r="E3610" t="str">
            <v>제주급유담당</v>
          </cell>
          <cell r="F3610" t="str">
            <v>4210</v>
          </cell>
          <cell r="G3610" t="str">
            <v>4121</v>
          </cell>
          <cell r="H3610" t="str">
            <v>19850506</v>
          </cell>
          <cell r="I3610">
            <v>24844008</v>
          </cell>
        </row>
        <row r="3611">
          <cell r="A3611" t="str">
            <v>7810560</v>
          </cell>
          <cell r="B3611" t="str">
            <v>이　동　식</v>
          </cell>
          <cell r="C3611" t="str">
            <v>7810560이　동　식</v>
          </cell>
          <cell r="D3611" t="str">
            <v>HB40</v>
          </cell>
          <cell r="E3611" t="str">
            <v>제주급유담당</v>
          </cell>
          <cell r="F3611" t="str">
            <v>4210</v>
          </cell>
          <cell r="G3611" t="str">
            <v>4210</v>
          </cell>
          <cell r="H3611" t="str">
            <v>19780516</v>
          </cell>
          <cell r="I3611">
            <v>45001423</v>
          </cell>
        </row>
        <row r="3612">
          <cell r="A3612" t="str">
            <v>7700376</v>
          </cell>
          <cell r="B3612" t="str">
            <v>이　성　훈</v>
          </cell>
          <cell r="C3612" t="str">
            <v>7700376이　성　훈</v>
          </cell>
          <cell r="D3612" t="str">
            <v>HB40</v>
          </cell>
          <cell r="E3612" t="str">
            <v>제주급유담당</v>
          </cell>
          <cell r="F3612" t="str">
            <v>4210</v>
          </cell>
          <cell r="G3612" t="str">
            <v>4210</v>
          </cell>
          <cell r="H3612" t="str">
            <v>19770701</v>
          </cell>
          <cell r="I3612">
            <v>43612945</v>
          </cell>
        </row>
        <row r="3613">
          <cell r="A3613" t="str">
            <v>7810558</v>
          </cell>
          <cell r="B3613" t="str">
            <v>정　제　윤</v>
          </cell>
          <cell r="C3613" t="str">
            <v>7810558정　제　윤</v>
          </cell>
          <cell r="D3613" t="str">
            <v>HB40</v>
          </cell>
          <cell r="E3613" t="str">
            <v>제주급유담당</v>
          </cell>
          <cell r="F3613" t="str">
            <v>4210</v>
          </cell>
          <cell r="G3613" t="str">
            <v>4210</v>
          </cell>
          <cell r="H3613" t="str">
            <v>19780516</v>
          </cell>
          <cell r="I3613">
            <v>43216290</v>
          </cell>
        </row>
        <row r="3614">
          <cell r="A3614" t="str">
            <v>9201025</v>
          </cell>
          <cell r="B3614" t="str">
            <v>허　　　권</v>
          </cell>
          <cell r="C3614" t="str">
            <v>9201025허　　　권</v>
          </cell>
          <cell r="D3614" t="str">
            <v>HB40</v>
          </cell>
          <cell r="E3614" t="str">
            <v>제주급유담당</v>
          </cell>
          <cell r="F3614" t="str">
            <v>4210</v>
          </cell>
          <cell r="G3614" t="str">
            <v>4210</v>
          </cell>
          <cell r="H3614" t="str">
            <v>19920201</v>
          </cell>
          <cell r="I3614">
            <v>12519551</v>
          </cell>
        </row>
        <row r="3615">
          <cell r="A3615" t="str">
            <v>9012238</v>
          </cell>
          <cell r="B3615" t="str">
            <v>허　인　호</v>
          </cell>
          <cell r="C3615" t="str">
            <v>9012238허　인　호</v>
          </cell>
          <cell r="D3615" t="str">
            <v>HB40</v>
          </cell>
          <cell r="E3615" t="str">
            <v>제주급유담당</v>
          </cell>
          <cell r="F3615" t="str">
            <v>4210</v>
          </cell>
          <cell r="G3615" t="str">
            <v>4121</v>
          </cell>
          <cell r="H3615" t="str">
            <v>19900716</v>
          </cell>
          <cell r="I3615">
            <v>13762097</v>
          </cell>
        </row>
        <row r="3616">
          <cell r="A3616" t="str">
            <v>9111082</v>
          </cell>
          <cell r="B3616" t="str">
            <v>황　명　익</v>
          </cell>
          <cell r="C3616" t="str">
            <v>9111082황　명　익</v>
          </cell>
          <cell r="D3616" t="str">
            <v>HB40</v>
          </cell>
          <cell r="E3616" t="str">
            <v>제주급유담당</v>
          </cell>
          <cell r="F3616" t="str">
            <v>4210</v>
          </cell>
          <cell r="G3616" t="str">
            <v>4210</v>
          </cell>
          <cell r="H3616" t="str">
            <v>19910725</v>
          </cell>
          <cell r="I3616">
            <v>11837525</v>
          </cell>
        </row>
        <row r="3617">
          <cell r="A3617" t="str">
            <v>7700578</v>
          </cell>
          <cell r="B3617" t="str">
            <v>윤　문　섭</v>
          </cell>
          <cell r="C3617" t="str">
            <v>7700578윤　문　섭</v>
          </cell>
          <cell r="D3617" t="str">
            <v>HB30</v>
          </cell>
          <cell r="E3617" t="str">
            <v>광주영업소</v>
          </cell>
          <cell r="F3617" t="str">
            <v>5111</v>
          </cell>
          <cell r="G3617" t="str">
            <v>5111</v>
          </cell>
          <cell r="H3617" t="str">
            <v>19770909</v>
          </cell>
          <cell r="I3617">
            <v>36809962</v>
          </cell>
        </row>
        <row r="3618">
          <cell r="A3618" t="str">
            <v>9300328</v>
          </cell>
          <cell r="B3618" t="str">
            <v>강　인　천</v>
          </cell>
          <cell r="C3618" t="str">
            <v>9300328강　인　천</v>
          </cell>
          <cell r="D3618" t="str">
            <v>IA10</v>
          </cell>
          <cell r="E3618" t="str">
            <v>광주영업소</v>
          </cell>
          <cell r="F3618" t="str">
            <v>5111</v>
          </cell>
          <cell r="G3618" t="str">
            <v>5111</v>
          </cell>
          <cell r="H3618" t="str">
            <v>19930105</v>
          </cell>
          <cell r="I3618">
            <v>8662879</v>
          </cell>
        </row>
        <row r="3619">
          <cell r="A3619" t="str">
            <v>8700952</v>
          </cell>
          <cell r="B3619" t="str">
            <v>강　철　민</v>
          </cell>
          <cell r="C3619" t="str">
            <v>8700952강　철　민</v>
          </cell>
          <cell r="D3619" t="str">
            <v>IA10</v>
          </cell>
          <cell r="E3619" t="str">
            <v>광주영업소</v>
          </cell>
          <cell r="F3619" t="str">
            <v>5111</v>
          </cell>
          <cell r="G3619" t="str">
            <v>5111</v>
          </cell>
          <cell r="H3619" t="str">
            <v>19870610</v>
          </cell>
          <cell r="I3619">
            <v>20256069</v>
          </cell>
        </row>
        <row r="3620">
          <cell r="A3620" t="str">
            <v>9401826</v>
          </cell>
          <cell r="B3620" t="str">
            <v>고　성　호</v>
          </cell>
          <cell r="C3620" t="str">
            <v>9401826고　성　호</v>
          </cell>
          <cell r="D3620" t="str">
            <v>IA10</v>
          </cell>
          <cell r="E3620" t="str">
            <v>광주영업소</v>
          </cell>
          <cell r="F3620" t="str">
            <v>5111</v>
          </cell>
          <cell r="G3620" t="str">
            <v>5111</v>
          </cell>
          <cell r="H3620" t="str">
            <v>19940401</v>
          </cell>
          <cell r="I3620">
            <v>7753765</v>
          </cell>
        </row>
        <row r="3621">
          <cell r="A3621" t="str">
            <v>8700941</v>
          </cell>
          <cell r="B3621" t="str">
            <v>곽　영　길</v>
          </cell>
          <cell r="C3621" t="str">
            <v>8700941곽　영　길</v>
          </cell>
          <cell r="D3621" t="str">
            <v>IA10</v>
          </cell>
          <cell r="E3621" t="str">
            <v>광주영업소</v>
          </cell>
          <cell r="F3621" t="str">
            <v>5111</v>
          </cell>
          <cell r="G3621" t="str">
            <v>5111</v>
          </cell>
          <cell r="H3621" t="str">
            <v>19870610</v>
          </cell>
          <cell r="I3621">
            <v>20495481</v>
          </cell>
          <cell r="J3621" t="str">
            <v>5 월</v>
          </cell>
          <cell r="K3621">
            <v>21101487</v>
          </cell>
        </row>
        <row r="3622">
          <cell r="A3622" t="str">
            <v>8602053</v>
          </cell>
          <cell r="B3622" t="str">
            <v>김　갑　순</v>
          </cell>
          <cell r="C3622" t="str">
            <v>8602053김　갑　순</v>
          </cell>
          <cell r="D3622" t="str">
            <v>IA10</v>
          </cell>
          <cell r="E3622" t="str">
            <v>광주영업소</v>
          </cell>
          <cell r="F3622" t="str">
            <v>5111</v>
          </cell>
          <cell r="G3622" t="str">
            <v>5111</v>
          </cell>
          <cell r="H3622" t="str">
            <v>19860701</v>
          </cell>
          <cell r="I3622">
            <v>23403023</v>
          </cell>
        </row>
        <row r="3623">
          <cell r="A3623" t="str">
            <v>8550270</v>
          </cell>
          <cell r="B3623" t="str">
            <v>김　귀　숙</v>
          </cell>
          <cell r="C3623" t="str">
            <v>8550270김　귀　숙</v>
          </cell>
          <cell r="D3623" t="str">
            <v>IA10</v>
          </cell>
          <cell r="E3623" t="str">
            <v>광주영업소</v>
          </cell>
          <cell r="F3623" t="str">
            <v>5111</v>
          </cell>
          <cell r="G3623" t="str">
            <v>5111</v>
          </cell>
          <cell r="H3623" t="str">
            <v>19850301</v>
          </cell>
          <cell r="I3623">
            <v>16086097</v>
          </cell>
        </row>
        <row r="3624">
          <cell r="A3624" t="str">
            <v>9350730</v>
          </cell>
          <cell r="B3624" t="str">
            <v>김　승　희</v>
          </cell>
          <cell r="C3624" t="str">
            <v>9350730김　승　희</v>
          </cell>
          <cell r="D3624" t="str">
            <v>IA10</v>
          </cell>
          <cell r="E3624" t="str">
            <v>광주영업소</v>
          </cell>
          <cell r="F3624" t="str">
            <v>5111</v>
          </cell>
          <cell r="G3624" t="e">
            <v>#N/A</v>
          </cell>
          <cell r="H3624" t="str">
            <v>19930524</v>
          </cell>
          <cell r="I3624">
            <v>8626648</v>
          </cell>
          <cell r="J3624" t="str">
            <v>1 월</v>
          </cell>
          <cell r="K3624">
            <v>8531565</v>
          </cell>
        </row>
        <row r="3625">
          <cell r="A3625" t="str">
            <v>8300610</v>
          </cell>
          <cell r="B3625" t="str">
            <v>김　용　규</v>
          </cell>
          <cell r="C3625" t="str">
            <v>8300610김　용　규</v>
          </cell>
          <cell r="D3625" t="str">
            <v>IA10</v>
          </cell>
          <cell r="E3625" t="str">
            <v>광주영업소</v>
          </cell>
          <cell r="F3625" t="str">
            <v>5111</v>
          </cell>
          <cell r="G3625" t="str">
            <v>5111</v>
          </cell>
          <cell r="H3625" t="str">
            <v>19830801</v>
          </cell>
          <cell r="I3625">
            <v>32866933</v>
          </cell>
        </row>
        <row r="3626">
          <cell r="A3626" t="str">
            <v>8902721</v>
          </cell>
          <cell r="B3626" t="str">
            <v>김　용　덕</v>
          </cell>
          <cell r="C3626" t="str">
            <v>8902721김　용　덕</v>
          </cell>
          <cell r="D3626" t="str">
            <v>IA10</v>
          </cell>
          <cell r="E3626" t="str">
            <v>광주영업소</v>
          </cell>
          <cell r="F3626" t="str">
            <v>5111</v>
          </cell>
          <cell r="G3626" t="str">
            <v>5111</v>
          </cell>
          <cell r="H3626" t="str">
            <v>19891016</v>
          </cell>
          <cell r="I3626">
            <v>15345522</v>
          </cell>
        </row>
        <row r="3627">
          <cell r="A3627" t="str">
            <v>9303063</v>
          </cell>
          <cell r="B3627" t="str">
            <v>김　용　훈</v>
          </cell>
          <cell r="C3627" t="str">
            <v>9303063김　용　훈</v>
          </cell>
          <cell r="D3627" t="str">
            <v>IA10</v>
          </cell>
          <cell r="E3627" t="str">
            <v>광주영업소</v>
          </cell>
          <cell r="F3627" t="str">
            <v>5111</v>
          </cell>
          <cell r="G3627" t="str">
            <v>5111</v>
          </cell>
          <cell r="H3627" t="str">
            <v>19930524</v>
          </cell>
          <cell r="I3627">
            <v>9532599</v>
          </cell>
        </row>
        <row r="3628">
          <cell r="A3628" t="str">
            <v>9400410</v>
          </cell>
          <cell r="B3628" t="str">
            <v>김　태　선</v>
          </cell>
          <cell r="C3628" t="str">
            <v>9400410김　태　선</v>
          </cell>
          <cell r="D3628" t="str">
            <v>IA10</v>
          </cell>
          <cell r="E3628" t="str">
            <v>광주영업소</v>
          </cell>
          <cell r="F3628" t="str">
            <v>5111</v>
          </cell>
          <cell r="G3628" t="str">
            <v>5111</v>
          </cell>
          <cell r="H3628" t="str">
            <v>19940120</v>
          </cell>
          <cell r="I3628">
            <v>7926891</v>
          </cell>
        </row>
        <row r="3629">
          <cell r="A3629" t="str">
            <v>8300632</v>
          </cell>
          <cell r="B3629" t="str">
            <v>김　형　수</v>
          </cell>
          <cell r="C3629" t="str">
            <v>8300632김　형　수</v>
          </cell>
          <cell r="D3629" t="str">
            <v>IA10</v>
          </cell>
          <cell r="E3629" t="str">
            <v>광주영업소</v>
          </cell>
          <cell r="F3629" t="str">
            <v>5111</v>
          </cell>
          <cell r="G3629" t="str">
            <v>5111</v>
          </cell>
          <cell r="H3629" t="str">
            <v>19830801</v>
          </cell>
          <cell r="I3629">
            <v>29403718</v>
          </cell>
        </row>
        <row r="3630">
          <cell r="A3630" t="str">
            <v>8502322</v>
          </cell>
          <cell r="B3630" t="str">
            <v>김　형　장</v>
          </cell>
          <cell r="C3630" t="str">
            <v>8502322김　형　장</v>
          </cell>
          <cell r="D3630" t="str">
            <v>IA10</v>
          </cell>
          <cell r="E3630" t="str">
            <v>광주영업소</v>
          </cell>
          <cell r="F3630" t="str">
            <v>5111</v>
          </cell>
          <cell r="G3630" t="str">
            <v>5111</v>
          </cell>
          <cell r="H3630" t="str">
            <v>19850926</v>
          </cell>
          <cell r="I3630">
            <v>30380876</v>
          </cell>
        </row>
        <row r="3631">
          <cell r="A3631" t="str">
            <v>9350458</v>
          </cell>
          <cell r="B3631" t="str">
            <v>김　흥　민</v>
          </cell>
          <cell r="C3631" t="str">
            <v>9350458김　흥　민</v>
          </cell>
          <cell r="D3631" t="str">
            <v>IA10</v>
          </cell>
          <cell r="E3631" t="str">
            <v>광주영업소</v>
          </cell>
          <cell r="F3631" t="str">
            <v>5111</v>
          </cell>
          <cell r="G3631" t="e">
            <v>#N/A</v>
          </cell>
          <cell r="H3631" t="str">
            <v>19930416</v>
          </cell>
          <cell r="I3631">
            <v>8650590</v>
          </cell>
          <cell r="J3631" t="str">
            <v>10 월</v>
          </cell>
          <cell r="K3631">
            <v>12136721</v>
          </cell>
        </row>
        <row r="3632">
          <cell r="A3632" t="str">
            <v>8700930</v>
          </cell>
          <cell r="B3632" t="str">
            <v>문　성　승</v>
          </cell>
          <cell r="C3632" t="str">
            <v>8700930문　성　승</v>
          </cell>
          <cell r="D3632" t="str">
            <v>IA10</v>
          </cell>
          <cell r="E3632" t="str">
            <v>광주영업소</v>
          </cell>
          <cell r="F3632" t="str">
            <v>5111</v>
          </cell>
          <cell r="G3632" t="str">
            <v>5111</v>
          </cell>
          <cell r="H3632" t="str">
            <v>19870610</v>
          </cell>
          <cell r="I3632">
            <v>18137443</v>
          </cell>
        </row>
        <row r="3633">
          <cell r="A3633" t="str">
            <v>9303052</v>
          </cell>
          <cell r="B3633" t="str">
            <v>박　관　영</v>
          </cell>
          <cell r="C3633" t="str">
            <v>9303052박　관　영</v>
          </cell>
          <cell r="D3633" t="str">
            <v>IA10</v>
          </cell>
          <cell r="E3633" t="str">
            <v>광주영업소</v>
          </cell>
          <cell r="F3633" t="str">
            <v>5111</v>
          </cell>
          <cell r="G3633" t="str">
            <v>5111</v>
          </cell>
          <cell r="H3633" t="str">
            <v>19930524</v>
          </cell>
          <cell r="I3633">
            <v>8671504</v>
          </cell>
        </row>
        <row r="3634">
          <cell r="A3634" t="str">
            <v>8602042</v>
          </cell>
          <cell r="B3634" t="str">
            <v>박　도　수</v>
          </cell>
          <cell r="C3634" t="str">
            <v>8602042박　도　수</v>
          </cell>
          <cell r="D3634" t="str">
            <v>IA10</v>
          </cell>
          <cell r="E3634" t="str">
            <v>광주영업소</v>
          </cell>
          <cell r="F3634" t="str">
            <v>5111</v>
          </cell>
          <cell r="G3634" t="str">
            <v>5111</v>
          </cell>
          <cell r="H3634" t="str">
            <v>19860701</v>
          </cell>
          <cell r="I3634">
            <v>25918500</v>
          </cell>
        </row>
        <row r="3635">
          <cell r="A3635" t="str">
            <v>9750374</v>
          </cell>
          <cell r="B3635" t="str">
            <v>박　선　진</v>
          </cell>
          <cell r="C3635" t="str">
            <v>9750374박　선　진</v>
          </cell>
          <cell r="D3635" t="str">
            <v>IA10</v>
          </cell>
          <cell r="E3635" t="str">
            <v>광주영업소</v>
          </cell>
          <cell r="F3635" t="str">
            <v>5111</v>
          </cell>
          <cell r="G3635" t="e">
            <v>#N/A</v>
          </cell>
          <cell r="H3635" t="str">
            <v>19970818</v>
          </cell>
          <cell r="I3635">
            <v>2672489</v>
          </cell>
          <cell r="J3635" t="str">
            <v>3 월</v>
          </cell>
          <cell r="K3635">
            <v>2988561</v>
          </cell>
        </row>
        <row r="3636">
          <cell r="A3636" t="str">
            <v>9003971</v>
          </cell>
          <cell r="B3636" t="str">
            <v>박　인　갑</v>
          </cell>
          <cell r="C3636" t="str">
            <v>9003971박　인　갑</v>
          </cell>
          <cell r="D3636" t="str">
            <v>IA10</v>
          </cell>
          <cell r="E3636" t="str">
            <v>광주영업소</v>
          </cell>
          <cell r="F3636" t="str">
            <v>5111</v>
          </cell>
          <cell r="G3636" t="str">
            <v>5111</v>
          </cell>
          <cell r="H3636" t="str">
            <v>19900827</v>
          </cell>
          <cell r="I3636">
            <v>12648867</v>
          </cell>
        </row>
        <row r="3637">
          <cell r="A3637" t="str">
            <v>9303096</v>
          </cell>
          <cell r="B3637" t="str">
            <v>박　재　부</v>
          </cell>
          <cell r="C3637" t="str">
            <v>9303096박　재　부</v>
          </cell>
          <cell r="D3637" t="str">
            <v>IA10</v>
          </cell>
          <cell r="E3637" t="str">
            <v>광주영업소</v>
          </cell>
          <cell r="F3637" t="str">
            <v>5111</v>
          </cell>
          <cell r="G3637" t="str">
            <v>5111</v>
          </cell>
          <cell r="H3637" t="str">
            <v>19930524</v>
          </cell>
          <cell r="I3637">
            <v>8605422</v>
          </cell>
        </row>
        <row r="3638">
          <cell r="A3638" t="str">
            <v>9300317</v>
          </cell>
          <cell r="B3638" t="str">
            <v>박　준　엽</v>
          </cell>
          <cell r="C3638" t="str">
            <v>9300317박　준　엽</v>
          </cell>
          <cell r="D3638" t="str">
            <v>IA10</v>
          </cell>
          <cell r="E3638" t="str">
            <v>광주영업소</v>
          </cell>
          <cell r="F3638" t="str">
            <v>5111</v>
          </cell>
          <cell r="G3638" t="str">
            <v>5111</v>
          </cell>
          <cell r="H3638" t="str">
            <v>19930105</v>
          </cell>
          <cell r="I3638">
            <v>11767477</v>
          </cell>
        </row>
        <row r="3639">
          <cell r="A3639" t="str">
            <v>7600230</v>
          </cell>
          <cell r="B3639" t="str">
            <v>박　중　재</v>
          </cell>
          <cell r="C3639" t="str">
            <v>7600230박　중　재</v>
          </cell>
          <cell r="D3639" t="str">
            <v>IA10</v>
          </cell>
          <cell r="E3639" t="str">
            <v>광주영업소</v>
          </cell>
          <cell r="F3639" t="str">
            <v>5111</v>
          </cell>
          <cell r="G3639" t="str">
            <v>5111</v>
          </cell>
          <cell r="H3639" t="str">
            <v>19760805</v>
          </cell>
          <cell r="I3639">
            <v>60729133</v>
          </cell>
        </row>
        <row r="3640">
          <cell r="A3640" t="str">
            <v>8502412</v>
          </cell>
          <cell r="B3640" t="str">
            <v>박　찬　선</v>
          </cell>
          <cell r="C3640" t="str">
            <v>8502412박　찬　선</v>
          </cell>
          <cell r="D3640" t="str">
            <v>IA10</v>
          </cell>
          <cell r="E3640" t="str">
            <v>광주영업소</v>
          </cell>
          <cell r="F3640" t="str">
            <v>5111</v>
          </cell>
          <cell r="G3640" t="str">
            <v>5111</v>
          </cell>
          <cell r="H3640" t="str">
            <v>19851101</v>
          </cell>
          <cell r="I3640">
            <v>19457718</v>
          </cell>
        </row>
        <row r="3641">
          <cell r="A3641" t="str">
            <v>8300643</v>
          </cell>
          <cell r="B3641" t="str">
            <v>박　찬　호</v>
          </cell>
          <cell r="C3641" t="str">
            <v>8300643박　찬　호</v>
          </cell>
          <cell r="D3641" t="str">
            <v>IA10</v>
          </cell>
          <cell r="E3641" t="str">
            <v>광주영업소</v>
          </cell>
          <cell r="F3641" t="str">
            <v>5111</v>
          </cell>
          <cell r="G3641" t="str">
            <v>5111</v>
          </cell>
          <cell r="H3641" t="str">
            <v>19830801</v>
          </cell>
          <cell r="I3641">
            <v>28140285</v>
          </cell>
        </row>
        <row r="3642">
          <cell r="A3642" t="str">
            <v>8650091</v>
          </cell>
          <cell r="B3642" t="str">
            <v>배　옥　자</v>
          </cell>
          <cell r="C3642" t="str">
            <v>8650091배　옥　자</v>
          </cell>
          <cell r="D3642" t="str">
            <v>IA10</v>
          </cell>
          <cell r="E3642" t="str">
            <v>광주영업소</v>
          </cell>
          <cell r="F3642" t="str">
            <v>5111</v>
          </cell>
          <cell r="G3642" t="str">
            <v>5111</v>
          </cell>
          <cell r="H3642" t="str">
            <v>19860401</v>
          </cell>
          <cell r="I3642">
            <v>15961962</v>
          </cell>
        </row>
        <row r="3643">
          <cell r="A3643" t="str">
            <v>9612450</v>
          </cell>
          <cell r="B3643" t="str">
            <v>송　봉　곤</v>
          </cell>
          <cell r="C3643" t="str">
            <v>9612450송　봉　곤</v>
          </cell>
          <cell r="D3643" t="str">
            <v>IA10</v>
          </cell>
          <cell r="E3643" t="str">
            <v>광주영업소</v>
          </cell>
          <cell r="F3643" t="str">
            <v>5111</v>
          </cell>
          <cell r="G3643" t="str">
            <v>5111</v>
          </cell>
          <cell r="H3643" t="str">
            <v>19960916</v>
          </cell>
          <cell r="I3643">
            <v>3505435</v>
          </cell>
        </row>
        <row r="3644">
          <cell r="A3644" t="str">
            <v>9701065</v>
          </cell>
          <cell r="B3644" t="str">
            <v>신　영　식</v>
          </cell>
          <cell r="C3644" t="str">
            <v>9701065신　영　식</v>
          </cell>
          <cell r="D3644" t="str">
            <v>IA10</v>
          </cell>
          <cell r="E3644" t="str">
            <v>광주영업소</v>
          </cell>
          <cell r="F3644" t="str">
            <v>5111</v>
          </cell>
          <cell r="G3644" t="str">
            <v>5111</v>
          </cell>
          <cell r="H3644" t="str">
            <v>19970601</v>
          </cell>
          <cell r="I3644">
            <v>3149034</v>
          </cell>
        </row>
        <row r="3645">
          <cell r="A3645" t="str">
            <v>9205560</v>
          </cell>
          <cell r="B3645" t="str">
            <v>안　창　균</v>
          </cell>
          <cell r="C3645" t="str">
            <v>9205560안　창　균</v>
          </cell>
          <cell r="D3645" t="str">
            <v>IA10</v>
          </cell>
          <cell r="E3645" t="str">
            <v>광주영업소</v>
          </cell>
          <cell r="F3645" t="str">
            <v>5111</v>
          </cell>
          <cell r="G3645" t="str">
            <v>5111</v>
          </cell>
          <cell r="H3645" t="str">
            <v>19920901</v>
          </cell>
          <cell r="I3645">
            <v>9626746</v>
          </cell>
        </row>
        <row r="3646">
          <cell r="A3646" t="str">
            <v>8700928</v>
          </cell>
          <cell r="B3646" t="str">
            <v>양　봉　진</v>
          </cell>
          <cell r="C3646" t="str">
            <v>8700928양　봉　진</v>
          </cell>
          <cell r="D3646" t="str">
            <v>IA10</v>
          </cell>
          <cell r="E3646" t="str">
            <v>광주영업소</v>
          </cell>
          <cell r="F3646" t="str">
            <v>5111</v>
          </cell>
          <cell r="G3646" t="str">
            <v>5111</v>
          </cell>
          <cell r="H3646" t="str">
            <v>19870610</v>
          </cell>
          <cell r="I3646">
            <v>21469344</v>
          </cell>
        </row>
        <row r="3647">
          <cell r="A3647" t="str">
            <v>9307146</v>
          </cell>
          <cell r="B3647" t="str">
            <v>윤　상　영</v>
          </cell>
          <cell r="C3647" t="str">
            <v>9307146윤　상　영</v>
          </cell>
          <cell r="D3647" t="str">
            <v>IA10</v>
          </cell>
          <cell r="E3647" t="str">
            <v>광주영업소</v>
          </cell>
          <cell r="F3647" t="str">
            <v>5111</v>
          </cell>
          <cell r="G3647" t="str">
            <v>5111</v>
          </cell>
          <cell r="H3647" t="str">
            <v>19931101</v>
          </cell>
          <cell r="I3647">
            <v>9087758</v>
          </cell>
        </row>
        <row r="3648">
          <cell r="A3648" t="str">
            <v>8801392</v>
          </cell>
          <cell r="B3648" t="str">
            <v>이　성　섭</v>
          </cell>
          <cell r="C3648" t="str">
            <v>8801392이　성　섭</v>
          </cell>
          <cell r="D3648" t="str">
            <v>IA10</v>
          </cell>
          <cell r="E3648" t="str">
            <v>광주영업소</v>
          </cell>
          <cell r="F3648" t="str">
            <v>5111</v>
          </cell>
          <cell r="G3648" t="str">
            <v>5111</v>
          </cell>
          <cell r="H3648" t="str">
            <v>19881201</v>
          </cell>
          <cell r="I3648">
            <v>16671312</v>
          </cell>
        </row>
        <row r="3649">
          <cell r="A3649" t="str">
            <v>9300745</v>
          </cell>
          <cell r="B3649" t="str">
            <v>이　성　진</v>
          </cell>
          <cell r="C3649" t="str">
            <v>9300745이　성　진</v>
          </cell>
          <cell r="D3649" t="str">
            <v>IA10</v>
          </cell>
          <cell r="E3649" t="str">
            <v>광주영업소</v>
          </cell>
          <cell r="F3649" t="str">
            <v>5111</v>
          </cell>
          <cell r="G3649" t="str">
            <v>5111</v>
          </cell>
          <cell r="H3649" t="str">
            <v>19930201</v>
          </cell>
          <cell r="I3649">
            <v>10160008</v>
          </cell>
        </row>
        <row r="3650">
          <cell r="A3650" t="str">
            <v>9403402</v>
          </cell>
          <cell r="B3650" t="str">
            <v>이　영　훈</v>
          </cell>
          <cell r="C3650" t="str">
            <v>9403402이　영　훈</v>
          </cell>
          <cell r="D3650" t="str">
            <v>IA10</v>
          </cell>
          <cell r="E3650" t="str">
            <v>광주영업소</v>
          </cell>
          <cell r="F3650" t="str">
            <v>5111</v>
          </cell>
          <cell r="G3650" t="str">
            <v>5111</v>
          </cell>
          <cell r="H3650" t="str">
            <v>19940601</v>
          </cell>
          <cell r="I3650">
            <v>7491049</v>
          </cell>
        </row>
        <row r="3651">
          <cell r="A3651" t="str">
            <v>8500983</v>
          </cell>
          <cell r="B3651" t="str">
            <v>이　창　수</v>
          </cell>
          <cell r="C3651" t="str">
            <v>8500983이　창　수</v>
          </cell>
          <cell r="D3651" t="str">
            <v>IA10</v>
          </cell>
          <cell r="E3651" t="str">
            <v>광주영업소</v>
          </cell>
          <cell r="F3651" t="str">
            <v>5111</v>
          </cell>
          <cell r="G3651" t="str">
            <v>5111</v>
          </cell>
          <cell r="H3651" t="str">
            <v>19850401</v>
          </cell>
          <cell r="I3651">
            <v>21785637</v>
          </cell>
        </row>
        <row r="3652">
          <cell r="A3652" t="str">
            <v>9203905</v>
          </cell>
          <cell r="B3652" t="str">
            <v>조　동　필</v>
          </cell>
          <cell r="C3652" t="str">
            <v>9203905조　동　필</v>
          </cell>
          <cell r="D3652" t="str">
            <v>IA10</v>
          </cell>
          <cell r="E3652" t="str">
            <v>광주영업소</v>
          </cell>
          <cell r="F3652" t="str">
            <v>5111</v>
          </cell>
          <cell r="G3652" t="str">
            <v>5111</v>
          </cell>
          <cell r="H3652" t="str">
            <v>19920701</v>
          </cell>
          <cell r="I3652">
            <v>8507240</v>
          </cell>
        </row>
        <row r="3653">
          <cell r="A3653" t="str">
            <v>9351281</v>
          </cell>
          <cell r="B3653" t="str">
            <v>고　선　영</v>
          </cell>
          <cell r="C3653" t="str">
            <v>9351281고　선　영</v>
          </cell>
          <cell r="D3653" t="str">
            <v>IB10</v>
          </cell>
          <cell r="E3653" t="str">
            <v>대구영업소</v>
          </cell>
          <cell r="F3653" t="str">
            <v>5211</v>
          </cell>
          <cell r="G3653" t="e">
            <v>#N/A</v>
          </cell>
          <cell r="H3653" t="str">
            <v>19930701</v>
          </cell>
          <cell r="I3653">
            <v>8459121</v>
          </cell>
          <cell r="J3653" t="str">
            <v>3 월</v>
          </cell>
          <cell r="K3653">
            <v>8621132</v>
          </cell>
        </row>
        <row r="3654">
          <cell r="A3654" t="str">
            <v>8401138</v>
          </cell>
          <cell r="B3654" t="str">
            <v>권　오　주</v>
          </cell>
          <cell r="C3654" t="str">
            <v>8401138권　오　주</v>
          </cell>
          <cell r="D3654" t="str">
            <v>IB10</v>
          </cell>
          <cell r="E3654" t="str">
            <v>대구영업소</v>
          </cell>
          <cell r="F3654" t="str">
            <v>5211</v>
          </cell>
          <cell r="G3654" t="str">
            <v>5211</v>
          </cell>
          <cell r="H3654" t="str">
            <v>19840901</v>
          </cell>
          <cell r="I3654">
            <v>24740443</v>
          </cell>
        </row>
        <row r="3655">
          <cell r="A3655" t="str">
            <v>8901483</v>
          </cell>
          <cell r="B3655" t="str">
            <v>김　남　진</v>
          </cell>
          <cell r="C3655" t="str">
            <v>8901483김　남　진</v>
          </cell>
          <cell r="D3655" t="str">
            <v>IB10</v>
          </cell>
          <cell r="E3655" t="str">
            <v>대구영업소</v>
          </cell>
          <cell r="F3655" t="str">
            <v>5211</v>
          </cell>
          <cell r="G3655" t="str">
            <v>5211</v>
          </cell>
          <cell r="H3655" t="str">
            <v>19890601</v>
          </cell>
          <cell r="I3655">
            <v>15374123</v>
          </cell>
        </row>
        <row r="3656">
          <cell r="A3656" t="str">
            <v>8700963</v>
          </cell>
          <cell r="B3656" t="str">
            <v>김　성　환</v>
          </cell>
          <cell r="C3656" t="str">
            <v>8700963김　성　환</v>
          </cell>
          <cell r="D3656" t="str">
            <v>IB10</v>
          </cell>
          <cell r="E3656" t="str">
            <v>대구영업소</v>
          </cell>
          <cell r="F3656" t="str">
            <v>5211</v>
          </cell>
          <cell r="G3656" t="str">
            <v>5211</v>
          </cell>
          <cell r="H3656" t="str">
            <v>19870611</v>
          </cell>
          <cell r="I3656">
            <v>20142378</v>
          </cell>
        </row>
        <row r="3657">
          <cell r="A3657" t="str">
            <v>9650114</v>
          </cell>
          <cell r="B3657" t="str">
            <v>김　유　미</v>
          </cell>
          <cell r="C3657" t="str">
            <v>9650114김　유　미</v>
          </cell>
          <cell r="D3657" t="str">
            <v>IB10</v>
          </cell>
          <cell r="E3657" t="str">
            <v>대구영업소</v>
          </cell>
          <cell r="F3657" t="str">
            <v>5211</v>
          </cell>
          <cell r="G3657" t="str">
            <v>5211</v>
          </cell>
          <cell r="H3657" t="str">
            <v>19960304</v>
          </cell>
          <cell r="I3657">
            <v>4423443</v>
          </cell>
        </row>
        <row r="3658">
          <cell r="A3658" t="str">
            <v>9105412</v>
          </cell>
          <cell r="B3658" t="str">
            <v>김　종　열</v>
          </cell>
          <cell r="C3658" t="str">
            <v>9105412김　종　열</v>
          </cell>
          <cell r="D3658" t="str">
            <v>IB10</v>
          </cell>
          <cell r="E3658" t="str">
            <v>대구영업소</v>
          </cell>
          <cell r="F3658" t="str">
            <v>5211</v>
          </cell>
          <cell r="G3658" t="str">
            <v>5211</v>
          </cell>
          <cell r="H3658" t="str">
            <v>19911116</v>
          </cell>
          <cell r="I3658">
            <v>10456959</v>
          </cell>
        </row>
        <row r="3659">
          <cell r="A3659" t="str">
            <v>8502197</v>
          </cell>
          <cell r="B3659" t="str">
            <v>김　종　웅</v>
          </cell>
          <cell r="C3659" t="str">
            <v>8502197김　종　웅</v>
          </cell>
          <cell r="D3659" t="str">
            <v>IB10</v>
          </cell>
          <cell r="E3659" t="str">
            <v>대구영업소</v>
          </cell>
          <cell r="F3659" t="str">
            <v>5211</v>
          </cell>
          <cell r="G3659" t="str">
            <v>5211</v>
          </cell>
          <cell r="H3659" t="str">
            <v>19850901</v>
          </cell>
          <cell r="I3659">
            <v>32925743</v>
          </cell>
        </row>
        <row r="3660">
          <cell r="A3660" t="str">
            <v>9600366</v>
          </cell>
          <cell r="B3660" t="str">
            <v>김　중　조</v>
          </cell>
          <cell r="C3660" t="str">
            <v>9600366김　중　조</v>
          </cell>
          <cell r="D3660" t="str">
            <v>IB10</v>
          </cell>
          <cell r="E3660" t="str">
            <v>대구영업소</v>
          </cell>
          <cell r="F3660" t="str">
            <v>5211</v>
          </cell>
          <cell r="G3660" t="str">
            <v>5211</v>
          </cell>
          <cell r="H3660" t="str">
            <v>19960304</v>
          </cell>
          <cell r="I3660">
            <v>4693787</v>
          </cell>
        </row>
        <row r="3661">
          <cell r="A3661" t="str">
            <v>9208258</v>
          </cell>
          <cell r="B3661" t="str">
            <v>김　태　섭</v>
          </cell>
          <cell r="C3661" t="str">
            <v>9208258김　태　섭</v>
          </cell>
          <cell r="D3661" t="str">
            <v>IB10</v>
          </cell>
          <cell r="E3661" t="str">
            <v>대구영업소</v>
          </cell>
          <cell r="F3661" t="str">
            <v>5211</v>
          </cell>
          <cell r="G3661" t="str">
            <v>5211</v>
          </cell>
          <cell r="H3661" t="str">
            <v>19921216</v>
          </cell>
          <cell r="I3661">
            <v>9390554</v>
          </cell>
        </row>
        <row r="3662">
          <cell r="A3662" t="str">
            <v>8650675</v>
          </cell>
          <cell r="B3662" t="str">
            <v>김　태　순</v>
          </cell>
          <cell r="C3662" t="str">
            <v>8650675김　태　순</v>
          </cell>
          <cell r="D3662" t="str">
            <v>IB10</v>
          </cell>
          <cell r="E3662" t="str">
            <v>대구영업소</v>
          </cell>
          <cell r="F3662" t="str">
            <v>5211</v>
          </cell>
          <cell r="G3662" t="str">
            <v>5211</v>
          </cell>
          <cell r="H3662" t="str">
            <v>19860617</v>
          </cell>
          <cell r="I3662">
            <v>14430551</v>
          </cell>
        </row>
        <row r="3663">
          <cell r="A3663" t="str">
            <v>9350785</v>
          </cell>
          <cell r="B3663" t="str">
            <v>김　현　경</v>
          </cell>
          <cell r="C3663" t="str">
            <v>9350785김　현　경</v>
          </cell>
          <cell r="D3663" t="str">
            <v>IB10</v>
          </cell>
          <cell r="E3663" t="str">
            <v>대구영업소</v>
          </cell>
          <cell r="F3663" t="str">
            <v>5211</v>
          </cell>
          <cell r="G3663" t="e">
            <v>#N/A</v>
          </cell>
          <cell r="H3663" t="str">
            <v>19930524</v>
          </cell>
          <cell r="I3663">
            <v>8303837</v>
          </cell>
          <cell r="J3663" t="str">
            <v>3 월</v>
          </cell>
          <cell r="K3663">
            <v>8416360</v>
          </cell>
        </row>
        <row r="3664">
          <cell r="A3664" t="str">
            <v>9750194</v>
          </cell>
          <cell r="B3664" t="str">
            <v>김　현　숙</v>
          </cell>
          <cell r="C3664" t="str">
            <v>9750194김　현　숙</v>
          </cell>
          <cell r="D3664" t="str">
            <v>IB10</v>
          </cell>
          <cell r="E3664" t="str">
            <v>대구영업소</v>
          </cell>
          <cell r="F3664" t="str">
            <v>5211</v>
          </cell>
          <cell r="G3664" t="e">
            <v>#N/A</v>
          </cell>
          <cell r="H3664" t="str">
            <v>19970516</v>
          </cell>
          <cell r="I3664">
            <v>2937600</v>
          </cell>
          <cell r="J3664" t="str">
            <v>11 월</v>
          </cell>
          <cell r="K3664">
            <v>4675175</v>
          </cell>
        </row>
        <row r="3665">
          <cell r="A3665" t="str">
            <v>9000145</v>
          </cell>
          <cell r="B3665" t="str">
            <v>박　상　억</v>
          </cell>
          <cell r="C3665" t="str">
            <v>9000145박　상　억</v>
          </cell>
          <cell r="D3665" t="str">
            <v>IB10</v>
          </cell>
          <cell r="E3665" t="str">
            <v>대구영업소</v>
          </cell>
          <cell r="F3665" t="str">
            <v>5211</v>
          </cell>
          <cell r="G3665" t="str">
            <v>5211</v>
          </cell>
          <cell r="H3665" t="str">
            <v>19890503</v>
          </cell>
          <cell r="I3665">
            <v>14556899</v>
          </cell>
        </row>
        <row r="3666">
          <cell r="A3666" t="str">
            <v>9406102</v>
          </cell>
          <cell r="B3666" t="str">
            <v>박　평　환</v>
          </cell>
          <cell r="C3666" t="str">
            <v>9406102박　평　환</v>
          </cell>
          <cell r="D3666" t="str">
            <v>IB10</v>
          </cell>
          <cell r="E3666" t="str">
            <v>대구영업소</v>
          </cell>
          <cell r="F3666" t="str">
            <v>5211</v>
          </cell>
          <cell r="G3666" t="str">
            <v>5211</v>
          </cell>
          <cell r="H3666" t="str">
            <v>19940905</v>
          </cell>
          <cell r="I3666">
            <v>7074458</v>
          </cell>
        </row>
        <row r="3667">
          <cell r="A3667" t="str">
            <v>9403738</v>
          </cell>
          <cell r="B3667" t="str">
            <v>박　한　수</v>
          </cell>
          <cell r="C3667" t="str">
            <v>9403738박　한　수</v>
          </cell>
          <cell r="D3667" t="str">
            <v>IB10</v>
          </cell>
          <cell r="E3667" t="str">
            <v>대구영업소</v>
          </cell>
          <cell r="F3667" t="str">
            <v>5211</v>
          </cell>
          <cell r="G3667" t="str">
            <v>5211</v>
          </cell>
          <cell r="H3667" t="str">
            <v>19940601</v>
          </cell>
          <cell r="I3667">
            <v>7022906</v>
          </cell>
        </row>
        <row r="3668">
          <cell r="A3668" t="str">
            <v>9350774</v>
          </cell>
          <cell r="B3668" t="str">
            <v>배　성　화</v>
          </cell>
          <cell r="C3668" t="str">
            <v>9350774배　성　화</v>
          </cell>
          <cell r="D3668" t="str">
            <v>IB10</v>
          </cell>
          <cell r="E3668" t="str">
            <v>대구영업소</v>
          </cell>
          <cell r="F3668" t="str">
            <v>5211</v>
          </cell>
          <cell r="G3668" t="str">
            <v>5211</v>
          </cell>
          <cell r="H3668" t="str">
            <v>19930524</v>
          </cell>
          <cell r="I3668">
            <v>8699140</v>
          </cell>
        </row>
        <row r="3669">
          <cell r="A3669" t="str">
            <v>9403053</v>
          </cell>
          <cell r="B3669" t="str">
            <v>서　보　익</v>
          </cell>
          <cell r="C3669" t="str">
            <v>9403053서　보　익</v>
          </cell>
          <cell r="D3669" t="str">
            <v>IB10</v>
          </cell>
          <cell r="E3669" t="str">
            <v>대구영업소</v>
          </cell>
          <cell r="F3669" t="str">
            <v>5211</v>
          </cell>
          <cell r="G3669" t="str">
            <v>5211</v>
          </cell>
          <cell r="H3669" t="str">
            <v>19940516</v>
          </cell>
          <cell r="I3669">
            <v>6828371</v>
          </cell>
        </row>
        <row r="3670">
          <cell r="A3670" t="str">
            <v>9203038</v>
          </cell>
          <cell r="B3670" t="str">
            <v>서　상　교</v>
          </cell>
          <cell r="C3670" t="str">
            <v>9203038서　상　교</v>
          </cell>
          <cell r="D3670" t="str">
            <v>IB10</v>
          </cell>
          <cell r="E3670" t="str">
            <v>대구영업소</v>
          </cell>
          <cell r="F3670" t="str">
            <v>5211</v>
          </cell>
          <cell r="G3670" t="str">
            <v>5211</v>
          </cell>
          <cell r="H3670" t="str">
            <v>19920516</v>
          </cell>
          <cell r="I3670">
            <v>12793495</v>
          </cell>
        </row>
        <row r="3671">
          <cell r="A3671" t="str">
            <v>8801212</v>
          </cell>
          <cell r="B3671" t="str">
            <v>송　호　익</v>
          </cell>
          <cell r="C3671" t="str">
            <v>8801212송　호　익</v>
          </cell>
          <cell r="D3671" t="str">
            <v>IB10</v>
          </cell>
          <cell r="E3671" t="str">
            <v>대구영업소</v>
          </cell>
          <cell r="F3671" t="str">
            <v>5211</v>
          </cell>
          <cell r="G3671" t="str">
            <v>5211</v>
          </cell>
          <cell r="H3671" t="str">
            <v>19881016</v>
          </cell>
          <cell r="I3671">
            <v>19561148</v>
          </cell>
        </row>
        <row r="3672">
          <cell r="A3672" t="str">
            <v>9700997</v>
          </cell>
          <cell r="B3672" t="str">
            <v>안　병　권</v>
          </cell>
          <cell r="C3672" t="str">
            <v>9700997안　병　권</v>
          </cell>
          <cell r="D3672" t="str">
            <v>IB10</v>
          </cell>
          <cell r="E3672" t="str">
            <v>대구영업소</v>
          </cell>
          <cell r="F3672" t="str">
            <v>5211</v>
          </cell>
          <cell r="G3672" t="str">
            <v>5211</v>
          </cell>
          <cell r="H3672" t="str">
            <v>19970516</v>
          </cell>
          <cell r="I3672">
            <v>2983806</v>
          </cell>
        </row>
        <row r="3673">
          <cell r="A3673" t="str">
            <v>8601524</v>
          </cell>
          <cell r="B3673" t="str">
            <v>안　중　곤</v>
          </cell>
          <cell r="C3673" t="str">
            <v>8601524안　중　곤</v>
          </cell>
          <cell r="D3673" t="str">
            <v>IB10</v>
          </cell>
          <cell r="E3673" t="str">
            <v>대구영업소</v>
          </cell>
          <cell r="F3673" t="str">
            <v>5211</v>
          </cell>
          <cell r="G3673" t="str">
            <v>5211</v>
          </cell>
          <cell r="H3673" t="str">
            <v>19860515</v>
          </cell>
          <cell r="I3673">
            <v>24028941</v>
          </cell>
        </row>
        <row r="3674">
          <cell r="A3674" t="str">
            <v>8903147</v>
          </cell>
          <cell r="B3674" t="str">
            <v>우　홍　기</v>
          </cell>
          <cell r="C3674" t="str">
            <v>8903147우　홍　기</v>
          </cell>
          <cell r="D3674" t="str">
            <v>IB10</v>
          </cell>
          <cell r="E3674" t="str">
            <v>대구영업소</v>
          </cell>
          <cell r="F3674" t="str">
            <v>5211</v>
          </cell>
          <cell r="G3674" t="str">
            <v>5211</v>
          </cell>
          <cell r="H3674" t="str">
            <v>19891110</v>
          </cell>
          <cell r="I3674">
            <v>15142603</v>
          </cell>
        </row>
        <row r="3675">
          <cell r="A3675" t="str">
            <v>9700334</v>
          </cell>
          <cell r="B3675" t="str">
            <v>윤　형　진</v>
          </cell>
          <cell r="C3675" t="str">
            <v>9700334윤　형　진</v>
          </cell>
          <cell r="D3675" t="str">
            <v>IB10</v>
          </cell>
          <cell r="E3675" t="str">
            <v>대구영업소</v>
          </cell>
          <cell r="F3675" t="str">
            <v>5211</v>
          </cell>
          <cell r="G3675" t="str">
            <v>5211</v>
          </cell>
          <cell r="H3675" t="str">
            <v>19970401</v>
          </cell>
          <cell r="I3675">
            <v>3143234</v>
          </cell>
        </row>
        <row r="3676">
          <cell r="A3676" t="str">
            <v>9600377</v>
          </cell>
          <cell r="B3676" t="str">
            <v>이　성　용</v>
          </cell>
          <cell r="C3676" t="str">
            <v>9600377이　성　용</v>
          </cell>
          <cell r="D3676" t="str">
            <v>IB10</v>
          </cell>
          <cell r="E3676" t="str">
            <v>대구영업소</v>
          </cell>
          <cell r="F3676" t="str">
            <v>5211</v>
          </cell>
          <cell r="G3676" t="str">
            <v>5211</v>
          </cell>
          <cell r="H3676" t="str">
            <v>19960304</v>
          </cell>
          <cell r="I3676">
            <v>4420892</v>
          </cell>
        </row>
        <row r="3677">
          <cell r="A3677" t="str">
            <v>8902350</v>
          </cell>
          <cell r="B3677" t="str">
            <v>이　진　철</v>
          </cell>
          <cell r="C3677" t="str">
            <v>8902350이　진　철</v>
          </cell>
          <cell r="D3677" t="str">
            <v>IB10</v>
          </cell>
          <cell r="E3677" t="str">
            <v>대구영업소</v>
          </cell>
          <cell r="F3677" t="str">
            <v>5211</v>
          </cell>
          <cell r="G3677" t="str">
            <v>5211</v>
          </cell>
          <cell r="H3677" t="str">
            <v>19890925</v>
          </cell>
          <cell r="I3677">
            <v>13575677</v>
          </cell>
        </row>
        <row r="3678">
          <cell r="A3678" t="str">
            <v>9100934</v>
          </cell>
          <cell r="B3678" t="str">
            <v>이　창　화</v>
          </cell>
          <cell r="C3678" t="str">
            <v>9100934이　창　화</v>
          </cell>
          <cell r="D3678" t="str">
            <v>IB10</v>
          </cell>
          <cell r="E3678" t="str">
            <v>대구영업소</v>
          </cell>
          <cell r="F3678" t="str">
            <v>5211</v>
          </cell>
          <cell r="G3678" t="str">
            <v>5211</v>
          </cell>
          <cell r="H3678" t="str">
            <v>19910316</v>
          </cell>
          <cell r="I3678">
            <v>12243503</v>
          </cell>
        </row>
        <row r="3679">
          <cell r="A3679" t="str">
            <v>9403740</v>
          </cell>
          <cell r="B3679" t="str">
            <v>이　환　준</v>
          </cell>
          <cell r="C3679" t="str">
            <v>9403740이　환　준</v>
          </cell>
          <cell r="D3679" t="str">
            <v>IB10</v>
          </cell>
          <cell r="E3679" t="str">
            <v>대구영업소</v>
          </cell>
          <cell r="F3679" t="str">
            <v>5211</v>
          </cell>
          <cell r="G3679" t="str">
            <v>5211</v>
          </cell>
          <cell r="H3679" t="str">
            <v>19940601</v>
          </cell>
          <cell r="I3679">
            <v>6403760</v>
          </cell>
        </row>
        <row r="3680">
          <cell r="A3680" t="str">
            <v>9203016</v>
          </cell>
          <cell r="B3680" t="str">
            <v>임　치　근</v>
          </cell>
          <cell r="C3680" t="str">
            <v>9203016임　치　근</v>
          </cell>
          <cell r="D3680" t="str">
            <v>IB10</v>
          </cell>
          <cell r="E3680" t="str">
            <v>대구영업소</v>
          </cell>
          <cell r="F3680" t="str">
            <v>5211</v>
          </cell>
          <cell r="G3680" t="str">
            <v>5211</v>
          </cell>
          <cell r="H3680" t="str">
            <v>19920516</v>
          </cell>
          <cell r="I3680">
            <v>10172189</v>
          </cell>
        </row>
        <row r="3681">
          <cell r="A3681" t="str">
            <v>9504033</v>
          </cell>
          <cell r="B3681" t="str">
            <v>장　수　진</v>
          </cell>
          <cell r="C3681" t="str">
            <v>9504033장　수　진</v>
          </cell>
          <cell r="D3681" t="str">
            <v>IB10</v>
          </cell>
          <cell r="E3681" t="str">
            <v>대구영업소</v>
          </cell>
          <cell r="F3681" t="str">
            <v>5211</v>
          </cell>
          <cell r="G3681" t="str">
            <v>5211</v>
          </cell>
          <cell r="H3681" t="str">
            <v>19951218</v>
          </cell>
          <cell r="I3681">
            <v>5012875</v>
          </cell>
        </row>
        <row r="3682">
          <cell r="A3682" t="str">
            <v>8801098</v>
          </cell>
          <cell r="B3682" t="str">
            <v>전　기　종</v>
          </cell>
          <cell r="C3682" t="str">
            <v>8801098전　기　종</v>
          </cell>
          <cell r="D3682" t="str">
            <v>IB10</v>
          </cell>
          <cell r="E3682" t="str">
            <v>대구영업소</v>
          </cell>
          <cell r="F3682" t="str">
            <v>5211</v>
          </cell>
          <cell r="G3682" t="str">
            <v>5211</v>
          </cell>
          <cell r="H3682" t="str">
            <v>19880601</v>
          </cell>
          <cell r="I3682">
            <v>17042474</v>
          </cell>
        </row>
        <row r="3683">
          <cell r="A3683" t="str">
            <v>8300700</v>
          </cell>
          <cell r="B3683" t="str">
            <v>전　찬　기</v>
          </cell>
          <cell r="C3683" t="str">
            <v>8300700전　찬　기</v>
          </cell>
          <cell r="D3683" t="str">
            <v>IB10</v>
          </cell>
          <cell r="E3683" t="str">
            <v>대구영업소</v>
          </cell>
          <cell r="F3683" t="str">
            <v>5211</v>
          </cell>
          <cell r="G3683" t="str">
            <v>5211</v>
          </cell>
          <cell r="H3683" t="str">
            <v>19830801</v>
          </cell>
          <cell r="I3683">
            <v>27999392</v>
          </cell>
        </row>
        <row r="3684">
          <cell r="A3684" t="str">
            <v>7900356</v>
          </cell>
          <cell r="B3684" t="str">
            <v>정　경　훈</v>
          </cell>
          <cell r="C3684" t="str">
            <v>7900356정　경　훈</v>
          </cell>
          <cell r="D3684" t="str">
            <v>IB10</v>
          </cell>
          <cell r="E3684" t="str">
            <v>대구영업소</v>
          </cell>
          <cell r="F3684" t="str">
            <v>5211</v>
          </cell>
          <cell r="G3684" t="e">
            <v>#N/A</v>
          </cell>
          <cell r="H3684" t="str">
            <v>19790510</v>
          </cell>
          <cell r="I3684">
            <v>43495775</v>
          </cell>
          <cell r="J3684" t="str">
            <v>12 월</v>
          </cell>
          <cell r="K3684">
            <v>55838610</v>
          </cell>
        </row>
        <row r="3685">
          <cell r="A3685" t="str">
            <v>9203027</v>
          </cell>
          <cell r="B3685" t="str">
            <v>조　상　호</v>
          </cell>
          <cell r="C3685" t="str">
            <v>9203027조　상　호</v>
          </cell>
          <cell r="D3685" t="str">
            <v>IB10</v>
          </cell>
          <cell r="E3685" t="str">
            <v>대구영업소</v>
          </cell>
          <cell r="F3685" t="str">
            <v>5211</v>
          </cell>
          <cell r="G3685" t="str">
            <v>5211</v>
          </cell>
          <cell r="H3685" t="str">
            <v>19920516</v>
          </cell>
          <cell r="I3685">
            <v>10172189</v>
          </cell>
        </row>
        <row r="3686">
          <cell r="A3686" t="str">
            <v>9203984</v>
          </cell>
          <cell r="B3686" t="str">
            <v>최　규　석</v>
          </cell>
          <cell r="C3686" t="str">
            <v>9203984최　규　석</v>
          </cell>
          <cell r="D3686" t="str">
            <v>IB10</v>
          </cell>
          <cell r="E3686" t="str">
            <v>대구영업소</v>
          </cell>
          <cell r="F3686" t="str">
            <v>5211</v>
          </cell>
          <cell r="G3686" t="str">
            <v>5211</v>
          </cell>
          <cell r="H3686" t="str">
            <v>19920716</v>
          </cell>
          <cell r="I3686">
            <v>9949417</v>
          </cell>
        </row>
        <row r="3687">
          <cell r="A3687" t="str">
            <v>9152932</v>
          </cell>
          <cell r="B3687" t="str">
            <v>최　옥　순</v>
          </cell>
          <cell r="C3687" t="str">
            <v>9152932최　옥　순</v>
          </cell>
          <cell r="D3687" t="str">
            <v>IB10</v>
          </cell>
          <cell r="E3687" t="str">
            <v>대구영업소</v>
          </cell>
          <cell r="F3687" t="str">
            <v>5211</v>
          </cell>
          <cell r="G3687" t="str">
            <v>5211</v>
          </cell>
          <cell r="H3687" t="str">
            <v>19911116</v>
          </cell>
          <cell r="I3687">
            <v>7844677</v>
          </cell>
        </row>
        <row r="3688">
          <cell r="A3688" t="str">
            <v>9750205</v>
          </cell>
          <cell r="B3688" t="str">
            <v>최　효　성</v>
          </cell>
          <cell r="C3688" t="str">
            <v>9750205최　효　성</v>
          </cell>
          <cell r="D3688" t="str">
            <v>IB10</v>
          </cell>
          <cell r="E3688" t="str">
            <v>대구영업소</v>
          </cell>
          <cell r="F3688" t="str">
            <v>5211</v>
          </cell>
          <cell r="G3688" t="str">
            <v>5211</v>
          </cell>
          <cell r="H3688" t="str">
            <v>19970516</v>
          </cell>
          <cell r="I3688">
            <v>2937600</v>
          </cell>
        </row>
        <row r="3689">
          <cell r="A3689" t="str">
            <v>9600333</v>
          </cell>
          <cell r="B3689" t="str">
            <v>홍　주　영</v>
          </cell>
          <cell r="C3689" t="str">
            <v>9600333홍　주　영</v>
          </cell>
          <cell r="D3689" t="str">
            <v>IB10</v>
          </cell>
          <cell r="E3689" t="str">
            <v>대구영업소</v>
          </cell>
          <cell r="F3689" t="str">
            <v>5211</v>
          </cell>
          <cell r="G3689" t="str">
            <v>5211</v>
          </cell>
          <cell r="H3689" t="str">
            <v>19960304</v>
          </cell>
          <cell r="I3689">
            <v>5042004</v>
          </cell>
        </row>
        <row r="3690">
          <cell r="A3690" t="str">
            <v>9351606</v>
          </cell>
          <cell r="B3690" t="str">
            <v>공　성　남</v>
          </cell>
          <cell r="C3690" t="str">
            <v>9351606공　성　남</v>
          </cell>
          <cell r="D3690" t="str">
            <v>IC10</v>
          </cell>
          <cell r="E3690" t="str">
            <v>울산영업소</v>
          </cell>
          <cell r="F3690" t="str">
            <v>5311</v>
          </cell>
          <cell r="G3690" t="str">
            <v>5311</v>
          </cell>
          <cell r="H3690" t="str">
            <v>19930816</v>
          </cell>
          <cell r="I3690">
            <v>7999632</v>
          </cell>
        </row>
        <row r="3691">
          <cell r="A3691" t="str">
            <v>7900593</v>
          </cell>
          <cell r="B3691" t="str">
            <v>김　달　해</v>
          </cell>
          <cell r="C3691" t="str">
            <v>7900593김　달　해</v>
          </cell>
          <cell r="D3691" t="str">
            <v>IC10</v>
          </cell>
          <cell r="E3691" t="str">
            <v>울산영업소</v>
          </cell>
          <cell r="F3691" t="str">
            <v>5311</v>
          </cell>
          <cell r="G3691" t="str">
            <v>5311</v>
          </cell>
          <cell r="H3691" t="str">
            <v>19790801</v>
          </cell>
          <cell r="I3691">
            <v>36901989</v>
          </cell>
        </row>
        <row r="3692">
          <cell r="A3692" t="str">
            <v>9205503</v>
          </cell>
          <cell r="B3692" t="str">
            <v>김　동　관</v>
          </cell>
          <cell r="C3692" t="str">
            <v>9205503김　동　관</v>
          </cell>
          <cell r="D3692" t="str">
            <v>IC10</v>
          </cell>
          <cell r="E3692" t="str">
            <v>울산영업소</v>
          </cell>
          <cell r="F3692" t="str">
            <v>5311</v>
          </cell>
          <cell r="G3692" t="str">
            <v>5311</v>
          </cell>
          <cell r="H3692" t="str">
            <v>19920901</v>
          </cell>
          <cell r="I3692">
            <v>8373294</v>
          </cell>
        </row>
        <row r="3693">
          <cell r="A3693" t="str">
            <v>9406361</v>
          </cell>
          <cell r="B3693" t="str">
            <v>김　동　인</v>
          </cell>
          <cell r="C3693" t="str">
            <v>9406361김　동　인</v>
          </cell>
          <cell r="D3693" t="str">
            <v>IC10</v>
          </cell>
          <cell r="E3693" t="str">
            <v>울산영업소</v>
          </cell>
          <cell r="F3693" t="str">
            <v>5311</v>
          </cell>
          <cell r="G3693" t="str">
            <v>2320</v>
          </cell>
          <cell r="H3693" t="str">
            <v>19941208</v>
          </cell>
          <cell r="I3693">
            <v>6548025</v>
          </cell>
        </row>
        <row r="3694">
          <cell r="A3694" t="str">
            <v>9701008</v>
          </cell>
          <cell r="B3694" t="str">
            <v>김　인　한</v>
          </cell>
          <cell r="C3694" t="str">
            <v>9701008김　인　한</v>
          </cell>
          <cell r="D3694" t="str">
            <v>IC10</v>
          </cell>
          <cell r="E3694" t="str">
            <v>울산영업소</v>
          </cell>
          <cell r="F3694" t="str">
            <v>5311</v>
          </cell>
          <cell r="G3694" t="str">
            <v>5311</v>
          </cell>
          <cell r="H3694" t="str">
            <v>19970516</v>
          </cell>
          <cell r="I3694">
            <v>2996383</v>
          </cell>
        </row>
        <row r="3695">
          <cell r="A3695" t="str">
            <v>8401151</v>
          </cell>
          <cell r="B3695" t="str">
            <v>김　중　학</v>
          </cell>
          <cell r="C3695" t="str">
            <v>8401151김　중　학</v>
          </cell>
          <cell r="D3695" t="str">
            <v>IC10</v>
          </cell>
          <cell r="E3695" t="str">
            <v>울산영업소</v>
          </cell>
          <cell r="F3695" t="str">
            <v>5311</v>
          </cell>
          <cell r="G3695" t="str">
            <v>5311</v>
          </cell>
          <cell r="H3695" t="str">
            <v>19840901</v>
          </cell>
          <cell r="I3695">
            <v>26793769</v>
          </cell>
        </row>
        <row r="3696">
          <cell r="A3696" t="str">
            <v>9305447</v>
          </cell>
          <cell r="B3696" t="str">
            <v>김　효　정</v>
          </cell>
          <cell r="C3696" t="str">
            <v>9305447김　효　정</v>
          </cell>
          <cell r="D3696" t="str">
            <v>IC10</v>
          </cell>
          <cell r="E3696" t="str">
            <v>울산영업소</v>
          </cell>
          <cell r="F3696" t="str">
            <v>5311</v>
          </cell>
          <cell r="G3696" t="str">
            <v>5311</v>
          </cell>
          <cell r="H3696" t="str">
            <v>19930816</v>
          </cell>
          <cell r="I3696">
            <v>8373944</v>
          </cell>
        </row>
        <row r="3697">
          <cell r="A3697" t="str">
            <v>9206583</v>
          </cell>
          <cell r="B3697" t="str">
            <v>남　이　섭</v>
          </cell>
          <cell r="C3697" t="str">
            <v>9206583남　이　섭</v>
          </cell>
          <cell r="D3697" t="str">
            <v>IC10</v>
          </cell>
          <cell r="E3697" t="str">
            <v>울산영업소</v>
          </cell>
          <cell r="F3697" t="str">
            <v>5311</v>
          </cell>
          <cell r="G3697" t="str">
            <v>5311</v>
          </cell>
          <cell r="H3697" t="str">
            <v>19921016</v>
          </cell>
          <cell r="I3697">
            <v>10280983</v>
          </cell>
        </row>
        <row r="3698">
          <cell r="A3698" t="str">
            <v>9205200</v>
          </cell>
          <cell r="B3698" t="str">
            <v>류　웅　렬</v>
          </cell>
          <cell r="C3698" t="str">
            <v>9205200류　웅　렬</v>
          </cell>
          <cell r="D3698" t="str">
            <v>IC10</v>
          </cell>
          <cell r="E3698" t="str">
            <v>울산영업소</v>
          </cell>
          <cell r="F3698" t="str">
            <v>5311</v>
          </cell>
          <cell r="G3698" t="str">
            <v>5311</v>
          </cell>
          <cell r="H3698" t="str">
            <v>19920817</v>
          </cell>
          <cell r="I3698">
            <v>12420794</v>
          </cell>
        </row>
        <row r="3699">
          <cell r="A3699" t="str">
            <v>9750317</v>
          </cell>
          <cell r="B3699" t="str">
            <v>민　정　애</v>
          </cell>
          <cell r="C3699" t="str">
            <v>9750317민　정　애</v>
          </cell>
          <cell r="D3699" t="str">
            <v>IC10</v>
          </cell>
          <cell r="E3699" t="str">
            <v>울산영업소</v>
          </cell>
          <cell r="F3699" t="str">
            <v>5311</v>
          </cell>
          <cell r="G3699" t="str">
            <v>5311</v>
          </cell>
          <cell r="H3699" t="str">
            <v>19970716</v>
          </cell>
          <cell r="I3699">
            <v>2772377</v>
          </cell>
        </row>
        <row r="3700">
          <cell r="A3700" t="str">
            <v>8901437</v>
          </cell>
          <cell r="B3700" t="str">
            <v>박　병　기</v>
          </cell>
          <cell r="C3700" t="str">
            <v>8901437박　병　기</v>
          </cell>
          <cell r="D3700" t="str">
            <v>IC10</v>
          </cell>
          <cell r="E3700" t="str">
            <v>울산영업소</v>
          </cell>
          <cell r="F3700" t="str">
            <v>5311</v>
          </cell>
          <cell r="G3700" t="str">
            <v>5311</v>
          </cell>
          <cell r="H3700" t="str">
            <v>19890601</v>
          </cell>
          <cell r="I3700">
            <v>18488687</v>
          </cell>
        </row>
        <row r="3701">
          <cell r="A3701" t="str">
            <v>9702000</v>
          </cell>
          <cell r="B3701" t="str">
            <v>배　경　호</v>
          </cell>
          <cell r="C3701" t="str">
            <v>9702000배　경　호</v>
          </cell>
          <cell r="D3701" t="str">
            <v>IC10</v>
          </cell>
          <cell r="E3701" t="str">
            <v>울산영업소</v>
          </cell>
          <cell r="F3701" t="str">
            <v>5311</v>
          </cell>
          <cell r="G3701" t="str">
            <v>5311</v>
          </cell>
          <cell r="H3701" t="str">
            <v>19970716</v>
          </cell>
          <cell r="I3701">
            <v>2813142</v>
          </cell>
        </row>
        <row r="3702">
          <cell r="A3702" t="str">
            <v>9750104</v>
          </cell>
          <cell r="B3702" t="str">
            <v>배　보　희</v>
          </cell>
          <cell r="C3702" t="str">
            <v>9750104배　보　희</v>
          </cell>
          <cell r="D3702" t="str">
            <v>IC10</v>
          </cell>
          <cell r="E3702" t="str">
            <v>울산영업소</v>
          </cell>
          <cell r="F3702" t="str">
            <v>5311</v>
          </cell>
          <cell r="G3702" t="e">
            <v>#N/A</v>
          </cell>
          <cell r="H3702" t="str">
            <v>19970401</v>
          </cell>
          <cell r="I3702">
            <v>3110086</v>
          </cell>
          <cell r="J3702" t="str">
            <v>10 월</v>
          </cell>
          <cell r="K3702">
            <v>5113330</v>
          </cell>
        </row>
        <row r="3703">
          <cell r="A3703" t="str">
            <v>8701075</v>
          </cell>
          <cell r="B3703" t="str">
            <v>백　득　진</v>
          </cell>
          <cell r="C3703" t="str">
            <v>8701075백　득　진</v>
          </cell>
          <cell r="D3703" t="str">
            <v>IC10</v>
          </cell>
          <cell r="E3703" t="str">
            <v>울산영업소</v>
          </cell>
          <cell r="F3703" t="str">
            <v>5311</v>
          </cell>
          <cell r="G3703" t="str">
            <v>5311</v>
          </cell>
          <cell r="H3703" t="str">
            <v>19870622</v>
          </cell>
          <cell r="I3703">
            <v>20842594</v>
          </cell>
        </row>
        <row r="3704">
          <cell r="A3704" t="str">
            <v>9750093</v>
          </cell>
          <cell r="B3704" t="str">
            <v>손　정　미</v>
          </cell>
          <cell r="C3704" t="str">
            <v>9750093손　정　미</v>
          </cell>
          <cell r="D3704" t="str">
            <v>IC10</v>
          </cell>
          <cell r="E3704" t="str">
            <v>울산영업소</v>
          </cell>
          <cell r="F3704" t="str">
            <v>5311</v>
          </cell>
          <cell r="G3704" t="str">
            <v>5311</v>
          </cell>
          <cell r="H3704" t="str">
            <v>19970401</v>
          </cell>
          <cell r="I3704">
            <v>3093235</v>
          </cell>
        </row>
        <row r="3705">
          <cell r="A3705" t="str">
            <v>9001822</v>
          </cell>
          <cell r="B3705" t="str">
            <v>송　승　준</v>
          </cell>
          <cell r="C3705" t="str">
            <v>9001822송　승　준</v>
          </cell>
          <cell r="D3705" t="str">
            <v>IC10</v>
          </cell>
          <cell r="E3705" t="str">
            <v>울산영업소</v>
          </cell>
          <cell r="F3705" t="str">
            <v>5311</v>
          </cell>
          <cell r="G3705" t="str">
            <v>5311</v>
          </cell>
          <cell r="H3705" t="str">
            <v>19900601</v>
          </cell>
          <cell r="I3705">
            <v>13200210</v>
          </cell>
        </row>
        <row r="3706">
          <cell r="A3706" t="str">
            <v>8702100</v>
          </cell>
          <cell r="B3706" t="str">
            <v>오　용　웅</v>
          </cell>
          <cell r="C3706" t="str">
            <v>8702100오　용　웅</v>
          </cell>
          <cell r="D3706" t="str">
            <v>IC10</v>
          </cell>
          <cell r="E3706" t="str">
            <v>울산영업소</v>
          </cell>
          <cell r="F3706" t="str">
            <v>5311</v>
          </cell>
          <cell r="G3706" t="str">
            <v>5311</v>
          </cell>
          <cell r="H3706" t="str">
            <v>19981201</v>
          </cell>
          <cell r="I3706">
            <v>1901558</v>
          </cell>
        </row>
        <row r="3707">
          <cell r="A3707" t="str">
            <v>9700345</v>
          </cell>
          <cell r="B3707" t="str">
            <v>오　창　용</v>
          </cell>
          <cell r="C3707" t="str">
            <v>9700345오　창　용</v>
          </cell>
          <cell r="D3707" t="str">
            <v>IC10</v>
          </cell>
          <cell r="E3707" t="str">
            <v>울산영업소</v>
          </cell>
          <cell r="F3707" t="str">
            <v>5311</v>
          </cell>
          <cell r="G3707" t="str">
            <v>5311</v>
          </cell>
          <cell r="H3707" t="str">
            <v>19970401</v>
          </cell>
          <cell r="I3707">
            <v>3045546</v>
          </cell>
        </row>
        <row r="3708">
          <cell r="A3708" t="str">
            <v>8903068</v>
          </cell>
          <cell r="B3708" t="str">
            <v>오　춘　규</v>
          </cell>
          <cell r="C3708" t="str">
            <v>8903068오　춘　규</v>
          </cell>
          <cell r="D3708" t="str">
            <v>IC10</v>
          </cell>
          <cell r="E3708" t="str">
            <v>울산영업소</v>
          </cell>
          <cell r="F3708" t="str">
            <v>5311</v>
          </cell>
          <cell r="G3708" t="str">
            <v>5311</v>
          </cell>
          <cell r="H3708" t="str">
            <v>19890317</v>
          </cell>
          <cell r="I3708">
            <v>13349558</v>
          </cell>
        </row>
        <row r="3709">
          <cell r="A3709" t="str">
            <v>9600344</v>
          </cell>
          <cell r="B3709" t="str">
            <v>이　강　호</v>
          </cell>
          <cell r="C3709" t="str">
            <v>9600344이　강　호</v>
          </cell>
          <cell r="D3709" t="str">
            <v>IC10</v>
          </cell>
          <cell r="E3709" t="str">
            <v>울산영업소</v>
          </cell>
          <cell r="F3709" t="str">
            <v>5311</v>
          </cell>
          <cell r="G3709" t="str">
            <v>5311</v>
          </cell>
          <cell r="H3709" t="str">
            <v>19960304</v>
          </cell>
          <cell r="I3709">
            <v>5077069</v>
          </cell>
        </row>
        <row r="3710">
          <cell r="A3710" t="str">
            <v>9001721</v>
          </cell>
          <cell r="B3710" t="str">
            <v>이　경　호</v>
          </cell>
          <cell r="C3710" t="str">
            <v>9001721이　경　호</v>
          </cell>
          <cell r="D3710" t="str">
            <v>IC10</v>
          </cell>
          <cell r="E3710" t="str">
            <v>울산영업소</v>
          </cell>
          <cell r="F3710" t="str">
            <v>5311</v>
          </cell>
          <cell r="G3710" t="str">
            <v>5311</v>
          </cell>
          <cell r="H3710" t="str">
            <v>19891120</v>
          </cell>
          <cell r="I3710">
            <v>11963324</v>
          </cell>
        </row>
        <row r="3711">
          <cell r="A3711" t="str">
            <v>8300687</v>
          </cell>
          <cell r="B3711" t="str">
            <v>이　수　팔</v>
          </cell>
          <cell r="C3711" t="str">
            <v>8300687이　수　팔</v>
          </cell>
          <cell r="D3711" t="str">
            <v>IC10</v>
          </cell>
          <cell r="E3711" t="str">
            <v>울산영업소</v>
          </cell>
          <cell r="F3711" t="str">
            <v>5311</v>
          </cell>
          <cell r="G3711" t="str">
            <v>5311</v>
          </cell>
          <cell r="H3711" t="str">
            <v>19830801</v>
          </cell>
          <cell r="I3711">
            <v>31596604</v>
          </cell>
        </row>
        <row r="3712">
          <cell r="A3712" t="str">
            <v>8502265</v>
          </cell>
          <cell r="B3712" t="str">
            <v>이　태　혁</v>
          </cell>
          <cell r="C3712" t="str">
            <v>8502265이　태　혁</v>
          </cell>
          <cell r="D3712" t="str">
            <v>IC10</v>
          </cell>
          <cell r="E3712" t="str">
            <v>울산영업소</v>
          </cell>
          <cell r="F3712" t="str">
            <v>5311</v>
          </cell>
          <cell r="G3712" t="str">
            <v>5311</v>
          </cell>
          <cell r="H3712" t="str">
            <v>19850901</v>
          </cell>
          <cell r="I3712">
            <v>32822078</v>
          </cell>
        </row>
        <row r="3713">
          <cell r="A3713" t="str">
            <v>8901450</v>
          </cell>
          <cell r="B3713" t="str">
            <v>임　종　광</v>
          </cell>
          <cell r="C3713" t="str">
            <v>8901450임　종　광</v>
          </cell>
          <cell r="D3713" t="str">
            <v>IC10</v>
          </cell>
          <cell r="E3713" t="str">
            <v>울산영업소</v>
          </cell>
          <cell r="F3713" t="str">
            <v>5311</v>
          </cell>
          <cell r="G3713" t="str">
            <v>5311</v>
          </cell>
          <cell r="H3713" t="str">
            <v>19890601</v>
          </cell>
          <cell r="I3713">
            <v>16017103</v>
          </cell>
        </row>
        <row r="3714">
          <cell r="A3714" t="str">
            <v>9305458</v>
          </cell>
          <cell r="B3714" t="str">
            <v>조　덕　제</v>
          </cell>
          <cell r="C3714" t="str">
            <v>9305458조　덕　제</v>
          </cell>
          <cell r="D3714" t="str">
            <v>IC10</v>
          </cell>
          <cell r="E3714" t="str">
            <v>울산영업소</v>
          </cell>
          <cell r="F3714" t="str">
            <v>5311</v>
          </cell>
          <cell r="G3714" t="str">
            <v>5311</v>
          </cell>
          <cell r="H3714" t="str">
            <v>19930816</v>
          </cell>
          <cell r="I3714">
            <v>8584851</v>
          </cell>
        </row>
        <row r="3715">
          <cell r="A3715" t="str">
            <v>8550292</v>
          </cell>
          <cell r="B3715" t="str">
            <v>조　선　여</v>
          </cell>
          <cell r="C3715" t="str">
            <v>8550292조　선　여</v>
          </cell>
          <cell r="D3715" t="str">
            <v>IC10</v>
          </cell>
          <cell r="E3715" t="str">
            <v>울산영업소</v>
          </cell>
          <cell r="F3715" t="str">
            <v>5311</v>
          </cell>
          <cell r="G3715" t="str">
            <v>5311</v>
          </cell>
          <cell r="H3715" t="str">
            <v>19850401</v>
          </cell>
          <cell r="I3715">
            <v>17589741</v>
          </cell>
        </row>
        <row r="3716">
          <cell r="A3716" t="str">
            <v>9250806</v>
          </cell>
          <cell r="B3716" t="str">
            <v>최　정　애</v>
          </cell>
          <cell r="C3716" t="str">
            <v>9250806최　정　애</v>
          </cell>
          <cell r="D3716" t="str">
            <v>IC10</v>
          </cell>
          <cell r="E3716" t="str">
            <v>울산영업소</v>
          </cell>
          <cell r="F3716" t="str">
            <v>5311</v>
          </cell>
          <cell r="G3716" t="e">
            <v>#N/A</v>
          </cell>
          <cell r="H3716" t="str">
            <v>19920416</v>
          </cell>
          <cell r="I3716">
            <v>10051579</v>
          </cell>
          <cell r="J3716" t="str">
            <v>2 월</v>
          </cell>
          <cell r="K3716">
            <v>10107561</v>
          </cell>
        </row>
        <row r="3717">
          <cell r="A3717" t="str">
            <v>9203051</v>
          </cell>
          <cell r="B3717" t="str">
            <v>구　기　수</v>
          </cell>
          <cell r="C3717" t="str">
            <v>9203051구　기　수</v>
          </cell>
          <cell r="D3717" t="str">
            <v>ID10</v>
          </cell>
          <cell r="E3717" t="str">
            <v>여수영업소</v>
          </cell>
          <cell r="F3717" t="str">
            <v>5411</v>
          </cell>
          <cell r="G3717" t="str">
            <v>5411</v>
          </cell>
          <cell r="H3717" t="str">
            <v>19920516</v>
          </cell>
          <cell r="I3717">
            <v>10771709</v>
          </cell>
        </row>
        <row r="3718">
          <cell r="A3718" t="str">
            <v>9203567</v>
          </cell>
          <cell r="B3718" t="str">
            <v>권　수　현</v>
          </cell>
          <cell r="C3718" t="str">
            <v>9203567권　수　현</v>
          </cell>
          <cell r="D3718" t="str">
            <v>ID10</v>
          </cell>
          <cell r="E3718" t="str">
            <v>여수영업소</v>
          </cell>
          <cell r="F3718" t="str">
            <v>5411</v>
          </cell>
          <cell r="G3718" t="str">
            <v>5411</v>
          </cell>
          <cell r="H3718" t="str">
            <v>19920701</v>
          </cell>
          <cell r="I3718">
            <v>10395227</v>
          </cell>
        </row>
        <row r="3719">
          <cell r="A3719" t="str">
            <v>9307315</v>
          </cell>
          <cell r="B3719" t="str">
            <v>김　광　주</v>
          </cell>
          <cell r="C3719" t="str">
            <v>9307315김　광　주</v>
          </cell>
          <cell r="D3719" t="str">
            <v>ID10</v>
          </cell>
          <cell r="E3719" t="str">
            <v>여수영업소</v>
          </cell>
          <cell r="F3719" t="str">
            <v>5411</v>
          </cell>
          <cell r="G3719" t="str">
            <v>5411</v>
          </cell>
          <cell r="H3719" t="str">
            <v>19931116</v>
          </cell>
          <cell r="I3719">
            <v>7458913</v>
          </cell>
        </row>
        <row r="3720">
          <cell r="A3720" t="str">
            <v>9303120</v>
          </cell>
          <cell r="B3720" t="str">
            <v>김　정　석</v>
          </cell>
          <cell r="C3720" t="str">
            <v>9303120김　정　석</v>
          </cell>
          <cell r="D3720" t="str">
            <v>ID10</v>
          </cell>
          <cell r="E3720" t="str">
            <v>여수영업소</v>
          </cell>
          <cell r="F3720" t="str">
            <v>5411</v>
          </cell>
          <cell r="G3720" t="str">
            <v>5411</v>
          </cell>
          <cell r="H3720" t="str">
            <v>19930524</v>
          </cell>
          <cell r="I3720">
            <v>8569183</v>
          </cell>
        </row>
        <row r="3721">
          <cell r="A3721" t="str">
            <v>8651430</v>
          </cell>
          <cell r="B3721" t="str">
            <v>박　정　자</v>
          </cell>
          <cell r="C3721" t="str">
            <v>8651430박　정　자</v>
          </cell>
          <cell r="D3721" t="str">
            <v>ID10</v>
          </cell>
          <cell r="E3721" t="str">
            <v>여수영업소</v>
          </cell>
          <cell r="F3721" t="str">
            <v>5411</v>
          </cell>
          <cell r="G3721" t="str">
            <v>5411</v>
          </cell>
          <cell r="H3721" t="str">
            <v>19860909</v>
          </cell>
          <cell r="I3721">
            <v>15344635</v>
          </cell>
        </row>
        <row r="3722">
          <cell r="A3722" t="str">
            <v>9302343</v>
          </cell>
          <cell r="B3722" t="str">
            <v>박　종　광</v>
          </cell>
          <cell r="C3722" t="str">
            <v>9302343박　종　광</v>
          </cell>
          <cell r="D3722" t="str">
            <v>ID10</v>
          </cell>
          <cell r="E3722" t="str">
            <v>여수영업소</v>
          </cell>
          <cell r="F3722" t="str">
            <v>5411</v>
          </cell>
          <cell r="G3722" t="str">
            <v>5411</v>
          </cell>
          <cell r="H3722" t="str">
            <v>19930501</v>
          </cell>
          <cell r="I3722">
            <v>8545246</v>
          </cell>
        </row>
        <row r="3723">
          <cell r="A3723" t="str">
            <v>9204840</v>
          </cell>
          <cell r="B3723" t="str">
            <v>배　익　주</v>
          </cell>
          <cell r="C3723" t="str">
            <v>9204840배　익　주</v>
          </cell>
          <cell r="D3723" t="str">
            <v>ID10</v>
          </cell>
          <cell r="E3723" t="str">
            <v>여수영업소</v>
          </cell>
          <cell r="F3723" t="str">
            <v>5411</v>
          </cell>
          <cell r="G3723" t="str">
            <v>5411</v>
          </cell>
          <cell r="H3723" t="str">
            <v>19920810</v>
          </cell>
          <cell r="I3723">
            <v>10331883</v>
          </cell>
        </row>
        <row r="3724">
          <cell r="A3724" t="str">
            <v>9401411</v>
          </cell>
          <cell r="B3724" t="str">
            <v>서　선　태</v>
          </cell>
          <cell r="C3724" t="str">
            <v>9401411서　선　태</v>
          </cell>
          <cell r="D3724" t="str">
            <v>ID10</v>
          </cell>
          <cell r="E3724" t="str">
            <v>여수영업소</v>
          </cell>
          <cell r="F3724" t="str">
            <v>5411</v>
          </cell>
          <cell r="G3724" t="str">
            <v>5411</v>
          </cell>
          <cell r="H3724" t="str">
            <v>19940305</v>
          </cell>
          <cell r="I3724">
            <v>7418152</v>
          </cell>
        </row>
        <row r="3725">
          <cell r="A3725" t="str">
            <v>9351292</v>
          </cell>
          <cell r="B3725" t="str">
            <v>서　윤　희</v>
          </cell>
          <cell r="C3725" t="str">
            <v>9351292서　윤　희</v>
          </cell>
          <cell r="D3725" t="str">
            <v>ID10</v>
          </cell>
          <cell r="E3725" t="str">
            <v>여수영업소</v>
          </cell>
          <cell r="F3725" t="str">
            <v>5411</v>
          </cell>
          <cell r="G3725" t="str">
            <v>5411</v>
          </cell>
          <cell r="H3725" t="str">
            <v>19930701</v>
          </cell>
          <cell r="I3725">
            <v>8779377</v>
          </cell>
        </row>
        <row r="3726">
          <cell r="A3726" t="str">
            <v>8702201</v>
          </cell>
          <cell r="B3726" t="str">
            <v>서　향　기</v>
          </cell>
          <cell r="C3726" t="str">
            <v>8702201서　향　기</v>
          </cell>
          <cell r="D3726" t="str">
            <v>ID10</v>
          </cell>
          <cell r="E3726" t="str">
            <v>여수영업소</v>
          </cell>
          <cell r="F3726" t="str">
            <v>5411</v>
          </cell>
          <cell r="G3726" t="str">
            <v>5411</v>
          </cell>
          <cell r="H3726" t="str">
            <v>19871015</v>
          </cell>
          <cell r="I3726">
            <v>18718355</v>
          </cell>
        </row>
        <row r="3727">
          <cell r="A3727" t="str">
            <v>8604011</v>
          </cell>
          <cell r="B3727" t="str">
            <v>성　낙　홍</v>
          </cell>
          <cell r="C3727" t="str">
            <v>8604011성　낙　홍</v>
          </cell>
          <cell r="D3727" t="str">
            <v>ID10</v>
          </cell>
          <cell r="E3727" t="str">
            <v>여수영업소</v>
          </cell>
          <cell r="F3727" t="str">
            <v>5411</v>
          </cell>
          <cell r="G3727" t="str">
            <v>5411</v>
          </cell>
          <cell r="H3727" t="str">
            <v>19860909</v>
          </cell>
          <cell r="I3727">
            <v>18126906</v>
          </cell>
        </row>
        <row r="3728">
          <cell r="A3728" t="str">
            <v>8401680</v>
          </cell>
          <cell r="B3728" t="str">
            <v>신　건　식</v>
          </cell>
          <cell r="C3728" t="str">
            <v>8401680신　건　식</v>
          </cell>
          <cell r="D3728" t="str">
            <v>ID10</v>
          </cell>
          <cell r="E3728" t="str">
            <v>여수영업소</v>
          </cell>
          <cell r="F3728" t="str">
            <v>5411</v>
          </cell>
          <cell r="G3728" t="str">
            <v>5411</v>
          </cell>
          <cell r="H3728" t="str">
            <v>19991101</v>
          </cell>
          <cell r="I3728">
            <v>284153</v>
          </cell>
        </row>
        <row r="3729">
          <cell r="A3729" t="str">
            <v>9750036</v>
          </cell>
          <cell r="B3729" t="str">
            <v>양　화　순</v>
          </cell>
          <cell r="C3729" t="str">
            <v>9750036양　화　순</v>
          </cell>
          <cell r="D3729" t="str">
            <v>ID10</v>
          </cell>
          <cell r="E3729" t="str">
            <v>여수영업소</v>
          </cell>
          <cell r="F3729" t="str">
            <v>5411</v>
          </cell>
          <cell r="G3729" t="str">
            <v>5411</v>
          </cell>
          <cell r="H3729" t="str">
            <v>19970221</v>
          </cell>
          <cell r="I3729">
            <v>3574394</v>
          </cell>
        </row>
        <row r="3730">
          <cell r="A3730" t="str">
            <v>9207933</v>
          </cell>
          <cell r="B3730" t="str">
            <v>유　영　주</v>
          </cell>
          <cell r="C3730" t="str">
            <v>9207933유　영　주</v>
          </cell>
          <cell r="D3730" t="str">
            <v>ID10</v>
          </cell>
          <cell r="E3730" t="str">
            <v>여수영업소</v>
          </cell>
          <cell r="F3730" t="str">
            <v>5411</v>
          </cell>
          <cell r="G3730" t="str">
            <v>5411</v>
          </cell>
          <cell r="H3730" t="str">
            <v>19921201</v>
          </cell>
          <cell r="I3730">
            <v>9916493</v>
          </cell>
        </row>
        <row r="3731">
          <cell r="A3731" t="str">
            <v>9204862</v>
          </cell>
          <cell r="B3731" t="str">
            <v>유　영　초</v>
          </cell>
          <cell r="C3731" t="str">
            <v>9204862유　영　초</v>
          </cell>
          <cell r="D3731" t="str">
            <v>ID10</v>
          </cell>
          <cell r="E3731" t="str">
            <v>여수영업소</v>
          </cell>
          <cell r="F3731" t="str">
            <v>5411</v>
          </cell>
          <cell r="G3731" t="str">
            <v>5411</v>
          </cell>
          <cell r="H3731" t="str">
            <v>19920801</v>
          </cell>
          <cell r="I3731">
            <v>10501736</v>
          </cell>
        </row>
        <row r="3732">
          <cell r="A3732" t="str">
            <v>9308024</v>
          </cell>
          <cell r="B3732" t="str">
            <v>장　태　수</v>
          </cell>
          <cell r="C3732" t="str">
            <v>9308024장　태　수</v>
          </cell>
          <cell r="D3732" t="str">
            <v>ID10</v>
          </cell>
          <cell r="E3732" t="str">
            <v>여수영업소</v>
          </cell>
          <cell r="F3732" t="str">
            <v>5411</v>
          </cell>
          <cell r="G3732" t="str">
            <v>5411</v>
          </cell>
          <cell r="H3732" t="str">
            <v>19931216</v>
          </cell>
          <cell r="I3732">
            <v>8360950</v>
          </cell>
        </row>
        <row r="3733">
          <cell r="A3733" t="str">
            <v>8602086</v>
          </cell>
          <cell r="B3733" t="str">
            <v>정　맹　훈</v>
          </cell>
          <cell r="C3733" t="str">
            <v>8602086정　맹　훈</v>
          </cell>
          <cell r="D3733" t="str">
            <v>ID10</v>
          </cell>
          <cell r="E3733" t="str">
            <v>여수영업소</v>
          </cell>
          <cell r="F3733" t="str">
            <v>5411</v>
          </cell>
          <cell r="G3733" t="str">
            <v>5411</v>
          </cell>
          <cell r="H3733" t="str">
            <v>19860701</v>
          </cell>
          <cell r="I3733">
            <v>23413786</v>
          </cell>
        </row>
        <row r="3734">
          <cell r="A3734" t="str">
            <v>8903158</v>
          </cell>
          <cell r="B3734" t="str">
            <v>정　윤　수</v>
          </cell>
          <cell r="C3734" t="str">
            <v>8903158정　윤　수</v>
          </cell>
          <cell r="D3734" t="str">
            <v>ID10</v>
          </cell>
          <cell r="E3734" t="str">
            <v>여수영업소</v>
          </cell>
          <cell r="F3734" t="str">
            <v>5411</v>
          </cell>
          <cell r="G3734" t="str">
            <v>5411</v>
          </cell>
          <cell r="H3734" t="str">
            <v>19891110</v>
          </cell>
          <cell r="I3734">
            <v>14677736</v>
          </cell>
        </row>
        <row r="3735">
          <cell r="A3735" t="str">
            <v>9201093</v>
          </cell>
          <cell r="B3735" t="str">
            <v>조　계　윤</v>
          </cell>
          <cell r="C3735" t="str">
            <v>9201093조　계　윤</v>
          </cell>
          <cell r="D3735" t="str">
            <v>ID10</v>
          </cell>
          <cell r="E3735" t="str">
            <v>여수영업소</v>
          </cell>
          <cell r="F3735" t="str">
            <v>5411</v>
          </cell>
          <cell r="G3735" t="str">
            <v>5411</v>
          </cell>
          <cell r="H3735" t="str">
            <v>19920301</v>
          </cell>
          <cell r="I3735">
            <v>10922341</v>
          </cell>
        </row>
        <row r="3736">
          <cell r="A3736" t="str">
            <v>8502557</v>
          </cell>
          <cell r="B3736" t="str">
            <v>최　종　환</v>
          </cell>
          <cell r="C3736" t="str">
            <v>8502557최　종　환</v>
          </cell>
          <cell r="D3736" t="str">
            <v>ID10</v>
          </cell>
          <cell r="E3736" t="str">
            <v>여수영업소</v>
          </cell>
          <cell r="F3736" t="str">
            <v>5411</v>
          </cell>
          <cell r="G3736" t="str">
            <v>5411</v>
          </cell>
          <cell r="H3736" t="str">
            <v>19980101</v>
          </cell>
          <cell r="I3736">
            <v>4134130</v>
          </cell>
        </row>
        <row r="3737">
          <cell r="A3737" t="str">
            <v>9750330</v>
          </cell>
          <cell r="B3737" t="str">
            <v>한　선　희</v>
          </cell>
          <cell r="C3737" t="str">
            <v>9750330한　선　희</v>
          </cell>
          <cell r="D3737" t="str">
            <v>ID10</v>
          </cell>
          <cell r="E3737" t="str">
            <v>여수영업소</v>
          </cell>
          <cell r="F3737" t="str">
            <v>5411</v>
          </cell>
          <cell r="G3737" t="str">
            <v>5411</v>
          </cell>
          <cell r="H3737" t="str">
            <v>19970716</v>
          </cell>
          <cell r="I3737">
            <v>2878966</v>
          </cell>
        </row>
        <row r="3738">
          <cell r="A3738" t="str">
            <v>8901461</v>
          </cell>
          <cell r="B3738" t="str">
            <v>김　　　견</v>
          </cell>
          <cell r="C3738" t="str">
            <v>8901461김　　　견</v>
          </cell>
          <cell r="D3738" t="str">
            <v>IE10</v>
          </cell>
          <cell r="E3738" t="str">
            <v>포항영업소</v>
          </cell>
          <cell r="F3738" t="str">
            <v>5511</v>
          </cell>
          <cell r="G3738" t="str">
            <v>5511</v>
          </cell>
          <cell r="H3738" t="str">
            <v>19890601</v>
          </cell>
          <cell r="I3738">
            <v>14560322</v>
          </cell>
        </row>
        <row r="3739">
          <cell r="A3739" t="str">
            <v>9452068</v>
          </cell>
          <cell r="B3739" t="str">
            <v>김　경　은</v>
          </cell>
          <cell r="C3739" t="str">
            <v>9452068김　경　은</v>
          </cell>
          <cell r="D3739" t="str">
            <v>IE10</v>
          </cell>
          <cell r="E3739" t="str">
            <v>포항영업소</v>
          </cell>
          <cell r="F3739" t="str">
            <v>5511</v>
          </cell>
          <cell r="G3739" t="str">
            <v>5511</v>
          </cell>
          <cell r="H3739" t="str">
            <v>19941201</v>
          </cell>
          <cell r="I3739">
            <v>6038979</v>
          </cell>
        </row>
        <row r="3740">
          <cell r="A3740" t="str">
            <v>8000357</v>
          </cell>
          <cell r="B3740" t="str">
            <v>김　득　성</v>
          </cell>
          <cell r="C3740" t="str">
            <v>8000357김　득　성</v>
          </cell>
          <cell r="D3740" t="str">
            <v>IE10</v>
          </cell>
          <cell r="E3740" t="str">
            <v>포항영업소</v>
          </cell>
          <cell r="F3740" t="str">
            <v>5511</v>
          </cell>
          <cell r="G3740" t="str">
            <v>5511</v>
          </cell>
          <cell r="H3740" t="str">
            <v>19981211</v>
          </cell>
          <cell r="I3740">
            <v>2597345</v>
          </cell>
        </row>
        <row r="3741">
          <cell r="A3741" t="str">
            <v>9051186</v>
          </cell>
          <cell r="B3741" t="str">
            <v>김　인　순</v>
          </cell>
          <cell r="C3741" t="str">
            <v>9051186김　인　순</v>
          </cell>
          <cell r="D3741" t="str">
            <v>IE10</v>
          </cell>
          <cell r="E3741" t="str">
            <v>포항영업소</v>
          </cell>
          <cell r="F3741" t="str">
            <v>5511</v>
          </cell>
          <cell r="G3741" t="str">
            <v>5511</v>
          </cell>
          <cell r="H3741" t="str">
            <v>19890502</v>
          </cell>
          <cell r="I3741">
            <v>10687699</v>
          </cell>
        </row>
        <row r="3742">
          <cell r="A3742" t="str">
            <v>8300676</v>
          </cell>
          <cell r="B3742" t="str">
            <v>김　종　호</v>
          </cell>
          <cell r="C3742" t="str">
            <v>8300676김　종　호</v>
          </cell>
          <cell r="D3742" t="str">
            <v>IE10</v>
          </cell>
          <cell r="E3742" t="str">
            <v>포항영업소</v>
          </cell>
          <cell r="F3742" t="str">
            <v>5511</v>
          </cell>
          <cell r="G3742" t="str">
            <v>5511</v>
          </cell>
          <cell r="H3742" t="str">
            <v>19830801</v>
          </cell>
          <cell r="I3742">
            <v>30395481</v>
          </cell>
        </row>
        <row r="3743">
          <cell r="B3743" t="str">
            <v>김　진　환</v>
          </cell>
          <cell r="C3743" t="str">
            <v>김　진　환</v>
          </cell>
          <cell r="D3743" t="str">
            <v>IE10</v>
          </cell>
          <cell r="E3743" t="str">
            <v>포항영업소</v>
          </cell>
          <cell r="F3743" t="str">
            <v>5511</v>
          </cell>
          <cell r="G3743" t="e">
            <v>#N/A</v>
          </cell>
          <cell r="J3743" t="str">
            <v>11 월</v>
          </cell>
          <cell r="K3743">
            <v>2841738</v>
          </cell>
        </row>
        <row r="3744">
          <cell r="A3744" t="str">
            <v>9004241</v>
          </cell>
          <cell r="B3744" t="str">
            <v>김　철　진</v>
          </cell>
          <cell r="C3744" t="str">
            <v>9004241김　철　진</v>
          </cell>
          <cell r="D3744" t="str">
            <v>IE10</v>
          </cell>
          <cell r="E3744" t="str">
            <v>포항영업소</v>
          </cell>
          <cell r="F3744" t="str">
            <v>5511</v>
          </cell>
          <cell r="G3744" t="str">
            <v>5511</v>
          </cell>
          <cell r="H3744" t="str">
            <v>19900920</v>
          </cell>
          <cell r="I3744">
            <v>12515575</v>
          </cell>
        </row>
        <row r="3745">
          <cell r="A3745" t="str">
            <v>9203084</v>
          </cell>
          <cell r="B3745" t="str">
            <v>김　태　문</v>
          </cell>
          <cell r="C3745" t="str">
            <v>9203084김　태　문</v>
          </cell>
          <cell r="D3745" t="str">
            <v>IE10</v>
          </cell>
          <cell r="E3745" t="str">
            <v>포항영업소</v>
          </cell>
          <cell r="F3745" t="str">
            <v>5511</v>
          </cell>
          <cell r="G3745" t="str">
            <v>5511</v>
          </cell>
          <cell r="H3745" t="str">
            <v>19920516</v>
          </cell>
          <cell r="I3745">
            <v>11490198</v>
          </cell>
        </row>
        <row r="3746">
          <cell r="A3746" t="str">
            <v>9750126</v>
          </cell>
          <cell r="B3746" t="str">
            <v>김　혜　현</v>
          </cell>
          <cell r="C3746" t="str">
            <v>9750126김　혜　현</v>
          </cell>
          <cell r="D3746" t="str">
            <v>IE10</v>
          </cell>
          <cell r="E3746" t="str">
            <v>포항영업소</v>
          </cell>
          <cell r="F3746" t="str">
            <v>5511</v>
          </cell>
          <cell r="G3746" t="str">
            <v>5511</v>
          </cell>
          <cell r="H3746" t="str">
            <v>19970401</v>
          </cell>
          <cell r="I3746">
            <v>3118754</v>
          </cell>
        </row>
        <row r="3747">
          <cell r="A3747" t="str">
            <v>8702381</v>
          </cell>
          <cell r="B3747" t="str">
            <v>박　재　봉</v>
          </cell>
          <cell r="C3747" t="str">
            <v>8702381박　재　봉</v>
          </cell>
          <cell r="D3747" t="str">
            <v>IE10</v>
          </cell>
          <cell r="E3747" t="str">
            <v>포항영업소</v>
          </cell>
          <cell r="F3747" t="str">
            <v>5511</v>
          </cell>
          <cell r="G3747" t="str">
            <v>5511</v>
          </cell>
          <cell r="H3747" t="str">
            <v>19981211</v>
          </cell>
          <cell r="I3747">
            <v>1678255</v>
          </cell>
        </row>
        <row r="3748">
          <cell r="A3748" t="str">
            <v>9500591</v>
          </cell>
          <cell r="B3748" t="str">
            <v>오　승　협</v>
          </cell>
          <cell r="C3748" t="str">
            <v>9500591오　승　협</v>
          </cell>
          <cell r="D3748" t="str">
            <v>IE10</v>
          </cell>
          <cell r="E3748" t="str">
            <v>포항영업소</v>
          </cell>
          <cell r="F3748" t="str">
            <v>5511</v>
          </cell>
          <cell r="G3748" t="str">
            <v>5511</v>
          </cell>
          <cell r="H3748" t="str">
            <v>19950202</v>
          </cell>
          <cell r="I3748">
            <v>5351582</v>
          </cell>
        </row>
        <row r="3749">
          <cell r="A3749" t="str">
            <v>8601737</v>
          </cell>
          <cell r="B3749" t="str">
            <v>우　남　육</v>
          </cell>
          <cell r="C3749" t="str">
            <v>8601737우　남　육</v>
          </cell>
          <cell r="D3749" t="str">
            <v>IE10</v>
          </cell>
          <cell r="E3749" t="str">
            <v>포항영업소</v>
          </cell>
          <cell r="F3749" t="str">
            <v>5511</v>
          </cell>
          <cell r="G3749" t="str">
            <v>5511</v>
          </cell>
          <cell r="H3749" t="str">
            <v>19860623</v>
          </cell>
          <cell r="I3749">
            <v>23370128</v>
          </cell>
        </row>
        <row r="3750">
          <cell r="A3750" t="str">
            <v>9203995</v>
          </cell>
          <cell r="B3750" t="str">
            <v>이　무　광</v>
          </cell>
          <cell r="C3750" t="str">
            <v>9203995이　무　광</v>
          </cell>
          <cell r="D3750" t="str">
            <v>IE10</v>
          </cell>
          <cell r="E3750" t="str">
            <v>포항영업소</v>
          </cell>
          <cell r="F3750" t="str">
            <v>5511</v>
          </cell>
          <cell r="G3750" t="str">
            <v>5511</v>
          </cell>
          <cell r="H3750" t="str">
            <v>19920716</v>
          </cell>
          <cell r="I3750">
            <v>9707206</v>
          </cell>
        </row>
        <row r="3751">
          <cell r="B3751" t="str">
            <v>이　상　미</v>
          </cell>
          <cell r="C3751" t="str">
            <v>이　상　미</v>
          </cell>
          <cell r="D3751" t="str">
            <v>IE10</v>
          </cell>
          <cell r="E3751" t="str">
            <v>포항영업소</v>
          </cell>
          <cell r="F3751" t="str">
            <v>5511</v>
          </cell>
          <cell r="G3751" t="e">
            <v>#N/A</v>
          </cell>
          <cell r="J3751" t="str">
            <v>11 월</v>
          </cell>
          <cell r="K3751">
            <v>1634636</v>
          </cell>
        </row>
        <row r="3752">
          <cell r="A3752" t="str">
            <v>9700986</v>
          </cell>
          <cell r="B3752" t="str">
            <v>최　덕　환</v>
          </cell>
          <cell r="C3752" t="str">
            <v>9700986최　덕　환</v>
          </cell>
          <cell r="D3752" t="str">
            <v>IE10</v>
          </cell>
          <cell r="E3752" t="str">
            <v>포항영업소</v>
          </cell>
          <cell r="F3752" t="str">
            <v>5511</v>
          </cell>
          <cell r="G3752" t="str">
            <v>5511</v>
          </cell>
          <cell r="H3752" t="str">
            <v>19970501</v>
          </cell>
          <cell r="I3752">
            <v>3128009</v>
          </cell>
        </row>
        <row r="3753">
          <cell r="A3753" t="str">
            <v>8650708</v>
          </cell>
          <cell r="B3753" t="str">
            <v>최　숙　자</v>
          </cell>
          <cell r="C3753" t="str">
            <v>8650708최　숙　자</v>
          </cell>
          <cell r="D3753" t="str">
            <v>IE10</v>
          </cell>
          <cell r="E3753" t="str">
            <v>포항영업소</v>
          </cell>
          <cell r="F3753" t="str">
            <v>5511</v>
          </cell>
          <cell r="G3753" t="str">
            <v>5511</v>
          </cell>
          <cell r="H3753" t="str">
            <v>19860701</v>
          </cell>
          <cell r="I3753">
            <v>15672628</v>
          </cell>
        </row>
        <row r="3754">
          <cell r="A3754" t="str">
            <v>8801291</v>
          </cell>
          <cell r="B3754" t="str">
            <v>최　영　섭</v>
          </cell>
          <cell r="C3754" t="str">
            <v>8801291최　영　섭</v>
          </cell>
          <cell r="D3754" t="str">
            <v>IE10</v>
          </cell>
          <cell r="E3754" t="str">
            <v>포항영업소</v>
          </cell>
          <cell r="F3754" t="str">
            <v>5511</v>
          </cell>
          <cell r="G3754" t="str">
            <v>5511</v>
          </cell>
          <cell r="H3754" t="str">
            <v>19981211</v>
          </cell>
          <cell r="I3754">
            <v>1551847</v>
          </cell>
        </row>
        <row r="3755">
          <cell r="A3755" t="str">
            <v>9501030</v>
          </cell>
          <cell r="B3755" t="str">
            <v>최　천　영</v>
          </cell>
          <cell r="C3755" t="str">
            <v>9501030최　천　영</v>
          </cell>
          <cell r="D3755" t="str">
            <v>IE10</v>
          </cell>
          <cell r="E3755" t="str">
            <v>포항영업소</v>
          </cell>
          <cell r="F3755" t="str">
            <v>5511</v>
          </cell>
          <cell r="G3755" t="str">
            <v>5511</v>
          </cell>
          <cell r="H3755" t="str">
            <v>19950501</v>
          </cell>
          <cell r="I3755">
            <v>5527239</v>
          </cell>
        </row>
        <row r="3756">
          <cell r="A3756" t="str">
            <v>8601726</v>
          </cell>
          <cell r="B3756" t="str">
            <v>황　현　용</v>
          </cell>
          <cell r="C3756" t="str">
            <v>8601726황　현　용</v>
          </cell>
          <cell r="D3756" t="str">
            <v>IE10</v>
          </cell>
          <cell r="E3756" t="str">
            <v>포항영업소</v>
          </cell>
          <cell r="F3756" t="str">
            <v>5511</v>
          </cell>
          <cell r="G3756" t="str">
            <v>5511</v>
          </cell>
          <cell r="H3756" t="str">
            <v>19860623</v>
          </cell>
          <cell r="I3756">
            <v>22963807</v>
          </cell>
        </row>
        <row r="3757">
          <cell r="A3757" t="str">
            <v>9600052</v>
          </cell>
          <cell r="B3757" t="str">
            <v>김　상　식</v>
          </cell>
          <cell r="C3757" t="str">
            <v>9600052김　상　식</v>
          </cell>
          <cell r="D3757" t="str">
            <v>HA30</v>
          </cell>
          <cell r="E3757" t="str">
            <v>진주영업소</v>
          </cell>
          <cell r="F3757" t="str">
            <v>5611</v>
          </cell>
          <cell r="G3757" t="str">
            <v>5611</v>
          </cell>
          <cell r="H3757" t="str">
            <v>19960108</v>
          </cell>
          <cell r="I3757">
            <v>5122815</v>
          </cell>
        </row>
        <row r="3758">
          <cell r="A3758" t="str">
            <v>9200968</v>
          </cell>
          <cell r="B3758" t="str">
            <v>유　철　수</v>
          </cell>
          <cell r="C3758" t="str">
            <v>9200968유　철　수</v>
          </cell>
          <cell r="D3758" t="str">
            <v>HA30</v>
          </cell>
          <cell r="E3758" t="str">
            <v>진주영업소</v>
          </cell>
          <cell r="F3758" t="str">
            <v>5611</v>
          </cell>
          <cell r="G3758" t="str">
            <v>5611</v>
          </cell>
          <cell r="H3758" t="str">
            <v>19920210</v>
          </cell>
          <cell r="I3758">
            <v>9830120</v>
          </cell>
        </row>
        <row r="3759">
          <cell r="A3759" t="str">
            <v>8901494</v>
          </cell>
          <cell r="B3759" t="str">
            <v>강　정　훈</v>
          </cell>
          <cell r="C3759" t="str">
            <v>8901494강　정　훈</v>
          </cell>
          <cell r="D3759" t="str">
            <v>IF10</v>
          </cell>
          <cell r="E3759" t="str">
            <v>진주영업소</v>
          </cell>
          <cell r="F3759" t="str">
            <v>5611</v>
          </cell>
          <cell r="G3759" t="str">
            <v>5611</v>
          </cell>
          <cell r="H3759" t="str">
            <v>19890601</v>
          </cell>
          <cell r="I3759">
            <v>15637722</v>
          </cell>
        </row>
        <row r="3760">
          <cell r="A3760" t="str">
            <v>9450426</v>
          </cell>
          <cell r="B3760" t="str">
            <v>강　회　정</v>
          </cell>
          <cell r="C3760" t="str">
            <v>9450426강　회　정</v>
          </cell>
          <cell r="D3760" t="str">
            <v>IF10</v>
          </cell>
          <cell r="E3760" t="str">
            <v>진주영업소</v>
          </cell>
          <cell r="F3760" t="str">
            <v>5611</v>
          </cell>
          <cell r="G3760" t="str">
            <v>5611</v>
          </cell>
          <cell r="H3760" t="str">
            <v>19940305</v>
          </cell>
          <cell r="I3760">
            <v>7394354</v>
          </cell>
        </row>
        <row r="3761">
          <cell r="A3761" t="str">
            <v>8100090</v>
          </cell>
          <cell r="B3761" t="str">
            <v>김　경　원</v>
          </cell>
          <cell r="C3761" t="str">
            <v>8100090김　경　원</v>
          </cell>
          <cell r="D3761" t="str">
            <v>IF10</v>
          </cell>
          <cell r="E3761" t="str">
            <v>진주영업소</v>
          </cell>
          <cell r="F3761" t="str">
            <v>5611</v>
          </cell>
          <cell r="G3761" t="str">
            <v>5611</v>
          </cell>
          <cell r="H3761" t="str">
            <v>19810401</v>
          </cell>
          <cell r="I3761">
            <v>42941235</v>
          </cell>
        </row>
        <row r="3762">
          <cell r="A3762" t="str">
            <v>9403986</v>
          </cell>
          <cell r="B3762" t="str">
            <v>김　대　석</v>
          </cell>
          <cell r="C3762" t="str">
            <v>9403986김　대　석</v>
          </cell>
          <cell r="D3762" t="str">
            <v>IF10</v>
          </cell>
          <cell r="E3762" t="str">
            <v>진주영업소</v>
          </cell>
          <cell r="F3762" t="str">
            <v>5611</v>
          </cell>
          <cell r="G3762" t="str">
            <v>5611</v>
          </cell>
          <cell r="H3762" t="str">
            <v>19940616</v>
          </cell>
          <cell r="I3762">
            <v>7015138</v>
          </cell>
        </row>
        <row r="3763">
          <cell r="A3763" t="str">
            <v>8500961</v>
          </cell>
          <cell r="B3763" t="str">
            <v>김　봉　석</v>
          </cell>
          <cell r="C3763" t="str">
            <v>8500961김　봉　석</v>
          </cell>
          <cell r="D3763" t="str">
            <v>IF10</v>
          </cell>
          <cell r="E3763" t="str">
            <v>진주영업소</v>
          </cell>
          <cell r="F3763" t="str">
            <v>5611</v>
          </cell>
          <cell r="G3763" t="str">
            <v>5611</v>
          </cell>
          <cell r="H3763" t="str">
            <v>19850401</v>
          </cell>
          <cell r="I3763">
            <v>26495867</v>
          </cell>
        </row>
        <row r="3764">
          <cell r="A3764" t="str">
            <v>9304626</v>
          </cell>
          <cell r="B3764" t="str">
            <v>김　순　기</v>
          </cell>
          <cell r="C3764" t="str">
            <v>9304626김　순　기</v>
          </cell>
          <cell r="D3764" t="str">
            <v>IF10</v>
          </cell>
          <cell r="E3764" t="str">
            <v>진주영업소</v>
          </cell>
          <cell r="F3764" t="str">
            <v>5611</v>
          </cell>
          <cell r="G3764" t="str">
            <v>5611</v>
          </cell>
          <cell r="H3764" t="str">
            <v>19930801</v>
          </cell>
          <cell r="I3764">
            <v>7930798</v>
          </cell>
        </row>
        <row r="3765">
          <cell r="A3765" t="str">
            <v>9401376</v>
          </cell>
          <cell r="B3765" t="str">
            <v>김　윤　중</v>
          </cell>
          <cell r="C3765" t="str">
            <v>9401376김　윤　중</v>
          </cell>
          <cell r="D3765" t="str">
            <v>IF10</v>
          </cell>
          <cell r="E3765" t="str">
            <v>진주영업소</v>
          </cell>
          <cell r="F3765" t="str">
            <v>5611</v>
          </cell>
          <cell r="G3765" t="str">
            <v>5611</v>
          </cell>
          <cell r="H3765" t="str">
            <v>19940305</v>
          </cell>
          <cell r="I3765">
            <v>8008167</v>
          </cell>
        </row>
        <row r="3766">
          <cell r="A3766" t="str">
            <v>9750352</v>
          </cell>
          <cell r="B3766" t="str">
            <v>김　은　하</v>
          </cell>
          <cell r="C3766" t="str">
            <v>9750352김　은　하</v>
          </cell>
          <cell r="D3766" t="str">
            <v>IF10</v>
          </cell>
          <cell r="E3766" t="str">
            <v>진주영업소</v>
          </cell>
          <cell r="F3766" t="str">
            <v>5611</v>
          </cell>
          <cell r="G3766" t="str">
            <v>5611</v>
          </cell>
          <cell r="H3766" t="str">
            <v>19970716</v>
          </cell>
          <cell r="I3766">
            <v>2766564</v>
          </cell>
        </row>
        <row r="3767">
          <cell r="A3767" t="str">
            <v>8651698</v>
          </cell>
          <cell r="B3767" t="str">
            <v>안　점　순</v>
          </cell>
          <cell r="C3767" t="str">
            <v>8651698안　점　순</v>
          </cell>
          <cell r="D3767" t="str">
            <v>IF10</v>
          </cell>
          <cell r="E3767" t="str">
            <v>진주영업소</v>
          </cell>
          <cell r="F3767" t="str">
            <v>5611</v>
          </cell>
          <cell r="G3767" t="str">
            <v>5611</v>
          </cell>
          <cell r="H3767" t="str">
            <v>19861011</v>
          </cell>
          <cell r="I3767">
            <v>13987209</v>
          </cell>
        </row>
        <row r="3768">
          <cell r="A3768" t="str">
            <v>9200700</v>
          </cell>
          <cell r="B3768" t="str">
            <v>이　병　탕</v>
          </cell>
          <cell r="C3768" t="str">
            <v>9200700이　병　탕</v>
          </cell>
          <cell r="D3768" t="str">
            <v>IF10</v>
          </cell>
          <cell r="E3768" t="str">
            <v>진주영업소</v>
          </cell>
          <cell r="F3768" t="str">
            <v>5611</v>
          </cell>
          <cell r="G3768" t="str">
            <v>5611</v>
          </cell>
          <cell r="H3768" t="str">
            <v>19920210</v>
          </cell>
          <cell r="I3768">
            <v>10411966</v>
          </cell>
        </row>
        <row r="3769">
          <cell r="A3769" t="str">
            <v>9202026</v>
          </cell>
          <cell r="B3769" t="str">
            <v>이　진　두</v>
          </cell>
          <cell r="C3769" t="str">
            <v>9202026이　진　두</v>
          </cell>
          <cell r="D3769" t="str">
            <v>IF10</v>
          </cell>
          <cell r="E3769" t="str">
            <v>진주영업소</v>
          </cell>
          <cell r="F3769" t="str">
            <v>5611</v>
          </cell>
          <cell r="G3769" t="str">
            <v>5611</v>
          </cell>
          <cell r="H3769" t="str">
            <v>19920416</v>
          </cell>
          <cell r="I3769">
            <v>13095485</v>
          </cell>
        </row>
        <row r="3770">
          <cell r="A3770" t="str">
            <v>8801245</v>
          </cell>
          <cell r="B3770" t="str">
            <v>장　성　화</v>
          </cell>
          <cell r="C3770" t="str">
            <v>8801245장　성　화</v>
          </cell>
          <cell r="D3770" t="str">
            <v>IF10</v>
          </cell>
          <cell r="E3770" t="str">
            <v>진주영업소</v>
          </cell>
          <cell r="F3770" t="str">
            <v>5611</v>
          </cell>
          <cell r="G3770" t="str">
            <v>5611</v>
          </cell>
          <cell r="H3770" t="str">
            <v>19881016</v>
          </cell>
          <cell r="I3770">
            <v>16737873</v>
          </cell>
        </row>
        <row r="3771">
          <cell r="A3771" t="str">
            <v>9402063</v>
          </cell>
          <cell r="B3771" t="str">
            <v>장　준　식</v>
          </cell>
          <cell r="C3771" t="str">
            <v>9402063장　준　식</v>
          </cell>
          <cell r="D3771" t="str">
            <v>IF10</v>
          </cell>
          <cell r="E3771" t="str">
            <v>진주영업소</v>
          </cell>
          <cell r="F3771" t="str">
            <v>5611</v>
          </cell>
          <cell r="G3771" t="str">
            <v>5611</v>
          </cell>
          <cell r="H3771" t="str">
            <v>19940401</v>
          </cell>
          <cell r="I3771">
            <v>6595312</v>
          </cell>
        </row>
        <row r="3772">
          <cell r="A3772" t="str">
            <v>8100268</v>
          </cell>
          <cell r="B3772" t="str">
            <v>전　재　옥</v>
          </cell>
          <cell r="C3772" t="str">
            <v>8100268전　재　옥</v>
          </cell>
          <cell r="D3772" t="str">
            <v>IF10</v>
          </cell>
          <cell r="E3772" t="str">
            <v>진주영업소</v>
          </cell>
          <cell r="F3772" t="str">
            <v>5611</v>
          </cell>
          <cell r="G3772" t="str">
            <v>5611</v>
          </cell>
          <cell r="H3772" t="str">
            <v>19810914</v>
          </cell>
          <cell r="I3772">
            <v>33621811</v>
          </cell>
        </row>
        <row r="3773">
          <cell r="A3773" t="str">
            <v>8902732</v>
          </cell>
          <cell r="B3773" t="str">
            <v>정　　　철</v>
          </cell>
          <cell r="C3773" t="str">
            <v>8902732정　　　철</v>
          </cell>
          <cell r="D3773" t="str">
            <v>IF10</v>
          </cell>
          <cell r="E3773" t="str">
            <v>진주영업소</v>
          </cell>
          <cell r="F3773" t="str">
            <v>5611</v>
          </cell>
          <cell r="G3773" t="str">
            <v>5611</v>
          </cell>
          <cell r="H3773" t="str">
            <v>19891016</v>
          </cell>
          <cell r="I3773">
            <v>17428301</v>
          </cell>
        </row>
        <row r="3774">
          <cell r="A3774" t="str">
            <v>9406214</v>
          </cell>
          <cell r="B3774" t="str">
            <v>정　동　길</v>
          </cell>
          <cell r="C3774" t="str">
            <v>9406214정　동　길</v>
          </cell>
          <cell r="D3774" t="str">
            <v>IF10</v>
          </cell>
          <cell r="E3774" t="str">
            <v>진주영업소</v>
          </cell>
          <cell r="F3774" t="str">
            <v>5611</v>
          </cell>
          <cell r="G3774" t="str">
            <v>5611</v>
          </cell>
          <cell r="H3774" t="str">
            <v>19941201</v>
          </cell>
          <cell r="I3774">
            <v>6774358</v>
          </cell>
        </row>
        <row r="3775">
          <cell r="A3775" t="str">
            <v>9207213</v>
          </cell>
          <cell r="B3775" t="str">
            <v>정　용　옥</v>
          </cell>
          <cell r="C3775" t="str">
            <v>9207213정　용　옥</v>
          </cell>
          <cell r="D3775" t="str">
            <v>IF10</v>
          </cell>
          <cell r="E3775" t="str">
            <v>진주영업소</v>
          </cell>
          <cell r="F3775" t="str">
            <v>5611</v>
          </cell>
          <cell r="G3775" t="str">
            <v>5611</v>
          </cell>
          <cell r="H3775" t="str">
            <v>19921101</v>
          </cell>
          <cell r="I3775">
            <v>9350671</v>
          </cell>
        </row>
        <row r="3776">
          <cell r="A3776" t="str">
            <v>9252516</v>
          </cell>
          <cell r="B3776" t="str">
            <v>조　재　순</v>
          </cell>
          <cell r="C3776" t="str">
            <v>9252516조　재　순</v>
          </cell>
          <cell r="D3776" t="str">
            <v>IF10</v>
          </cell>
          <cell r="E3776" t="str">
            <v>진주영업소</v>
          </cell>
          <cell r="F3776" t="str">
            <v>5611</v>
          </cell>
          <cell r="G3776" t="e">
            <v>#N/A</v>
          </cell>
          <cell r="H3776" t="str">
            <v>19921101</v>
          </cell>
          <cell r="I3776">
            <v>8980971</v>
          </cell>
          <cell r="J3776" t="str">
            <v>7 월</v>
          </cell>
          <cell r="K3776">
            <v>9936337</v>
          </cell>
        </row>
        <row r="3777">
          <cell r="A3777" t="str">
            <v>9202037</v>
          </cell>
          <cell r="B3777" t="str">
            <v>최　원　술</v>
          </cell>
          <cell r="C3777" t="str">
            <v>9202037최　원　술</v>
          </cell>
          <cell r="D3777" t="str">
            <v>IF10</v>
          </cell>
          <cell r="E3777" t="str">
            <v>진주영업소</v>
          </cell>
          <cell r="F3777" t="str">
            <v>5611</v>
          </cell>
          <cell r="G3777" t="str">
            <v>5611</v>
          </cell>
          <cell r="H3777" t="str">
            <v>19920416</v>
          </cell>
          <cell r="I3777">
            <v>12948951</v>
          </cell>
        </row>
        <row r="3778">
          <cell r="A3778" t="str">
            <v>9151694</v>
          </cell>
          <cell r="B3778" t="str">
            <v>한　진　영</v>
          </cell>
          <cell r="C3778" t="str">
            <v>9151694한　진　영</v>
          </cell>
          <cell r="D3778" t="str">
            <v>IF10</v>
          </cell>
          <cell r="E3778" t="str">
            <v>진주영업소</v>
          </cell>
          <cell r="F3778" t="str">
            <v>5611</v>
          </cell>
          <cell r="G3778" t="str">
            <v>5611</v>
          </cell>
          <cell r="H3778" t="str">
            <v>19910807</v>
          </cell>
          <cell r="I3778">
            <v>11194497</v>
          </cell>
        </row>
        <row r="3779">
          <cell r="A3779" t="str">
            <v>9401365</v>
          </cell>
          <cell r="B3779" t="str">
            <v>허　성　수</v>
          </cell>
          <cell r="C3779" t="str">
            <v>9401365허　성　수</v>
          </cell>
          <cell r="D3779" t="str">
            <v>IF10</v>
          </cell>
          <cell r="E3779" t="str">
            <v>진주영업소</v>
          </cell>
          <cell r="F3779" t="str">
            <v>5611</v>
          </cell>
          <cell r="G3779" t="str">
            <v>5611</v>
          </cell>
          <cell r="H3779" t="str">
            <v>19940305</v>
          </cell>
          <cell r="I3779">
            <v>7809549</v>
          </cell>
        </row>
        <row r="3780">
          <cell r="A3780" t="str">
            <v>8902912</v>
          </cell>
          <cell r="B3780" t="str">
            <v>김　용　호</v>
          </cell>
          <cell r="C3780" t="str">
            <v>8902912김　용　호</v>
          </cell>
          <cell r="D3780" t="str">
            <v>IG10</v>
          </cell>
          <cell r="E3780" t="str">
            <v>속초영업소</v>
          </cell>
          <cell r="F3780" t="str">
            <v>5711</v>
          </cell>
          <cell r="G3780" t="str">
            <v>5711</v>
          </cell>
          <cell r="H3780" t="str">
            <v>19890313</v>
          </cell>
          <cell r="I3780">
            <v>14610694</v>
          </cell>
        </row>
        <row r="3781">
          <cell r="A3781" t="str">
            <v>9451001</v>
          </cell>
          <cell r="B3781" t="str">
            <v>김　은　주</v>
          </cell>
          <cell r="C3781" t="str">
            <v>9451001김　은　주</v>
          </cell>
          <cell r="D3781" t="str">
            <v>IG10</v>
          </cell>
          <cell r="E3781" t="str">
            <v>속초영업소</v>
          </cell>
          <cell r="F3781" t="str">
            <v>5711</v>
          </cell>
          <cell r="G3781" t="str">
            <v>5711</v>
          </cell>
          <cell r="H3781" t="str">
            <v>19940516</v>
          </cell>
          <cell r="I3781">
            <v>6689493</v>
          </cell>
        </row>
        <row r="3782">
          <cell r="A3782" t="str">
            <v>9403064</v>
          </cell>
          <cell r="B3782" t="str">
            <v>김　현　종</v>
          </cell>
          <cell r="C3782" t="str">
            <v>9403064김　현　종</v>
          </cell>
          <cell r="D3782" t="str">
            <v>IG10</v>
          </cell>
          <cell r="E3782" t="str">
            <v>속초영업소</v>
          </cell>
          <cell r="F3782" t="str">
            <v>5711</v>
          </cell>
          <cell r="G3782" t="str">
            <v>5711</v>
          </cell>
          <cell r="H3782" t="str">
            <v>19940516</v>
          </cell>
          <cell r="I3782">
            <v>7500700</v>
          </cell>
        </row>
        <row r="3783">
          <cell r="A3783" t="str">
            <v>9406282</v>
          </cell>
          <cell r="B3783" t="str">
            <v>박　성　호</v>
          </cell>
          <cell r="C3783" t="str">
            <v>9406282박　성　호</v>
          </cell>
          <cell r="D3783" t="str">
            <v>IG10</v>
          </cell>
          <cell r="E3783" t="str">
            <v>속초영업소</v>
          </cell>
          <cell r="F3783" t="str">
            <v>5711</v>
          </cell>
          <cell r="G3783" t="str">
            <v>5711</v>
          </cell>
          <cell r="H3783" t="str">
            <v>19941201</v>
          </cell>
          <cell r="I3783">
            <v>6170526</v>
          </cell>
        </row>
        <row r="3784">
          <cell r="A3784" t="str">
            <v>9406157</v>
          </cell>
          <cell r="B3784" t="str">
            <v>윤　종　우</v>
          </cell>
          <cell r="C3784" t="str">
            <v>9406157윤　종　우</v>
          </cell>
          <cell r="D3784" t="str">
            <v>IG10</v>
          </cell>
          <cell r="E3784" t="str">
            <v>속초영업소</v>
          </cell>
          <cell r="F3784" t="str">
            <v>5711</v>
          </cell>
          <cell r="G3784" t="str">
            <v>5711</v>
          </cell>
          <cell r="H3784" t="str">
            <v>19941004</v>
          </cell>
          <cell r="I3784">
            <v>6986052</v>
          </cell>
        </row>
        <row r="3785">
          <cell r="A3785" t="str">
            <v>8500950</v>
          </cell>
          <cell r="B3785" t="str">
            <v>이　상　훈</v>
          </cell>
          <cell r="C3785" t="str">
            <v>8500950이　상　훈</v>
          </cell>
          <cell r="D3785" t="str">
            <v>IG10</v>
          </cell>
          <cell r="E3785" t="str">
            <v>속초영업소</v>
          </cell>
          <cell r="F3785" t="str">
            <v>5711</v>
          </cell>
          <cell r="G3785" t="str">
            <v>5711</v>
          </cell>
          <cell r="H3785" t="str">
            <v>19991001</v>
          </cell>
          <cell r="I3785">
            <v>450050</v>
          </cell>
        </row>
        <row r="3786">
          <cell r="A3786" t="str">
            <v>8901527</v>
          </cell>
          <cell r="B3786" t="str">
            <v>이　운　성</v>
          </cell>
          <cell r="C3786" t="str">
            <v>8901527이　운　성</v>
          </cell>
          <cell r="D3786" t="str">
            <v>IG10</v>
          </cell>
          <cell r="E3786" t="str">
            <v>속초영업소</v>
          </cell>
          <cell r="F3786" t="str">
            <v>5711</v>
          </cell>
          <cell r="G3786" t="str">
            <v>5711</v>
          </cell>
          <cell r="H3786" t="str">
            <v>19890601</v>
          </cell>
          <cell r="I3786">
            <v>14482058</v>
          </cell>
        </row>
        <row r="3787">
          <cell r="A3787" t="str">
            <v>9406247</v>
          </cell>
          <cell r="B3787" t="str">
            <v>주　계　철</v>
          </cell>
          <cell r="C3787" t="str">
            <v>9406247주　계　철</v>
          </cell>
          <cell r="D3787" t="str">
            <v>IG10</v>
          </cell>
          <cell r="E3787" t="str">
            <v>속초영업소</v>
          </cell>
          <cell r="F3787" t="str">
            <v>5711</v>
          </cell>
          <cell r="G3787" t="str">
            <v>5711</v>
          </cell>
          <cell r="H3787" t="str">
            <v>19941201</v>
          </cell>
          <cell r="I3787">
            <v>6070521</v>
          </cell>
        </row>
        <row r="3788">
          <cell r="A3788" t="str">
            <v>9500602</v>
          </cell>
          <cell r="B3788" t="str">
            <v>최　만　주</v>
          </cell>
          <cell r="C3788" t="str">
            <v>9500602최　만　주</v>
          </cell>
          <cell r="D3788" t="str">
            <v>IG10</v>
          </cell>
          <cell r="E3788" t="str">
            <v>속초영업소</v>
          </cell>
          <cell r="F3788" t="str">
            <v>5711</v>
          </cell>
          <cell r="G3788" t="str">
            <v>5711</v>
          </cell>
          <cell r="H3788" t="str">
            <v>19950216</v>
          </cell>
          <cell r="I3788">
            <v>6088719</v>
          </cell>
        </row>
        <row r="3789">
          <cell r="A3789" t="str">
            <v>8401353</v>
          </cell>
          <cell r="B3789" t="str">
            <v>최　만　형</v>
          </cell>
          <cell r="C3789" t="str">
            <v>8401353최　만　형</v>
          </cell>
          <cell r="D3789" t="str">
            <v>IG10</v>
          </cell>
          <cell r="E3789" t="str">
            <v>속초영업소</v>
          </cell>
          <cell r="F3789" t="str">
            <v>5711</v>
          </cell>
          <cell r="G3789" t="str">
            <v>5711</v>
          </cell>
          <cell r="H3789" t="str">
            <v>19841001</v>
          </cell>
          <cell r="I3789">
            <v>26177510</v>
          </cell>
        </row>
        <row r="3790">
          <cell r="A3790" t="str">
            <v>8401364</v>
          </cell>
          <cell r="B3790" t="str">
            <v>최　식　래</v>
          </cell>
          <cell r="C3790" t="str">
            <v>8401364최　식　래</v>
          </cell>
          <cell r="D3790" t="str">
            <v>IG10</v>
          </cell>
          <cell r="E3790" t="str">
            <v>속초영업소</v>
          </cell>
          <cell r="F3790" t="str">
            <v>5711</v>
          </cell>
          <cell r="G3790" t="str">
            <v>5711</v>
          </cell>
          <cell r="H3790" t="str">
            <v>19841001</v>
          </cell>
          <cell r="I3790">
            <v>24487086</v>
          </cell>
        </row>
        <row r="3791">
          <cell r="A3791" t="str">
            <v>9450990</v>
          </cell>
          <cell r="B3791" t="str">
            <v>최　영　남</v>
          </cell>
          <cell r="C3791" t="str">
            <v>9450990최　영　남</v>
          </cell>
          <cell r="D3791" t="str">
            <v>IG10</v>
          </cell>
          <cell r="E3791" t="str">
            <v>속초영업소</v>
          </cell>
          <cell r="F3791" t="str">
            <v>5711</v>
          </cell>
          <cell r="G3791" t="str">
            <v>5711</v>
          </cell>
          <cell r="H3791" t="str">
            <v>19940516</v>
          </cell>
          <cell r="I3791">
            <v>7144123</v>
          </cell>
        </row>
        <row r="3792">
          <cell r="A3792" t="str">
            <v>7600342</v>
          </cell>
          <cell r="B3792" t="str">
            <v>최　효　선</v>
          </cell>
          <cell r="C3792" t="str">
            <v>7600342최　효　선</v>
          </cell>
          <cell r="D3792" t="str">
            <v>IG10</v>
          </cell>
          <cell r="E3792" t="str">
            <v>속초영업소</v>
          </cell>
          <cell r="F3792" t="str">
            <v>5711</v>
          </cell>
          <cell r="G3792" t="str">
            <v>5711</v>
          </cell>
          <cell r="H3792" t="str">
            <v>19761001</v>
          </cell>
          <cell r="I3792">
            <v>57602458</v>
          </cell>
          <cell r="J3792" t="str">
            <v>11 월</v>
          </cell>
          <cell r="K3792">
            <v>73914182</v>
          </cell>
        </row>
        <row r="3793">
          <cell r="A3793" t="str">
            <v>9105434</v>
          </cell>
          <cell r="B3793" t="str">
            <v>황　준　호</v>
          </cell>
          <cell r="C3793" t="str">
            <v>9105434황　준　호</v>
          </cell>
          <cell r="D3793" t="str">
            <v>IG10</v>
          </cell>
          <cell r="E3793" t="str">
            <v>속초영업소</v>
          </cell>
          <cell r="F3793" t="str">
            <v>5711</v>
          </cell>
          <cell r="G3793" t="str">
            <v>5711</v>
          </cell>
          <cell r="H3793" t="str">
            <v>19911116</v>
          </cell>
          <cell r="I3793">
            <v>13707879</v>
          </cell>
        </row>
        <row r="3794">
          <cell r="A3794" t="str">
            <v>9700143</v>
          </cell>
          <cell r="B3794" t="str">
            <v>고　동　호</v>
          </cell>
          <cell r="C3794" t="str">
            <v>9700143고　동　호</v>
          </cell>
          <cell r="D3794" t="str">
            <v>IH10</v>
          </cell>
          <cell r="E3794" t="str">
            <v>강릉영업소</v>
          </cell>
          <cell r="F3794" t="str">
            <v>5811</v>
          </cell>
          <cell r="G3794" t="str">
            <v>5811</v>
          </cell>
          <cell r="H3794" t="str">
            <v>19970221</v>
          </cell>
          <cell r="I3794">
            <v>3278741</v>
          </cell>
        </row>
        <row r="3795">
          <cell r="A3795" t="str">
            <v>8901538</v>
          </cell>
          <cell r="B3795" t="str">
            <v>권　영　명</v>
          </cell>
          <cell r="C3795" t="str">
            <v>8901538권　영　명</v>
          </cell>
          <cell r="D3795" t="str">
            <v>IH10</v>
          </cell>
          <cell r="E3795" t="str">
            <v>강릉영업소</v>
          </cell>
          <cell r="F3795" t="str">
            <v>5811</v>
          </cell>
          <cell r="G3795" t="str">
            <v>5811</v>
          </cell>
          <cell r="H3795" t="str">
            <v>19890601</v>
          </cell>
          <cell r="I3795">
            <v>14817284</v>
          </cell>
        </row>
        <row r="3796">
          <cell r="A3796" t="str">
            <v>9005051</v>
          </cell>
          <cell r="B3796" t="str">
            <v>권　혁　환</v>
          </cell>
          <cell r="C3796" t="str">
            <v>9005051권　혁　환</v>
          </cell>
          <cell r="D3796" t="str">
            <v>IH10</v>
          </cell>
          <cell r="E3796" t="str">
            <v>강릉영업소</v>
          </cell>
          <cell r="F3796" t="str">
            <v>5811</v>
          </cell>
          <cell r="G3796" t="str">
            <v>5811</v>
          </cell>
          <cell r="H3796" t="str">
            <v>19901116</v>
          </cell>
          <cell r="I3796">
            <v>12917853</v>
          </cell>
        </row>
        <row r="3797">
          <cell r="A3797" t="str">
            <v>9750047</v>
          </cell>
          <cell r="B3797" t="str">
            <v>김　명　희</v>
          </cell>
          <cell r="C3797" t="str">
            <v>9750047김　명　희</v>
          </cell>
          <cell r="D3797" t="str">
            <v>IH10</v>
          </cell>
          <cell r="E3797" t="str">
            <v>강릉영업소</v>
          </cell>
          <cell r="F3797" t="str">
            <v>5811</v>
          </cell>
          <cell r="G3797" t="str">
            <v>5811</v>
          </cell>
          <cell r="H3797" t="str">
            <v>19970221</v>
          </cell>
          <cell r="I3797">
            <v>3267063</v>
          </cell>
        </row>
        <row r="3798">
          <cell r="A3798" t="str">
            <v>8601682</v>
          </cell>
          <cell r="B3798" t="str">
            <v>김　영　철</v>
          </cell>
          <cell r="C3798" t="str">
            <v>8601682김　영　철</v>
          </cell>
          <cell r="D3798" t="str">
            <v>IH10</v>
          </cell>
          <cell r="E3798" t="str">
            <v>강릉영업소</v>
          </cell>
          <cell r="F3798" t="str">
            <v>5811</v>
          </cell>
          <cell r="G3798" t="str">
            <v>5811</v>
          </cell>
          <cell r="H3798" t="str">
            <v>19860701</v>
          </cell>
          <cell r="I3798">
            <v>21680832</v>
          </cell>
        </row>
        <row r="3799">
          <cell r="A3799" t="str">
            <v>9101676</v>
          </cell>
          <cell r="B3799" t="str">
            <v>김　용　식</v>
          </cell>
          <cell r="C3799" t="str">
            <v>9101676김　용　식</v>
          </cell>
          <cell r="D3799" t="str">
            <v>IH10</v>
          </cell>
          <cell r="E3799" t="str">
            <v>강릉영업소</v>
          </cell>
          <cell r="F3799" t="str">
            <v>5811</v>
          </cell>
          <cell r="G3799" t="str">
            <v>5811</v>
          </cell>
          <cell r="H3799" t="str">
            <v>19910516</v>
          </cell>
          <cell r="I3799">
            <v>14558253</v>
          </cell>
        </row>
        <row r="3800">
          <cell r="A3800" t="str">
            <v>8601671</v>
          </cell>
          <cell r="B3800" t="str">
            <v>김　주　남</v>
          </cell>
          <cell r="C3800" t="str">
            <v>8601671김　주　남</v>
          </cell>
          <cell r="D3800" t="str">
            <v>IH10</v>
          </cell>
          <cell r="E3800" t="str">
            <v>강릉영업소</v>
          </cell>
          <cell r="F3800" t="str">
            <v>5811</v>
          </cell>
          <cell r="G3800" t="str">
            <v>5811</v>
          </cell>
          <cell r="H3800" t="str">
            <v>19860701</v>
          </cell>
          <cell r="I3800">
            <v>21894642</v>
          </cell>
        </row>
        <row r="3801">
          <cell r="A3801" t="str">
            <v>8601693</v>
          </cell>
          <cell r="B3801" t="str">
            <v>김　진　호</v>
          </cell>
          <cell r="C3801" t="str">
            <v>8601693김　진　호</v>
          </cell>
          <cell r="D3801" t="str">
            <v>IH10</v>
          </cell>
          <cell r="E3801" t="str">
            <v>강릉영업소</v>
          </cell>
          <cell r="F3801" t="str">
            <v>5811</v>
          </cell>
          <cell r="G3801" t="str">
            <v>5811</v>
          </cell>
          <cell r="H3801" t="str">
            <v>19860701</v>
          </cell>
          <cell r="I3801">
            <v>20397943</v>
          </cell>
        </row>
        <row r="3802">
          <cell r="A3802" t="str">
            <v>9406258</v>
          </cell>
          <cell r="B3802" t="str">
            <v>박　종　삼</v>
          </cell>
          <cell r="C3802" t="str">
            <v>9406258박　종　삼</v>
          </cell>
          <cell r="D3802" t="str">
            <v>IH10</v>
          </cell>
          <cell r="E3802" t="str">
            <v>강릉영업소</v>
          </cell>
          <cell r="F3802" t="str">
            <v>5811</v>
          </cell>
          <cell r="G3802" t="str">
            <v>5811</v>
          </cell>
          <cell r="H3802" t="str">
            <v>19941201</v>
          </cell>
          <cell r="I3802">
            <v>6352311</v>
          </cell>
        </row>
        <row r="3803">
          <cell r="A3803" t="str">
            <v>9051693</v>
          </cell>
          <cell r="B3803" t="str">
            <v>백　종　환</v>
          </cell>
          <cell r="C3803" t="str">
            <v>9051693백　종　환</v>
          </cell>
          <cell r="D3803" t="str">
            <v>IH10</v>
          </cell>
          <cell r="E3803" t="str">
            <v>강릉영업소</v>
          </cell>
          <cell r="F3803" t="str">
            <v>5811</v>
          </cell>
          <cell r="G3803" t="str">
            <v>5811</v>
          </cell>
          <cell r="H3803" t="str">
            <v>19901016</v>
          </cell>
          <cell r="I3803">
            <v>11833703</v>
          </cell>
        </row>
        <row r="3804">
          <cell r="A3804" t="str">
            <v>8601660</v>
          </cell>
          <cell r="B3804" t="str">
            <v>선　병　민</v>
          </cell>
          <cell r="C3804" t="str">
            <v>8601660선　병　민</v>
          </cell>
          <cell r="D3804" t="str">
            <v>IH10</v>
          </cell>
          <cell r="E3804" t="str">
            <v>강릉영업소</v>
          </cell>
          <cell r="F3804" t="str">
            <v>5811</v>
          </cell>
          <cell r="G3804" t="str">
            <v>5811</v>
          </cell>
          <cell r="H3804" t="str">
            <v>19860701</v>
          </cell>
          <cell r="I3804">
            <v>21894642</v>
          </cell>
        </row>
        <row r="3805">
          <cell r="A3805" t="str">
            <v>9203117</v>
          </cell>
          <cell r="B3805" t="str">
            <v>손　성　호</v>
          </cell>
          <cell r="C3805" t="str">
            <v>9203117손　성　호</v>
          </cell>
          <cell r="D3805" t="str">
            <v>IH10</v>
          </cell>
          <cell r="E3805" t="str">
            <v>강릉영업소</v>
          </cell>
          <cell r="F3805" t="str">
            <v>5811</v>
          </cell>
          <cell r="G3805" t="str">
            <v>5811</v>
          </cell>
          <cell r="H3805" t="str">
            <v>19920601</v>
          </cell>
          <cell r="I3805">
            <v>10226962</v>
          </cell>
        </row>
        <row r="3806">
          <cell r="A3806" t="str">
            <v>9403086</v>
          </cell>
          <cell r="B3806" t="str">
            <v>손　용　철</v>
          </cell>
          <cell r="C3806" t="str">
            <v>9403086손　용　철</v>
          </cell>
          <cell r="D3806" t="str">
            <v>IH10</v>
          </cell>
          <cell r="E3806" t="str">
            <v>강릉영업소</v>
          </cell>
          <cell r="F3806" t="str">
            <v>5811</v>
          </cell>
          <cell r="G3806" t="str">
            <v>5811</v>
          </cell>
          <cell r="H3806" t="str">
            <v>19940516</v>
          </cell>
          <cell r="I3806">
            <v>7336020</v>
          </cell>
        </row>
        <row r="3807">
          <cell r="A3807" t="str">
            <v>9700154</v>
          </cell>
          <cell r="B3807" t="str">
            <v>오　명　동</v>
          </cell>
          <cell r="C3807" t="str">
            <v>9700154오　명　동</v>
          </cell>
          <cell r="D3807" t="str">
            <v>IH10</v>
          </cell>
          <cell r="E3807" t="str">
            <v>강릉영업소</v>
          </cell>
          <cell r="F3807" t="str">
            <v>5811</v>
          </cell>
          <cell r="G3807" t="str">
            <v>5811</v>
          </cell>
          <cell r="H3807" t="str">
            <v>19970221</v>
          </cell>
          <cell r="I3807">
            <v>3482530</v>
          </cell>
        </row>
        <row r="3808">
          <cell r="A3808" t="str">
            <v>9501614</v>
          </cell>
          <cell r="B3808" t="str">
            <v>이　복　기</v>
          </cell>
          <cell r="C3808" t="str">
            <v>9501614이　복　기</v>
          </cell>
          <cell r="D3808" t="str">
            <v>IH10</v>
          </cell>
          <cell r="E3808" t="str">
            <v>강릉영업소</v>
          </cell>
          <cell r="F3808" t="str">
            <v>5811</v>
          </cell>
          <cell r="G3808" t="str">
            <v>5811</v>
          </cell>
          <cell r="H3808" t="str">
            <v>19950720</v>
          </cell>
          <cell r="I3808">
            <v>5561661</v>
          </cell>
        </row>
        <row r="3809">
          <cell r="A3809" t="str">
            <v>9201104</v>
          </cell>
          <cell r="B3809" t="str">
            <v>이　상　헌</v>
          </cell>
          <cell r="C3809" t="str">
            <v>9201104이　상　헌</v>
          </cell>
          <cell r="D3809" t="str">
            <v>IH10</v>
          </cell>
          <cell r="E3809" t="str">
            <v>강릉영업소</v>
          </cell>
          <cell r="F3809" t="str">
            <v>5811</v>
          </cell>
          <cell r="G3809" t="str">
            <v>5811</v>
          </cell>
          <cell r="H3809" t="str">
            <v>19920301</v>
          </cell>
          <cell r="I3809">
            <v>10504623</v>
          </cell>
        </row>
        <row r="3810">
          <cell r="A3810" t="str">
            <v>8650697</v>
          </cell>
          <cell r="B3810" t="str">
            <v>최　광　재</v>
          </cell>
          <cell r="C3810" t="str">
            <v>8650697최　광　재</v>
          </cell>
          <cell r="D3810" t="str">
            <v>IH10</v>
          </cell>
          <cell r="E3810" t="str">
            <v>강릉영업소</v>
          </cell>
          <cell r="F3810" t="str">
            <v>5811</v>
          </cell>
          <cell r="G3810" t="str">
            <v>5811</v>
          </cell>
          <cell r="H3810" t="str">
            <v>19860710</v>
          </cell>
          <cell r="I3810">
            <v>15750678</v>
          </cell>
        </row>
        <row r="3811">
          <cell r="A3811" t="str">
            <v>8801313</v>
          </cell>
          <cell r="B3811" t="str">
            <v>최　준　수</v>
          </cell>
          <cell r="C3811" t="str">
            <v>8801313최　준　수</v>
          </cell>
          <cell r="D3811" t="str">
            <v>IH10</v>
          </cell>
          <cell r="E3811" t="str">
            <v>강릉영업소</v>
          </cell>
          <cell r="F3811" t="str">
            <v>5811</v>
          </cell>
          <cell r="G3811" t="str">
            <v>5811</v>
          </cell>
          <cell r="H3811" t="str">
            <v>19881101</v>
          </cell>
          <cell r="I3811">
            <v>15983838</v>
          </cell>
        </row>
        <row r="3812">
          <cell r="A3812" t="str">
            <v>8900010</v>
          </cell>
          <cell r="B3812" t="str">
            <v>함　영　대</v>
          </cell>
          <cell r="C3812" t="str">
            <v>8900010함　영　대</v>
          </cell>
          <cell r="D3812" t="str">
            <v>IH10</v>
          </cell>
          <cell r="E3812" t="str">
            <v>강릉영업소</v>
          </cell>
          <cell r="F3812" t="str">
            <v>5811</v>
          </cell>
          <cell r="G3812" t="str">
            <v>5811</v>
          </cell>
          <cell r="H3812" t="str">
            <v>19890101</v>
          </cell>
          <cell r="I3812">
            <v>22336534</v>
          </cell>
        </row>
        <row r="3813">
          <cell r="A3813" t="str">
            <v>9451157</v>
          </cell>
          <cell r="B3813" t="str">
            <v>함　효　경</v>
          </cell>
          <cell r="C3813" t="str">
            <v>9451157함　효　경</v>
          </cell>
          <cell r="D3813" t="str">
            <v>IH10</v>
          </cell>
          <cell r="E3813" t="str">
            <v>강릉영업소</v>
          </cell>
          <cell r="F3813" t="str">
            <v>5811</v>
          </cell>
          <cell r="G3813" t="str">
            <v>6411</v>
          </cell>
          <cell r="H3813" t="str">
            <v>19940601</v>
          </cell>
          <cell r="I3813">
            <v>6955870</v>
          </cell>
        </row>
        <row r="3814">
          <cell r="A3814" t="str">
            <v>9700132</v>
          </cell>
          <cell r="B3814" t="str">
            <v>홍　인　석</v>
          </cell>
          <cell r="C3814" t="str">
            <v>9700132홍　인　석</v>
          </cell>
          <cell r="D3814" t="str">
            <v>IH10</v>
          </cell>
          <cell r="E3814" t="str">
            <v>강릉영업소</v>
          </cell>
          <cell r="F3814" t="str">
            <v>5811</v>
          </cell>
          <cell r="G3814" t="str">
            <v>5811</v>
          </cell>
          <cell r="H3814" t="str">
            <v>19970221</v>
          </cell>
          <cell r="I3814">
            <v>3375751</v>
          </cell>
        </row>
        <row r="3815">
          <cell r="A3815" t="str">
            <v>7800985</v>
          </cell>
          <cell r="B3815" t="str">
            <v>김　명　남</v>
          </cell>
          <cell r="C3815" t="str">
            <v>7800985김　명　남</v>
          </cell>
          <cell r="D3815" t="str">
            <v>II10</v>
          </cell>
          <cell r="E3815" t="str">
            <v>목포영업소</v>
          </cell>
          <cell r="F3815" t="str">
            <v>5911</v>
          </cell>
          <cell r="G3815" t="str">
            <v>5911</v>
          </cell>
          <cell r="H3815" t="str">
            <v>19981201</v>
          </cell>
          <cell r="I3815">
            <v>2926999</v>
          </cell>
        </row>
        <row r="3816">
          <cell r="A3816" t="str">
            <v>9304558</v>
          </cell>
          <cell r="B3816" t="str">
            <v>김　상　운</v>
          </cell>
          <cell r="C3816" t="str">
            <v>9304558김　상　운</v>
          </cell>
          <cell r="D3816" t="str">
            <v>II10</v>
          </cell>
          <cell r="E3816" t="str">
            <v>목포영업소</v>
          </cell>
          <cell r="F3816" t="str">
            <v>5911</v>
          </cell>
          <cell r="G3816" t="str">
            <v>5911</v>
          </cell>
          <cell r="H3816" t="str">
            <v>19930716</v>
          </cell>
          <cell r="I3816">
            <v>8227399</v>
          </cell>
        </row>
        <row r="3817">
          <cell r="A3817" t="str">
            <v>9750295</v>
          </cell>
          <cell r="B3817" t="str">
            <v>김　선　화</v>
          </cell>
          <cell r="C3817" t="str">
            <v>9750295김　선　화</v>
          </cell>
          <cell r="D3817" t="str">
            <v>II10</v>
          </cell>
          <cell r="E3817" t="str">
            <v>목포영업소</v>
          </cell>
          <cell r="F3817" t="str">
            <v>5911</v>
          </cell>
          <cell r="G3817" t="e">
            <v>#N/A</v>
          </cell>
          <cell r="H3817" t="str">
            <v>19970601</v>
          </cell>
          <cell r="I3817">
            <v>2905061</v>
          </cell>
          <cell r="J3817" t="str">
            <v>11 월</v>
          </cell>
          <cell r="K3817">
            <v>4809798</v>
          </cell>
        </row>
        <row r="3818">
          <cell r="A3818" t="str">
            <v>9308373</v>
          </cell>
          <cell r="B3818" t="str">
            <v>김　순　석</v>
          </cell>
          <cell r="C3818" t="str">
            <v>9308373김　순　석</v>
          </cell>
          <cell r="D3818" t="str">
            <v>II10</v>
          </cell>
          <cell r="E3818" t="str">
            <v>목포영업소</v>
          </cell>
          <cell r="F3818" t="str">
            <v>5911</v>
          </cell>
          <cell r="G3818" t="str">
            <v>5911</v>
          </cell>
          <cell r="H3818" t="str">
            <v>19931216</v>
          </cell>
          <cell r="I3818">
            <v>7119596</v>
          </cell>
        </row>
        <row r="3819">
          <cell r="A3819" t="str">
            <v>9206370</v>
          </cell>
          <cell r="B3819" t="str">
            <v>김　재　근</v>
          </cell>
          <cell r="C3819" t="str">
            <v>9206370김　재　근</v>
          </cell>
          <cell r="D3819" t="str">
            <v>II10</v>
          </cell>
          <cell r="E3819" t="str">
            <v>목포영업소</v>
          </cell>
          <cell r="F3819" t="str">
            <v>5911</v>
          </cell>
          <cell r="G3819" t="str">
            <v>5911</v>
          </cell>
          <cell r="H3819" t="str">
            <v>19921005</v>
          </cell>
          <cell r="I3819">
            <v>11287509</v>
          </cell>
        </row>
        <row r="3820">
          <cell r="A3820" t="str">
            <v>9750273</v>
          </cell>
          <cell r="B3820" t="str">
            <v>김　현　정</v>
          </cell>
          <cell r="C3820" t="str">
            <v>9750273김　현　정</v>
          </cell>
          <cell r="D3820" t="str">
            <v>II10</v>
          </cell>
          <cell r="E3820" t="str">
            <v>목포영업소</v>
          </cell>
          <cell r="F3820" t="str">
            <v>5911</v>
          </cell>
          <cell r="G3820" t="e">
            <v>#N/A</v>
          </cell>
          <cell r="H3820" t="str">
            <v>19970601</v>
          </cell>
          <cell r="I3820">
            <v>2905061</v>
          </cell>
          <cell r="J3820" t="str">
            <v>9 월</v>
          </cell>
          <cell r="K3820">
            <v>4441841</v>
          </cell>
        </row>
        <row r="3821">
          <cell r="A3821" t="str">
            <v>8701200</v>
          </cell>
          <cell r="B3821" t="str">
            <v>민　동　영</v>
          </cell>
          <cell r="C3821" t="str">
            <v>8701200민　동　영</v>
          </cell>
          <cell r="D3821" t="str">
            <v>II10</v>
          </cell>
          <cell r="E3821" t="str">
            <v>목포영업소</v>
          </cell>
          <cell r="F3821" t="str">
            <v>5911</v>
          </cell>
          <cell r="G3821" t="str">
            <v>5911</v>
          </cell>
          <cell r="H3821" t="str">
            <v>19870727</v>
          </cell>
          <cell r="I3821">
            <v>19468720</v>
          </cell>
        </row>
        <row r="3822">
          <cell r="A3822" t="str">
            <v>9203580</v>
          </cell>
          <cell r="B3822" t="str">
            <v>박　승　이</v>
          </cell>
          <cell r="C3822" t="str">
            <v>9203580박　승　이</v>
          </cell>
          <cell r="D3822" t="str">
            <v>II10</v>
          </cell>
          <cell r="E3822" t="str">
            <v>목포영업소</v>
          </cell>
          <cell r="F3822" t="str">
            <v>5911</v>
          </cell>
          <cell r="G3822" t="str">
            <v>5911</v>
          </cell>
          <cell r="H3822" t="str">
            <v>19920625</v>
          </cell>
          <cell r="I3822">
            <v>12626919</v>
          </cell>
        </row>
        <row r="3823">
          <cell r="A3823" t="str">
            <v>8801278</v>
          </cell>
          <cell r="B3823" t="str">
            <v>이　권　희</v>
          </cell>
          <cell r="C3823" t="str">
            <v>8801278이　권　희</v>
          </cell>
          <cell r="D3823" t="str">
            <v>II10</v>
          </cell>
          <cell r="E3823" t="str">
            <v>목포영업소</v>
          </cell>
          <cell r="F3823" t="str">
            <v>5911</v>
          </cell>
          <cell r="G3823" t="str">
            <v>5911</v>
          </cell>
          <cell r="H3823" t="str">
            <v>19881101</v>
          </cell>
          <cell r="I3823">
            <v>15230986</v>
          </cell>
        </row>
        <row r="3824">
          <cell r="A3824" t="str">
            <v>9203578</v>
          </cell>
          <cell r="B3824" t="str">
            <v>이　명　환</v>
          </cell>
          <cell r="C3824" t="str">
            <v>9203578이　명　환</v>
          </cell>
          <cell r="D3824" t="str">
            <v>II10</v>
          </cell>
          <cell r="E3824" t="str">
            <v>목포영업소</v>
          </cell>
          <cell r="F3824" t="str">
            <v>5911</v>
          </cell>
          <cell r="G3824" t="str">
            <v>5911</v>
          </cell>
          <cell r="H3824" t="str">
            <v>19920625</v>
          </cell>
          <cell r="I3824">
            <v>10078718</v>
          </cell>
        </row>
        <row r="3825">
          <cell r="A3825" t="str">
            <v>9701076</v>
          </cell>
          <cell r="B3825" t="str">
            <v>이　재　훈</v>
          </cell>
          <cell r="C3825" t="str">
            <v>9701076이　재　훈</v>
          </cell>
          <cell r="D3825" t="str">
            <v>II10</v>
          </cell>
          <cell r="E3825" t="str">
            <v>목포영업소</v>
          </cell>
          <cell r="F3825" t="str">
            <v>5911</v>
          </cell>
          <cell r="G3825" t="str">
            <v>5911</v>
          </cell>
          <cell r="H3825" t="str">
            <v>19970601</v>
          </cell>
          <cell r="I3825">
            <v>3036098</v>
          </cell>
        </row>
        <row r="3826">
          <cell r="A3826" t="str">
            <v>9300521</v>
          </cell>
          <cell r="B3826" t="str">
            <v>전　동　호</v>
          </cell>
          <cell r="C3826" t="str">
            <v>9300521전　동　호</v>
          </cell>
          <cell r="D3826" t="str">
            <v>II10</v>
          </cell>
          <cell r="E3826" t="str">
            <v>목포영업소</v>
          </cell>
          <cell r="F3826" t="str">
            <v>5911</v>
          </cell>
          <cell r="G3826" t="str">
            <v>5911</v>
          </cell>
          <cell r="H3826" t="str">
            <v>19930116</v>
          </cell>
          <cell r="I3826">
            <v>9134133</v>
          </cell>
        </row>
        <row r="3827">
          <cell r="A3827" t="str">
            <v>8400644</v>
          </cell>
          <cell r="B3827" t="str">
            <v>정　병　헌</v>
          </cell>
          <cell r="C3827" t="str">
            <v>8400644정　병　헌</v>
          </cell>
          <cell r="D3827" t="str">
            <v>II10</v>
          </cell>
          <cell r="E3827" t="str">
            <v>목포영업소</v>
          </cell>
          <cell r="F3827" t="str">
            <v>5911</v>
          </cell>
          <cell r="G3827" t="str">
            <v>5911</v>
          </cell>
          <cell r="H3827" t="str">
            <v>19840813</v>
          </cell>
          <cell r="I3827">
            <v>26042589</v>
          </cell>
        </row>
        <row r="3828">
          <cell r="A3828" t="str">
            <v>8600365</v>
          </cell>
          <cell r="B3828" t="str">
            <v>정　정　원</v>
          </cell>
          <cell r="C3828" t="str">
            <v>8600365정　정　원</v>
          </cell>
          <cell r="D3828" t="str">
            <v>II10</v>
          </cell>
          <cell r="E3828" t="str">
            <v>목포영업소</v>
          </cell>
          <cell r="F3828" t="str">
            <v>5911</v>
          </cell>
          <cell r="G3828" t="str">
            <v>5911</v>
          </cell>
          <cell r="H3828" t="str">
            <v>19870907</v>
          </cell>
          <cell r="I3828">
            <v>20575850</v>
          </cell>
        </row>
        <row r="3829">
          <cell r="A3829" t="str">
            <v>9401400</v>
          </cell>
          <cell r="B3829" t="str">
            <v>강　성　훈</v>
          </cell>
          <cell r="C3829" t="str">
            <v>9401400강　성　훈</v>
          </cell>
          <cell r="D3829" t="str">
            <v>IJ10</v>
          </cell>
          <cell r="E3829" t="str">
            <v>군산영업소</v>
          </cell>
          <cell r="F3829" t="str">
            <v>6111</v>
          </cell>
          <cell r="G3829" t="str">
            <v>6111</v>
          </cell>
          <cell r="H3829" t="str">
            <v>19940305</v>
          </cell>
          <cell r="I3829">
            <v>7763420</v>
          </cell>
        </row>
        <row r="3830">
          <cell r="A3830" t="str">
            <v>9550080</v>
          </cell>
          <cell r="B3830" t="str">
            <v>고　복　례</v>
          </cell>
          <cell r="C3830" t="str">
            <v>9550080고　복　례</v>
          </cell>
          <cell r="D3830" t="str">
            <v>IJ10</v>
          </cell>
          <cell r="E3830" t="str">
            <v>군산영업소</v>
          </cell>
          <cell r="F3830" t="str">
            <v>6111</v>
          </cell>
          <cell r="G3830" t="str">
            <v>6111</v>
          </cell>
          <cell r="H3830" t="str">
            <v>19950401</v>
          </cell>
          <cell r="I3830">
            <v>6031665</v>
          </cell>
        </row>
        <row r="3831">
          <cell r="A3831" t="str">
            <v>9207977</v>
          </cell>
          <cell r="B3831" t="str">
            <v>권　대　운</v>
          </cell>
          <cell r="C3831" t="str">
            <v>9207977권　대　운</v>
          </cell>
          <cell r="D3831" t="str">
            <v>IJ10</v>
          </cell>
          <cell r="E3831" t="str">
            <v>군산영업소</v>
          </cell>
          <cell r="F3831" t="str">
            <v>6111</v>
          </cell>
          <cell r="G3831" t="str">
            <v>6111</v>
          </cell>
          <cell r="H3831" t="str">
            <v>19921205</v>
          </cell>
          <cell r="I3831">
            <v>9480200</v>
          </cell>
        </row>
        <row r="3832">
          <cell r="A3832" t="str">
            <v>8500847</v>
          </cell>
          <cell r="B3832" t="str">
            <v>김　　　연</v>
          </cell>
          <cell r="C3832" t="str">
            <v>8500847김　　　연</v>
          </cell>
          <cell r="D3832" t="str">
            <v>IJ10</v>
          </cell>
          <cell r="E3832" t="str">
            <v>군산영업소</v>
          </cell>
          <cell r="F3832" t="str">
            <v>6111</v>
          </cell>
          <cell r="G3832" t="str">
            <v>6111</v>
          </cell>
          <cell r="H3832" t="str">
            <v>19850315</v>
          </cell>
          <cell r="I3832">
            <v>30464408</v>
          </cell>
        </row>
        <row r="3833">
          <cell r="A3833" t="str">
            <v>8701841</v>
          </cell>
          <cell r="B3833" t="str">
            <v>김　광　오</v>
          </cell>
          <cell r="C3833" t="str">
            <v>8701841김　광　오</v>
          </cell>
          <cell r="D3833" t="str">
            <v>IJ10</v>
          </cell>
          <cell r="E3833" t="str">
            <v>군산영업소</v>
          </cell>
          <cell r="F3833" t="str">
            <v>6111</v>
          </cell>
          <cell r="G3833" t="str">
            <v>6111</v>
          </cell>
          <cell r="H3833" t="str">
            <v>19981211</v>
          </cell>
          <cell r="I3833">
            <v>1756418</v>
          </cell>
        </row>
        <row r="3834">
          <cell r="A3834" t="str">
            <v>9252753</v>
          </cell>
          <cell r="B3834" t="str">
            <v>박　명　옥</v>
          </cell>
          <cell r="C3834" t="str">
            <v>9252753박　명　옥</v>
          </cell>
          <cell r="D3834" t="str">
            <v>IJ10</v>
          </cell>
          <cell r="E3834" t="str">
            <v>군산영업소</v>
          </cell>
          <cell r="F3834" t="str">
            <v>6111</v>
          </cell>
          <cell r="G3834" t="str">
            <v>6111</v>
          </cell>
          <cell r="H3834" t="str">
            <v>19921211</v>
          </cell>
          <cell r="I3834">
            <v>6682273</v>
          </cell>
        </row>
        <row r="3835">
          <cell r="A3835" t="str">
            <v>8601434</v>
          </cell>
          <cell r="B3835" t="str">
            <v>송　경　엽</v>
          </cell>
          <cell r="C3835" t="str">
            <v>8601434송　경　엽</v>
          </cell>
          <cell r="D3835" t="str">
            <v>IJ10</v>
          </cell>
          <cell r="E3835" t="str">
            <v>군산영업소</v>
          </cell>
          <cell r="F3835" t="str">
            <v>6111</v>
          </cell>
          <cell r="G3835" t="str">
            <v>6111</v>
          </cell>
          <cell r="H3835" t="str">
            <v>19860513</v>
          </cell>
          <cell r="I3835">
            <v>22004251</v>
          </cell>
        </row>
        <row r="3836">
          <cell r="A3836" t="str">
            <v>8400734</v>
          </cell>
          <cell r="B3836" t="str">
            <v>송　호　창</v>
          </cell>
          <cell r="C3836" t="str">
            <v>8400734송　호　창</v>
          </cell>
          <cell r="D3836" t="str">
            <v>IJ10</v>
          </cell>
          <cell r="E3836" t="str">
            <v>군산영업소</v>
          </cell>
          <cell r="F3836" t="str">
            <v>6111</v>
          </cell>
          <cell r="G3836" t="str">
            <v>6111</v>
          </cell>
          <cell r="H3836" t="str">
            <v>19840813</v>
          </cell>
          <cell r="I3836">
            <v>24118025</v>
          </cell>
        </row>
        <row r="3837">
          <cell r="A3837" t="str">
            <v>9207966</v>
          </cell>
          <cell r="B3837" t="str">
            <v>신　용　운</v>
          </cell>
          <cell r="C3837" t="str">
            <v>9207966신　용　운</v>
          </cell>
          <cell r="D3837" t="str">
            <v>IJ10</v>
          </cell>
          <cell r="E3837" t="str">
            <v>군산영업소</v>
          </cell>
          <cell r="F3837" t="str">
            <v>6111</v>
          </cell>
          <cell r="G3837" t="str">
            <v>6111</v>
          </cell>
          <cell r="H3837" t="str">
            <v>19921205</v>
          </cell>
          <cell r="I3837">
            <v>12011482</v>
          </cell>
        </row>
        <row r="3838">
          <cell r="A3838" t="str">
            <v>9003802</v>
          </cell>
          <cell r="B3838" t="str">
            <v>오　세　종</v>
          </cell>
          <cell r="C3838" t="str">
            <v>9003802오　세　종</v>
          </cell>
          <cell r="D3838" t="str">
            <v>IJ10</v>
          </cell>
          <cell r="E3838" t="str">
            <v>군산영업소</v>
          </cell>
          <cell r="F3838" t="str">
            <v>6111</v>
          </cell>
          <cell r="G3838" t="str">
            <v>6111</v>
          </cell>
          <cell r="H3838" t="str">
            <v>19900818</v>
          </cell>
          <cell r="I3838">
            <v>13489514</v>
          </cell>
        </row>
        <row r="3839">
          <cell r="A3839" t="str">
            <v>9307326</v>
          </cell>
          <cell r="B3839" t="str">
            <v>윤　운　영</v>
          </cell>
          <cell r="C3839" t="str">
            <v>9307326윤　운　영</v>
          </cell>
          <cell r="D3839" t="str">
            <v>IJ10</v>
          </cell>
          <cell r="E3839" t="str">
            <v>군산영업소</v>
          </cell>
          <cell r="F3839" t="str">
            <v>6111</v>
          </cell>
          <cell r="G3839" t="str">
            <v>6111</v>
          </cell>
          <cell r="H3839" t="str">
            <v>19931116</v>
          </cell>
          <cell r="I3839">
            <v>7458913</v>
          </cell>
        </row>
        <row r="3840">
          <cell r="A3840" t="str">
            <v>9303614</v>
          </cell>
          <cell r="B3840" t="str">
            <v>이　상　철</v>
          </cell>
          <cell r="C3840" t="str">
            <v>9303614이　상　철</v>
          </cell>
          <cell r="D3840" t="str">
            <v>IJ10</v>
          </cell>
          <cell r="E3840" t="str">
            <v>군산영업소</v>
          </cell>
          <cell r="F3840" t="str">
            <v>6111</v>
          </cell>
          <cell r="G3840" t="str">
            <v>6111</v>
          </cell>
          <cell r="H3840" t="str">
            <v>19930616</v>
          </cell>
          <cell r="I3840">
            <v>8487488</v>
          </cell>
        </row>
        <row r="3841">
          <cell r="A3841" t="str">
            <v>9305460</v>
          </cell>
          <cell r="B3841" t="str">
            <v>이　익　수</v>
          </cell>
          <cell r="C3841" t="str">
            <v>9305460이　익　수</v>
          </cell>
          <cell r="D3841" t="str">
            <v>IJ10</v>
          </cell>
          <cell r="E3841" t="str">
            <v>군산영업소</v>
          </cell>
          <cell r="F3841" t="str">
            <v>6111</v>
          </cell>
          <cell r="G3841" t="str">
            <v>6111</v>
          </cell>
          <cell r="H3841" t="str">
            <v>19930816</v>
          </cell>
          <cell r="I3841">
            <v>8475296</v>
          </cell>
        </row>
        <row r="3842">
          <cell r="A3842" t="str">
            <v>9451642</v>
          </cell>
          <cell r="B3842" t="str">
            <v>이　정　은</v>
          </cell>
          <cell r="C3842" t="str">
            <v>9451642이　정　은</v>
          </cell>
          <cell r="D3842" t="str">
            <v>IJ10</v>
          </cell>
          <cell r="E3842" t="str">
            <v>군산영업소</v>
          </cell>
          <cell r="F3842" t="str">
            <v>6111</v>
          </cell>
          <cell r="G3842" t="str">
            <v>6111</v>
          </cell>
          <cell r="H3842" t="str">
            <v>19940801</v>
          </cell>
          <cell r="I3842">
            <v>6747679</v>
          </cell>
        </row>
        <row r="3843">
          <cell r="A3843" t="str">
            <v>9104400</v>
          </cell>
          <cell r="B3843" t="str">
            <v>이　한　진</v>
          </cell>
          <cell r="C3843" t="str">
            <v>9104400이　한　진</v>
          </cell>
          <cell r="D3843" t="str">
            <v>IJ10</v>
          </cell>
          <cell r="E3843" t="str">
            <v>군산영업소</v>
          </cell>
          <cell r="F3843" t="str">
            <v>6111</v>
          </cell>
          <cell r="G3843" t="str">
            <v>6111</v>
          </cell>
          <cell r="H3843" t="str">
            <v>19911001</v>
          </cell>
          <cell r="I3843">
            <v>11550043</v>
          </cell>
        </row>
        <row r="3844">
          <cell r="A3844" t="str">
            <v>9450371</v>
          </cell>
          <cell r="B3844" t="str">
            <v>전　미　영</v>
          </cell>
          <cell r="C3844" t="str">
            <v>9450371전　미　영</v>
          </cell>
          <cell r="D3844" t="str">
            <v>IJ10</v>
          </cell>
          <cell r="E3844" t="str">
            <v>군산영업소</v>
          </cell>
          <cell r="F3844" t="str">
            <v>6111</v>
          </cell>
          <cell r="G3844" t="str">
            <v>6111</v>
          </cell>
          <cell r="H3844" t="str">
            <v>19940216</v>
          </cell>
          <cell r="I3844">
            <v>7592990</v>
          </cell>
        </row>
        <row r="3845">
          <cell r="A3845" t="str">
            <v>9252742</v>
          </cell>
          <cell r="B3845" t="str">
            <v>최　선　옥</v>
          </cell>
          <cell r="C3845" t="str">
            <v>9252742최　선　옥</v>
          </cell>
          <cell r="D3845" t="str">
            <v>IJ10</v>
          </cell>
          <cell r="E3845" t="str">
            <v>군산영업소</v>
          </cell>
          <cell r="F3845" t="str">
            <v>6111</v>
          </cell>
          <cell r="G3845" t="str">
            <v>6111</v>
          </cell>
          <cell r="H3845" t="str">
            <v>19921211</v>
          </cell>
          <cell r="I3845">
            <v>6626399</v>
          </cell>
        </row>
        <row r="3846">
          <cell r="A3846" t="str">
            <v>9406170</v>
          </cell>
          <cell r="B3846" t="str">
            <v>강　동　기</v>
          </cell>
          <cell r="C3846" t="str">
            <v>9406170강　동　기</v>
          </cell>
          <cell r="D3846" t="str">
            <v>IK10</v>
          </cell>
          <cell r="E3846" t="str">
            <v>예천영업소</v>
          </cell>
          <cell r="F3846" t="str">
            <v>6211</v>
          </cell>
          <cell r="G3846" t="str">
            <v>6211</v>
          </cell>
          <cell r="H3846" t="str">
            <v>19941017</v>
          </cell>
          <cell r="I3846">
            <v>6831851</v>
          </cell>
        </row>
        <row r="3847">
          <cell r="A3847" t="str">
            <v>9000178</v>
          </cell>
          <cell r="B3847" t="str">
            <v>강　석　백</v>
          </cell>
          <cell r="C3847" t="str">
            <v>9000178강　석　백</v>
          </cell>
          <cell r="D3847" t="str">
            <v>IK10</v>
          </cell>
          <cell r="E3847" t="str">
            <v>예천영업소</v>
          </cell>
          <cell r="F3847" t="str">
            <v>6211</v>
          </cell>
          <cell r="G3847" t="str">
            <v>6211</v>
          </cell>
          <cell r="H3847" t="str">
            <v>19890503</v>
          </cell>
          <cell r="I3847">
            <v>15519478</v>
          </cell>
        </row>
        <row r="3848">
          <cell r="A3848" t="str">
            <v>9501524</v>
          </cell>
          <cell r="B3848" t="str">
            <v>강　출　구</v>
          </cell>
          <cell r="C3848" t="str">
            <v>9501524강　출　구</v>
          </cell>
          <cell r="D3848" t="str">
            <v>IK10</v>
          </cell>
          <cell r="E3848" t="str">
            <v>예천영업소</v>
          </cell>
          <cell r="F3848" t="str">
            <v>6211</v>
          </cell>
          <cell r="G3848" t="str">
            <v>6211</v>
          </cell>
          <cell r="H3848" t="str">
            <v>19950710</v>
          </cell>
          <cell r="I3848">
            <v>5344645</v>
          </cell>
        </row>
        <row r="3849">
          <cell r="A3849" t="str">
            <v>9406091</v>
          </cell>
          <cell r="B3849" t="str">
            <v>권　숙　중</v>
          </cell>
          <cell r="C3849" t="str">
            <v>9406091권　숙　중</v>
          </cell>
          <cell r="D3849" t="str">
            <v>IK10</v>
          </cell>
          <cell r="E3849" t="str">
            <v>예천영업소</v>
          </cell>
          <cell r="F3849" t="str">
            <v>6211</v>
          </cell>
          <cell r="G3849" t="str">
            <v>6211</v>
          </cell>
          <cell r="H3849" t="str">
            <v>19940905</v>
          </cell>
          <cell r="I3849">
            <v>7049689</v>
          </cell>
        </row>
        <row r="3850">
          <cell r="A3850" t="str">
            <v>8501207</v>
          </cell>
          <cell r="B3850" t="str">
            <v>김　실　건</v>
          </cell>
          <cell r="C3850" t="str">
            <v>8501207김　실　건</v>
          </cell>
          <cell r="D3850" t="str">
            <v>IK10</v>
          </cell>
          <cell r="E3850" t="str">
            <v>예천영업소</v>
          </cell>
          <cell r="F3850" t="str">
            <v>6211</v>
          </cell>
          <cell r="G3850" t="str">
            <v>6211</v>
          </cell>
          <cell r="H3850" t="str">
            <v>19850501</v>
          </cell>
          <cell r="I3850">
            <v>23786900</v>
          </cell>
        </row>
        <row r="3851">
          <cell r="A3851" t="str">
            <v>9750396</v>
          </cell>
          <cell r="B3851" t="str">
            <v>김　은　정</v>
          </cell>
          <cell r="C3851" t="str">
            <v>9750396김　은　정</v>
          </cell>
          <cell r="D3851" t="str">
            <v>IK10</v>
          </cell>
          <cell r="E3851" t="str">
            <v>예천영업소</v>
          </cell>
          <cell r="F3851" t="str">
            <v>6211</v>
          </cell>
          <cell r="G3851" t="str">
            <v>6211</v>
          </cell>
          <cell r="H3851" t="str">
            <v>19970818</v>
          </cell>
          <cell r="I3851">
            <v>2665022</v>
          </cell>
        </row>
        <row r="3852">
          <cell r="A3852" t="str">
            <v>9406135</v>
          </cell>
          <cell r="B3852" t="str">
            <v>김　진　동</v>
          </cell>
          <cell r="C3852" t="str">
            <v>9406135김　진　동</v>
          </cell>
          <cell r="D3852" t="str">
            <v>IK10</v>
          </cell>
          <cell r="E3852" t="str">
            <v>예천영업소</v>
          </cell>
          <cell r="F3852" t="str">
            <v>6211</v>
          </cell>
          <cell r="G3852" t="str">
            <v>6211</v>
          </cell>
          <cell r="H3852" t="str">
            <v>19940910</v>
          </cell>
          <cell r="I3852">
            <v>5758593</v>
          </cell>
        </row>
        <row r="3853">
          <cell r="A3853" t="str">
            <v>9501096</v>
          </cell>
          <cell r="B3853" t="str">
            <v>남　성　훈</v>
          </cell>
          <cell r="C3853" t="str">
            <v>9501096남　성　훈</v>
          </cell>
          <cell r="D3853" t="str">
            <v>IK10</v>
          </cell>
          <cell r="E3853" t="str">
            <v>예천영업소</v>
          </cell>
          <cell r="F3853" t="str">
            <v>6211</v>
          </cell>
          <cell r="G3853" t="str">
            <v>6211</v>
          </cell>
          <cell r="H3853" t="str">
            <v>19950615</v>
          </cell>
          <cell r="I3853">
            <v>5249413</v>
          </cell>
        </row>
        <row r="3854">
          <cell r="A3854" t="str">
            <v>7500126</v>
          </cell>
          <cell r="B3854" t="str">
            <v>오　용　석</v>
          </cell>
          <cell r="C3854" t="str">
            <v>7500126오　용　석</v>
          </cell>
          <cell r="D3854" t="str">
            <v>IK10</v>
          </cell>
          <cell r="E3854" t="str">
            <v>예천영업소</v>
          </cell>
          <cell r="F3854" t="str">
            <v>6211</v>
          </cell>
          <cell r="G3854" t="str">
            <v>6211</v>
          </cell>
          <cell r="H3854" t="str">
            <v>19751210</v>
          </cell>
          <cell r="I3854">
            <v>48761989</v>
          </cell>
        </row>
        <row r="3855">
          <cell r="A3855" t="str">
            <v>9750407</v>
          </cell>
          <cell r="B3855" t="str">
            <v>이　동　희</v>
          </cell>
          <cell r="C3855" t="str">
            <v>9750407이　동　희</v>
          </cell>
          <cell r="D3855" t="str">
            <v>IK10</v>
          </cell>
          <cell r="E3855" t="str">
            <v>예천영업소</v>
          </cell>
          <cell r="F3855" t="str">
            <v>6211</v>
          </cell>
          <cell r="G3855" t="str">
            <v>6211</v>
          </cell>
          <cell r="H3855" t="str">
            <v>19970818</v>
          </cell>
          <cell r="I3855">
            <v>2665022</v>
          </cell>
        </row>
        <row r="3856">
          <cell r="A3856" t="str">
            <v>9451967</v>
          </cell>
          <cell r="B3856" t="str">
            <v>이　지　현</v>
          </cell>
          <cell r="C3856" t="str">
            <v>9451967이　지　현</v>
          </cell>
          <cell r="D3856" t="str">
            <v>IK10</v>
          </cell>
          <cell r="E3856" t="str">
            <v>예천영업소</v>
          </cell>
          <cell r="F3856" t="str">
            <v>6211</v>
          </cell>
          <cell r="G3856" t="str">
            <v>6211</v>
          </cell>
          <cell r="H3856" t="str">
            <v>19940910</v>
          </cell>
          <cell r="I3856">
            <v>6241317</v>
          </cell>
        </row>
        <row r="3857">
          <cell r="A3857" t="str">
            <v>9401106</v>
          </cell>
          <cell r="B3857" t="str">
            <v>장　호　덕</v>
          </cell>
          <cell r="C3857" t="str">
            <v>9401106장　호　덕</v>
          </cell>
          <cell r="D3857" t="str">
            <v>IK10</v>
          </cell>
          <cell r="E3857" t="str">
            <v>예천영업소</v>
          </cell>
          <cell r="F3857" t="str">
            <v>6211</v>
          </cell>
          <cell r="G3857" t="str">
            <v>6211</v>
          </cell>
          <cell r="H3857" t="str">
            <v>19940216</v>
          </cell>
          <cell r="I3857">
            <v>8175000</v>
          </cell>
        </row>
        <row r="3858">
          <cell r="A3858" t="str">
            <v>9406080</v>
          </cell>
          <cell r="B3858" t="str">
            <v>황　병　웅</v>
          </cell>
          <cell r="C3858" t="str">
            <v>9406080황　병　웅</v>
          </cell>
          <cell r="D3858" t="str">
            <v>IK10</v>
          </cell>
          <cell r="E3858" t="str">
            <v>예천영업소</v>
          </cell>
          <cell r="F3858" t="str">
            <v>6211</v>
          </cell>
          <cell r="G3858" t="str">
            <v>6211</v>
          </cell>
          <cell r="H3858" t="str">
            <v>19940905</v>
          </cell>
          <cell r="I3858">
            <v>7054570</v>
          </cell>
        </row>
        <row r="3859">
          <cell r="A3859" t="str">
            <v>9700367</v>
          </cell>
          <cell r="B3859" t="str">
            <v>김　동　길</v>
          </cell>
          <cell r="C3859" t="str">
            <v>9700367김　동　길</v>
          </cell>
          <cell r="D3859" t="str">
            <v>IL10</v>
          </cell>
          <cell r="E3859" t="str">
            <v>원주영업소</v>
          </cell>
          <cell r="F3859" t="str">
            <v>6311</v>
          </cell>
          <cell r="G3859" t="str">
            <v>6311</v>
          </cell>
          <cell r="H3859" t="str">
            <v>19970416</v>
          </cell>
          <cell r="I3859">
            <v>3166835</v>
          </cell>
        </row>
        <row r="3860">
          <cell r="A3860" t="str">
            <v>9750058</v>
          </cell>
          <cell r="B3860" t="str">
            <v>김　미　정</v>
          </cell>
          <cell r="C3860" t="str">
            <v>9750058김　미　정</v>
          </cell>
          <cell r="D3860" t="str">
            <v>IL10</v>
          </cell>
          <cell r="E3860" t="str">
            <v>원주영업소</v>
          </cell>
          <cell r="F3860" t="str">
            <v>6311</v>
          </cell>
          <cell r="G3860" t="str">
            <v>6311</v>
          </cell>
          <cell r="H3860" t="str">
            <v>19970221</v>
          </cell>
          <cell r="I3860">
            <v>3267063</v>
          </cell>
        </row>
        <row r="3861">
          <cell r="A3861" t="str">
            <v>8903160</v>
          </cell>
          <cell r="B3861" t="str">
            <v>김　용　길</v>
          </cell>
          <cell r="C3861" t="str">
            <v>8903160김　용　길</v>
          </cell>
          <cell r="D3861" t="str">
            <v>IL10</v>
          </cell>
          <cell r="E3861" t="str">
            <v>원주영업소</v>
          </cell>
          <cell r="F3861" t="str">
            <v>6311</v>
          </cell>
          <cell r="G3861" t="str">
            <v>2320</v>
          </cell>
          <cell r="H3861" t="str">
            <v>19981001</v>
          </cell>
          <cell r="I3861">
            <v>2172636</v>
          </cell>
        </row>
        <row r="3862">
          <cell r="A3862" t="str">
            <v>9503638</v>
          </cell>
          <cell r="B3862" t="str">
            <v>김　인　석</v>
          </cell>
          <cell r="C3862" t="str">
            <v>9503638김　인　석</v>
          </cell>
          <cell r="D3862" t="str">
            <v>IL10</v>
          </cell>
          <cell r="E3862" t="str">
            <v>원주영업소</v>
          </cell>
          <cell r="F3862" t="str">
            <v>6311</v>
          </cell>
          <cell r="G3862" t="str">
            <v>6311</v>
          </cell>
          <cell r="H3862" t="str">
            <v>19951207</v>
          </cell>
          <cell r="I3862">
            <v>4792575</v>
          </cell>
        </row>
        <row r="3863">
          <cell r="A3863" t="str">
            <v>9700378</v>
          </cell>
          <cell r="B3863" t="str">
            <v>민　경　태</v>
          </cell>
          <cell r="C3863" t="str">
            <v>9700378민　경　태</v>
          </cell>
          <cell r="D3863" t="str">
            <v>IL10</v>
          </cell>
          <cell r="E3863" t="str">
            <v>원주영업소</v>
          </cell>
          <cell r="F3863" t="str">
            <v>6311</v>
          </cell>
          <cell r="G3863" t="str">
            <v>6311</v>
          </cell>
          <cell r="H3863" t="str">
            <v>19970416</v>
          </cell>
          <cell r="I3863">
            <v>3166835</v>
          </cell>
        </row>
        <row r="3864">
          <cell r="A3864" t="str">
            <v>9750060</v>
          </cell>
          <cell r="B3864" t="str">
            <v>박　연　희</v>
          </cell>
          <cell r="C3864" t="str">
            <v>9750060박　연　희</v>
          </cell>
          <cell r="D3864" t="str">
            <v>IL10</v>
          </cell>
          <cell r="E3864" t="str">
            <v>원주영업소</v>
          </cell>
          <cell r="F3864" t="str">
            <v>6311</v>
          </cell>
          <cell r="G3864" t="str">
            <v>6311</v>
          </cell>
          <cell r="H3864" t="str">
            <v>19970221</v>
          </cell>
          <cell r="I3864">
            <v>3285177</v>
          </cell>
        </row>
        <row r="3865">
          <cell r="A3865" t="str">
            <v>9003824</v>
          </cell>
          <cell r="B3865" t="str">
            <v>백　남　선</v>
          </cell>
          <cell r="C3865" t="str">
            <v>9003824백　남　선</v>
          </cell>
          <cell r="D3865" t="str">
            <v>IL10</v>
          </cell>
          <cell r="E3865" t="str">
            <v>원주영업소</v>
          </cell>
          <cell r="F3865" t="str">
            <v>6311</v>
          </cell>
          <cell r="G3865" t="str">
            <v>6311</v>
          </cell>
          <cell r="H3865" t="str">
            <v>19900818</v>
          </cell>
          <cell r="I3865">
            <v>13415311</v>
          </cell>
        </row>
        <row r="3866">
          <cell r="A3866" t="str">
            <v>8700557</v>
          </cell>
          <cell r="B3866" t="str">
            <v>변　영　길</v>
          </cell>
          <cell r="C3866" t="str">
            <v>8700557변　영　길</v>
          </cell>
          <cell r="D3866" t="str">
            <v>IL10</v>
          </cell>
          <cell r="E3866" t="str">
            <v>원주영업소</v>
          </cell>
          <cell r="F3866" t="str">
            <v>6311</v>
          </cell>
          <cell r="G3866" t="str">
            <v>6311</v>
          </cell>
          <cell r="H3866" t="str">
            <v>19870521</v>
          </cell>
          <cell r="I3866">
            <v>19856106</v>
          </cell>
        </row>
        <row r="3867">
          <cell r="A3867" t="str">
            <v>9700380</v>
          </cell>
          <cell r="B3867" t="str">
            <v>서　명　호</v>
          </cell>
          <cell r="C3867" t="str">
            <v>9700380서　명　호</v>
          </cell>
          <cell r="D3867" t="str">
            <v>IL10</v>
          </cell>
          <cell r="E3867" t="str">
            <v>원주영업소</v>
          </cell>
          <cell r="F3867" t="str">
            <v>6311</v>
          </cell>
          <cell r="G3867" t="str">
            <v>6311</v>
          </cell>
          <cell r="H3867" t="str">
            <v>19970416</v>
          </cell>
          <cell r="I3867">
            <v>3596281</v>
          </cell>
        </row>
        <row r="3868">
          <cell r="A3868" t="str">
            <v>9700356</v>
          </cell>
          <cell r="B3868" t="str">
            <v>이　승　훈</v>
          </cell>
          <cell r="C3868" t="str">
            <v>9700356이　승　훈</v>
          </cell>
          <cell r="D3868" t="str">
            <v>IL10</v>
          </cell>
          <cell r="E3868" t="str">
            <v>원주영업소</v>
          </cell>
          <cell r="F3868" t="str">
            <v>6311</v>
          </cell>
          <cell r="G3868" t="str">
            <v>6311</v>
          </cell>
          <cell r="H3868" t="str">
            <v>19970416</v>
          </cell>
          <cell r="I3868">
            <v>3184012</v>
          </cell>
        </row>
        <row r="3869">
          <cell r="A3869" t="str">
            <v>8604156</v>
          </cell>
          <cell r="B3869" t="str">
            <v>전　상　인</v>
          </cell>
          <cell r="C3869" t="str">
            <v>8604156전　상　인</v>
          </cell>
          <cell r="D3869" t="str">
            <v>IL10</v>
          </cell>
          <cell r="E3869" t="str">
            <v>원주영업소</v>
          </cell>
          <cell r="F3869" t="str">
            <v>6311</v>
          </cell>
          <cell r="G3869" t="str">
            <v>6311</v>
          </cell>
          <cell r="H3869" t="str">
            <v>19861020</v>
          </cell>
          <cell r="I3869">
            <v>22028595</v>
          </cell>
        </row>
        <row r="3870">
          <cell r="A3870" t="str">
            <v>9750071</v>
          </cell>
          <cell r="B3870" t="str">
            <v>조　한　　</v>
          </cell>
          <cell r="C3870" t="str">
            <v>9750071조　한　　</v>
          </cell>
          <cell r="D3870" t="str">
            <v>IL10</v>
          </cell>
          <cell r="E3870" t="str">
            <v>원주영업소</v>
          </cell>
          <cell r="F3870" t="str">
            <v>6311</v>
          </cell>
          <cell r="G3870" t="str">
            <v>6311</v>
          </cell>
          <cell r="H3870" t="str">
            <v>19970221</v>
          </cell>
          <cell r="I3870">
            <v>3425564</v>
          </cell>
        </row>
        <row r="3871">
          <cell r="A3871" t="str">
            <v>9701908</v>
          </cell>
          <cell r="B3871" t="str">
            <v>채　응　식</v>
          </cell>
          <cell r="C3871" t="str">
            <v>9701908채　응　식</v>
          </cell>
          <cell r="D3871" t="str">
            <v>IL10</v>
          </cell>
          <cell r="E3871" t="str">
            <v>원주영업소</v>
          </cell>
          <cell r="F3871" t="str">
            <v>6311</v>
          </cell>
          <cell r="G3871" t="str">
            <v>6311</v>
          </cell>
          <cell r="H3871" t="str">
            <v>19970602</v>
          </cell>
          <cell r="I3871">
            <v>3166079</v>
          </cell>
        </row>
        <row r="3872">
          <cell r="A3872" t="str">
            <v>9701910</v>
          </cell>
          <cell r="B3872" t="str">
            <v>최　대　순</v>
          </cell>
          <cell r="C3872" t="str">
            <v>9701910최　대　순</v>
          </cell>
          <cell r="D3872" t="str">
            <v>IL10</v>
          </cell>
          <cell r="E3872" t="str">
            <v>원주영업소</v>
          </cell>
          <cell r="F3872" t="str">
            <v>6311</v>
          </cell>
          <cell r="G3872" t="str">
            <v>6311</v>
          </cell>
          <cell r="H3872" t="str">
            <v>19970602</v>
          </cell>
          <cell r="I3872">
            <v>3145625</v>
          </cell>
        </row>
        <row r="3873">
          <cell r="A3873" t="str">
            <v>9750161</v>
          </cell>
          <cell r="B3873" t="str">
            <v>강　윤　주</v>
          </cell>
          <cell r="C3873" t="str">
            <v>9750161강　윤　주</v>
          </cell>
          <cell r="D3873" t="str">
            <v>IM10</v>
          </cell>
          <cell r="E3873" t="str">
            <v>청주영업소</v>
          </cell>
          <cell r="F3873" t="str">
            <v>6411</v>
          </cell>
          <cell r="G3873" t="str">
            <v>6411</v>
          </cell>
          <cell r="H3873" t="str">
            <v>19970421</v>
          </cell>
          <cell r="I3873">
            <v>3312188</v>
          </cell>
        </row>
        <row r="3874">
          <cell r="A3874" t="str">
            <v>9503673</v>
          </cell>
          <cell r="B3874" t="str">
            <v>고　정　노</v>
          </cell>
          <cell r="C3874" t="str">
            <v>9503673고　정　노</v>
          </cell>
          <cell r="D3874" t="str">
            <v>IM10</v>
          </cell>
          <cell r="E3874" t="str">
            <v>청주영업소</v>
          </cell>
          <cell r="F3874" t="str">
            <v>6411</v>
          </cell>
          <cell r="G3874" t="str">
            <v>6411</v>
          </cell>
          <cell r="H3874" t="str">
            <v>19951207</v>
          </cell>
          <cell r="I3874">
            <v>5521616</v>
          </cell>
        </row>
        <row r="3875">
          <cell r="A3875" t="str">
            <v>8701503</v>
          </cell>
          <cell r="B3875" t="str">
            <v>김　기　완</v>
          </cell>
          <cell r="C3875" t="str">
            <v>8701503김　기　완</v>
          </cell>
          <cell r="D3875" t="str">
            <v>IM10</v>
          </cell>
          <cell r="E3875" t="str">
            <v>청주영업소</v>
          </cell>
          <cell r="F3875" t="str">
            <v>6411</v>
          </cell>
          <cell r="G3875" t="str">
            <v>6411</v>
          </cell>
          <cell r="H3875" t="str">
            <v>19870801</v>
          </cell>
          <cell r="I3875">
            <v>24644387</v>
          </cell>
        </row>
        <row r="3876">
          <cell r="A3876" t="str">
            <v>9203073</v>
          </cell>
          <cell r="B3876" t="str">
            <v>김　동　우</v>
          </cell>
          <cell r="C3876" t="str">
            <v>9203073김　동　우</v>
          </cell>
          <cell r="D3876" t="str">
            <v>IM10</v>
          </cell>
          <cell r="E3876" t="str">
            <v>청주영업소</v>
          </cell>
          <cell r="F3876" t="str">
            <v>6411</v>
          </cell>
          <cell r="G3876" t="str">
            <v>6411</v>
          </cell>
          <cell r="H3876" t="str">
            <v>19920516</v>
          </cell>
          <cell r="I3876">
            <v>11222702</v>
          </cell>
        </row>
        <row r="3877">
          <cell r="A3877" t="str">
            <v>9750148</v>
          </cell>
          <cell r="B3877" t="str">
            <v>김　선　애</v>
          </cell>
          <cell r="C3877" t="str">
            <v>9750148김　선　애</v>
          </cell>
          <cell r="D3877" t="str">
            <v>IM10</v>
          </cell>
          <cell r="E3877" t="str">
            <v>청주영업소</v>
          </cell>
          <cell r="F3877" t="str">
            <v>6411</v>
          </cell>
          <cell r="G3877" t="e">
            <v>#N/A</v>
          </cell>
          <cell r="H3877" t="str">
            <v>19970421</v>
          </cell>
          <cell r="I3877">
            <v>3212391</v>
          </cell>
          <cell r="J3877" t="str">
            <v>8 월</v>
          </cell>
          <cell r="K3877">
            <v>4662482</v>
          </cell>
        </row>
        <row r="3878">
          <cell r="A3878" t="str">
            <v>8201226</v>
          </cell>
          <cell r="B3878" t="str">
            <v>김　종　권</v>
          </cell>
          <cell r="C3878" t="str">
            <v>8201226김　종　권</v>
          </cell>
          <cell r="D3878" t="str">
            <v>IM10</v>
          </cell>
          <cell r="E3878" t="str">
            <v>청주영업소</v>
          </cell>
          <cell r="F3878" t="str">
            <v>6411</v>
          </cell>
          <cell r="G3878" t="str">
            <v>6411</v>
          </cell>
          <cell r="H3878" t="str">
            <v>19821016</v>
          </cell>
          <cell r="I3878">
            <v>34494206</v>
          </cell>
        </row>
        <row r="3879">
          <cell r="A3879" t="str">
            <v>8604145</v>
          </cell>
          <cell r="B3879" t="str">
            <v>김　주　묵</v>
          </cell>
          <cell r="C3879" t="str">
            <v>8604145김　주　묵</v>
          </cell>
          <cell r="D3879" t="str">
            <v>IM10</v>
          </cell>
          <cell r="E3879" t="str">
            <v>청주영업소</v>
          </cell>
          <cell r="F3879" t="str">
            <v>6411</v>
          </cell>
          <cell r="G3879" t="str">
            <v>6411</v>
          </cell>
          <cell r="H3879" t="str">
            <v>19861020</v>
          </cell>
          <cell r="I3879">
            <v>22075614</v>
          </cell>
        </row>
        <row r="3880">
          <cell r="A3880">
            <v>9750183</v>
          </cell>
          <cell r="B3880" t="str">
            <v>박　선　영</v>
          </cell>
          <cell r="C3880" t="str">
            <v>9750183박　선　영</v>
          </cell>
          <cell r="D3880" t="str">
            <v>IM10</v>
          </cell>
          <cell r="E3880" t="str">
            <v>청주영업소</v>
          </cell>
          <cell r="F3880" t="str">
            <v>6411</v>
          </cell>
          <cell r="G3880" t="e">
            <v>#N/A</v>
          </cell>
          <cell r="H3880" t="str">
            <v>19951207</v>
          </cell>
          <cell r="J3880" t="str">
            <v>5 월</v>
          </cell>
          <cell r="K3880">
            <v>3798961</v>
          </cell>
        </row>
        <row r="3881">
          <cell r="A3881" t="str">
            <v>9300914</v>
          </cell>
          <cell r="B3881" t="str">
            <v>박　희　돈</v>
          </cell>
          <cell r="C3881" t="str">
            <v>9300914박　희　돈</v>
          </cell>
          <cell r="D3881" t="str">
            <v>IM10</v>
          </cell>
          <cell r="E3881" t="str">
            <v>청주영업소</v>
          </cell>
          <cell r="F3881" t="str">
            <v>6411</v>
          </cell>
          <cell r="G3881" t="str">
            <v>6411</v>
          </cell>
          <cell r="H3881" t="str">
            <v>19930201</v>
          </cell>
          <cell r="I3881">
            <v>10457748</v>
          </cell>
        </row>
        <row r="3882">
          <cell r="A3882" t="str">
            <v>9701043</v>
          </cell>
          <cell r="B3882" t="str">
            <v>반　교　환</v>
          </cell>
          <cell r="C3882" t="str">
            <v>9701043반　교　환</v>
          </cell>
          <cell r="D3882" t="str">
            <v>IM10</v>
          </cell>
          <cell r="E3882" t="str">
            <v>청주영업소</v>
          </cell>
          <cell r="F3882" t="str">
            <v>6411</v>
          </cell>
          <cell r="G3882" t="str">
            <v>6411</v>
          </cell>
          <cell r="H3882" t="str">
            <v>19970521</v>
          </cell>
          <cell r="I3882">
            <v>3827353</v>
          </cell>
        </row>
        <row r="3883">
          <cell r="A3883" t="str">
            <v>9701032</v>
          </cell>
          <cell r="B3883" t="str">
            <v>변　종　범</v>
          </cell>
          <cell r="C3883" t="str">
            <v>9701032변　종　범</v>
          </cell>
          <cell r="D3883" t="str">
            <v>IM10</v>
          </cell>
          <cell r="E3883" t="str">
            <v>청주영업소</v>
          </cell>
          <cell r="F3883" t="str">
            <v>6411</v>
          </cell>
          <cell r="G3883" t="e">
            <v>#N/A</v>
          </cell>
          <cell r="H3883" t="str">
            <v>19970521</v>
          </cell>
          <cell r="I3883">
            <v>3699662</v>
          </cell>
          <cell r="J3883" t="str">
            <v>10 월</v>
          </cell>
          <cell r="K3883">
            <v>5691796</v>
          </cell>
        </row>
        <row r="3884">
          <cell r="A3884" t="str">
            <v>8602885</v>
          </cell>
          <cell r="B3884" t="str">
            <v>성　낙　준</v>
          </cell>
          <cell r="C3884" t="str">
            <v>8602885성　낙　준</v>
          </cell>
          <cell r="D3884" t="str">
            <v>IM10</v>
          </cell>
          <cell r="E3884" t="str">
            <v>청주영업소</v>
          </cell>
          <cell r="F3884" t="str">
            <v>6411</v>
          </cell>
          <cell r="G3884" t="str">
            <v>6411</v>
          </cell>
          <cell r="H3884" t="str">
            <v>19860820</v>
          </cell>
          <cell r="I3884">
            <v>25237579</v>
          </cell>
        </row>
        <row r="3885">
          <cell r="A3885" t="str">
            <v>8902214</v>
          </cell>
          <cell r="B3885" t="str">
            <v>손　태　수</v>
          </cell>
          <cell r="C3885" t="str">
            <v>8902214손　태　수</v>
          </cell>
          <cell r="D3885" t="str">
            <v>IM10</v>
          </cell>
          <cell r="E3885" t="str">
            <v>청주영업소</v>
          </cell>
          <cell r="F3885" t="str">
            <v>6411</v>
          </cell>
          <cell r="G3885" t="str">
            <v>6411</v>
          </cell>
          <cell r="H3885" t="str">
            <v>19881202</v>
          </cell>
          <cell r="I3885">
            <v>19959704</v>
          </cell>
        </row>
        <row r="3886">
          <cell r="A3886" t="str">
            <v>9100552</v>
          </cell>
          <cell r="B3886" t="str">
            <v>신　대　균</v>
          </cell>
          <cell r="C3886" t="str">
            <v>9100552신　대　균</v>
          </cell>
          <cell r="D3886" t="str">
            <v>IM10</v>
          </cell>
          <cell r="E3886" t="str">
            <v>청주영업소</v>
          </cell>
          <cell r="F3886" t="str">
            <v>6411</v>
          </cell>
          <cell r="G3886" t="str">
            <v>6411</v>
          </cell>
          <cell r="H3886" t="str">
            <v>19910211</v>
          </cell>
          <cell r="I3886">
            <v>12974065</v>
          </cell>
        </row>
        <row r="3887">
          <cell r="A3887" t="str">
            <v>9701021</v>
          </cell>
          <cell r="B3887" t="str">
            <v>안　진　수</v>
          </cell>
          <cell r="C3887" t="str">
            <v>9701021안　진　수</v>
          </cell>
          <cell r="D3887" t="str">
            <v>IM10</v>
          </cell>
          <cell r="E3887" t="str">
            <v>청주영업소</v>
          </cell>
          <cell r="F3887" t="str">
            <v>6411</v>
          </cell>
          <cell r="G3887" t="str">
            <v>6411</v>
          </cell>
          <cell r="H3887" t="str">
            <v>19970521</v>
          </cell>
          <cell r="I3887">
            <v>3527438</v>
          </cell>
        </row>
        <row r="3888">
          <cell r="A3888" t="str">
            <v>9001517</v>
          </cell>
          <cell r="B3888" t="str">
            <v>오　재　웅</v>
          </cell>
          <cell r="C3888" t="str">
            <v>9001517오　재　웅</v>
          </cell>
          <cell r="D3888" t="str">
            <v>IM10</v>
          </cell>
          <cell r="E3888" t="str">
            <v>청주영업소</v>
          </cell>
          <cell r="F3888" t="str">
            <v>6411</v>
          </cell>
          <cell r="G3888" t="str">
            <v>6411</v>
          </cell>
          <cell r="H3888" t="str">
            <v>19891129</v>
          </cell>
          <cell r="I3888">
            <v>15562857</v>
          </cell>
        </row>
        <row r="3889">
          <cell r="A3889" t="str">
            <v>9700391</v>
          </cell>
          <cell r="B3889" t="str">
            <v>원　윤　철</v>
          </cell>
          <cell r="C3889" t="str">
            <v>9700391원　윤　철</v>
          </cell>
          <cell r="D3889" t="str">
            <v>IM10</v>
          </cell>
          <cell r="E3889" t="str">
            <v>청주영업소</v>
          </cell>
          <cell r="F3889" t="str">
            <v>6411</v>
          </cell>
          <cell r="G3889" t="str">
            <v>6411</v>
          </cell>
          <cell r="H3889" t="str">
            <v>19970421</v>
          </cell>
          <cell r="I3889">
            <v>3452545</v>
          </cell>
        </row>
        <row r="3890">
          <cell r="A3890" t="str">
            <v>9501254</v>
          </cell>
          <cell r="B3890" t="str">
            <v>이　병　양</v>
          </cell>
          <cell r="C3890" t="str">
            <v>9501254이　병　양</v>
          </cell>
          <cell r="D3890" t="str">
            <v>IM10</v>
          </cell>
          <cell r="E3890" t="str">
            <v>청주영업소</v>
          </cell>
          <cell r="F3890" t="str">
            <v>6411</v>
          </cell>
          <cell r="G3890" t="str">
            <v>6411</v>
          </cell>
          <cell r="H3890" t="str">
            <v>19950615</v>
          </cell>
          <cell r="I3890">
            <v>6796818</v>
          </cell>
        </row>
        <row r="3891">
          <cell r="A3891" t="str">
            <v>8604235</v>
          </cell>
          <cell r="B3891" t="str">
            <v>이　재　득</v>
          </cell>
          <cell r="C3891" t="str">
            <v>8604235이　재　득</v>
          </cell>
          <cell r="D3891" t="str">
            <v>IM10</v>
          </cell>
          <cell r="E3891" t="str">
            <v>청주영업소</v>
          </cell>
          <cell r="F3891" t="str">
            <v>6411</v>
          </cell>
          <cell r="G3891" t="str">
            <v>6411</v>
          </cell>
          <cell r="H3891" t="str">
            <v>19861020</v>
          </cell>
          <cell r="I3891">
            <v>22807435</v>
          </cell>
          <cell r="J3891" t="str">
            <v>2 월</v>
          </cell>
          <cell r="K3891">
            <v>24220369</v>
          </cell>
        </row>
        <row r="3892">
          <cell r="A3892" t="str">
            <v>9304187</v>
          </cell>
          <cell r="B3892" t="str">
            <v>전　병　희</v>
          </cell>
          <cell r="C3892" t="str">
            <v>9304187전　병　희</v>
          </cell>
          <cell r="D3892" t="str">
            <v>IM10</v>
          </cell>
          <cell r="E3892" t="str">
            <v>청주영업소</v>
          </cell>
          <cell r="F3892" t="str">
            <v>6411</v>
          </cell>
          <cell r="G3892" t="str">
            <v>6411</v>
          </cell>
          <cell r="H3892" t="str">
            <v>19930712</v>
          </cell>
          <cell r="I3892">
            <v>9977645</v>
          </cell>
        </row>
        <row r="3893">
          <cell r="A3893" t="str">
            <v>9207988</v>
          </cell>
          <cell r="B3893" t="str">
            <v>전　영　석</v>
          </cell>
          <cell r="C3893" t="str">
            <v>9207988전　영　석</v>
          </cell>
          <cell r="D3893" t="str">
            <v>IM10</v>
          </cell>
          <cell r="E3893" t="str">
            <v>청주영업소</v>
          </cell>
          <cell r="F3893" t="str">
            <v>6411</v>
          </cell>
          <cell r="G3893" t="str">
            <v>6411</v>
          </cell>
          <cell r="H3893" t="str">
            <v>19921205</v>
          </cell>
          <cell r="I3893">
            <v>11861374</v>
          </cell>
        </row>
        <row r="3894">
          <cell r="A3894" t="str">
            <v>8501894</v>
          </cell>
          <cell r="B3894" t="str">
            <v>정　수　권</v>
          </cell>
          <cell r="C3894" t="str">
            <v>8501894정　수　권</v>
          </cell>
          <cell r="D3894" t="str">
            <v>IM10</v>
          </cell>
          <cell r="E3894" t="str">
            <v>청주영업소</v>
          </cell>
          <cell r="F3894" t="str">
            <v>6411</v>
          </cell>
          <cell r="G3894" t="str">
            <v>6411</v>
          </cell>
          <cell r="H3894" t="str">
            <v>19970709</v>
          </cell>
          <cell r="I3894">
            <v>4721321</v>
          </cell>
        </row>
        <row r="3895">
          <cell r="A3895" t="str">
            <v>9406113</v>
          </cell>
          <cell r="B3895" t="str">
            <v>정　용　훈</v>
          </cell>
          <cell r="C3895" t="str">
            <v>9406113정　용　훈</v>
          </cell>
          <cell r="D3895" t="str">
            <v>IM10</v>
          </cell>
          <cell r="E3895" t="str">
            <v>청주영업소</v>
          </cell>
          <cell r="F3895" t="str">
            <v>6411</v>
          </cell>
          <cell r="G3895" t="str">
            <v>6411</v>
          </cell>
          <cell r="H3895" t="str">
            <v>19940905</v>
          </cell>
          <cell r="I3895">
            <v>7987461</v>
          </cell>
        </row>
        <row r="3896">
          <cell r="A3896" t="str">
            <v>8400475</v>
          </cell>
          <cell r="B3896" t="str">
            <v>조　신　복</v>
          </cell>
          <cell r="C3896" t="str">
            <v>8400475조　신　복</v>
          </cell>
          <cell r="D3896" t="str">
            <v>IM10</v>
          </cell>
          <cell r="E3896" t="str">
            <v>청주영업소</v>
          </cell>
          <cell r="F3896" t="str">
            <v>6411</v>
          </cell>
          <cell r="G3896" t="str">
            <v>6411</v>
          </cell>
          <cell r="H3896" t="str">
            <v>19840517</v>
          </cell>
          <cell r="I3896">
            <v>33971906</v>
          </cell>
        </row>
        <row r="3897">
          <cell r="A3897" t="str">
            <v>9700402</v>
          </cell>
          <cell r="B3897" t="str">
            <v>차　건　왕</v>
          </cell>
          <cell r="C3897" t="str">
            <v>9700402차　건　왕</v>
          </cell>
          <cell r="D3897" t="str">
            <v>IM10</v>
          </cell>
          <cell r="E3897" t="str">
            <v>청주영업소</v>
          </cell>
          <cell r="F3897" t="str">
            <v>6411</v>
          </cell>
          <cell r="G3897" t="str">
            <v>6411</v>
          </cell>
          <cell r="H3897" t="str">
            <v>19970421</v>
          </cell>
          <cell r="I3897">
            <v>3360550</v>
          </cell>
        </row>
        <row r="3898">
          <cell r="A3898" t="str">
            <v>9750150</v>
          </cell>
          <cell r="B3898" t="str">
            <v>최　보　현</v>
          </cell>
          <cell r="C3898" t="str">
            <v>9750150최　보　현</v>
          </cell>
          <cell r="D3898" t="str">
            <v>IM10</v>
          </cell>
          <cell r="E3898" t="str">
            <v>청주영업소</v>
          </cell>
          <cell r="F3898" t="str">
            <v>6411</v>
          </cell>
          <cell r="G3898" t="str">
            <v>6411</v>
          </cell>
          <cell r="H3898" t="str">
            <v>19970421</v>
          </cell>
          <cell r="I3898">
            <v>3284350</v>
          </cell>
        </row>
        <row r="3899">
          <cell r="A3899" t="str">
            <v>9750172</v>
          </cell>
          <cell r="B3899" t="str">
            <v>황　선　진</v>
          </cell>
          <cell r="C3899" t="str">
            <v>9750172황　선　진</v>
          </cell>
          <cell r="D3899" t="str">
            <v>IM10</v>
          </cell>
          <cell r="E3899" t="str">
            <v>청주영업소</v>
          </cell>
          <cell r="F3899" t="str">
            <v>6411</v>
          </cell>
          <cell r="G3899" t="str">
            <v>6411</v>
          </cell>
          <cell r="H3899" t="str">
            <v>19970421</v>
          </cell>
          <cell r="I3899">
            <v>3260286</v>
          </cell>
        </row>
        <row r="3900">
          <cell r="A3900" t="str">
            <v>9811822</v>
          </cell>
          <cell r="B3900" t="str">
            <v>강　봉　길</v>
          </cell>
          <cell r="C3900" t="str">
            <v>9811822강　봉　길</v>
          </cell>
          <cell r="D3900" t="str">
            <v>GA30</v>
          </cell>
          <cell r="E3900" t="str">
            <v>축산사업담당</v>
          </cell>
          <cell r="F3900" t="str">
            <v>7312</v>
          </cell>
          <cell r="G3900" t="str">
            <v>7312</v>
          </cell>
          <cell r="H3900" t="str">
            <v>19760701</v>
          </cell>
          <cell r="I3900">
            <v>46856692</v>
          </cell>
        </row>
        <row r="3901">
          <cell r="A3901" t="str">
            <v>9811923</v>
          </cell>
          <cell r="B3901" t="str">
            <v>고　권　흥</v>
          </cell>
          <cell r="C3901" t="str">
            <v>9811923고　권　흥</v>
          </cell>
          <cell r="D3901" t="str">
            <v>GA30</v>
          </cell>
          <cell r="E3901" t="str">
            <v>축산사업담당</v>
          </cell>
          <cell r="F3901" t="str">
            <v>7312</v>
          </cell>
          <cell r="G3901" t="str">
            <v>7312</v>
          </cell>
          <cell r="H3901" t="str">
            <v>19971021</v>
          </cell>
          <cell r="I3901">
            <v>3030501</v>
          </cell>
        </row>
        <row r="3902">
          <cell r="A3902" t="str">
            <v>9860117</v>
          </cell>
          <cell r="B3902" t="str">
            <v>김　경　희</v>
          </cell>
          <cell r="C3902" t="str">
            <v>9860117김　경　희</v>
          </cell>
          <cell r="D3902" t="str">
            <v>GA30</v>
          </cell>
          <cell r="E3902" t="str">
            <v>축산사업담당</v>
          </cell>
          <cell r="F3902" t="str">
            <v>7312</v>
          </cell>
          <cell r="G3902" t="str">
            <v>7312</v>
          </cell>
          <cell r="H3902" t="str">
            <v>19951001</v>
          </cell>
          <cell r="I3902">
            <v>4295225</v>
          </cell>
        </row>
        <row r="3903">
          <cell r="A3903" t="str">
            <v>9811697</v>
          </cell>
          <cell r="B3903" t="str">
            <v>김　동　인</v>
          </cell>
          <cell r="C3903" t="str">
            <v>9811697김　동　인</v>
          </cell>
          <cell r="D3903" t="str">
            <v>GA30</v>
          </cell>
          <cell r="E3903" t="str">
            <v>축산사업담당</v>
          </cell>
          <cell r="F3903" t="str">
            <v>7312</v>
          </cell>
          <cell r="G3903" t="str">
            <v>7312</v>
          </cell>
          <cell r="H3903" t="str">
            <v>19780510</v>
          </cell>
          <cell r="I3903">
            <v>48360077</v>
          </cell>
        </row>
        <row r="3904">
          <cell r="A3904" t="str">
            <v>9811855</v>
          </cell>
          <cell r="B3904" t="str">
            <v>김　봉　칠</v>
          </cell>
          <cell r="C3904" t="str">
            <v>9811855김　봉　칠</v>
          </cell>
          <cell r="D3904" t="str">
            <v>GA30</v>
          </cell>
          <cell r="E3904" t="str">
            <v>축산사업담당</v>
          </cell>
          <cell r="F3904" t="str">
            <v>7312</v>
          </cell>
          <cell r="G3904" t="str">
            <v>7312</v>
          </cell>
          <cell r="H3904" t="str">
            <v>19750501</v>
          </cell>
          <cell r="I3904">
            <v>47163094</v>
          </cell>
        </row>
        <row r="3905">
          <cell r="A3905" t="str">
            <v>9810314</v>
          </cell>
          <cell r="B3905" t="str">
            <v>김　세　민</v>
          </cell>
          <cell r="C3905" t="str">
            <v>9810314김　세　민</v>
          </cell>
          <cell r="D3905" t="str">
            <v>GA30</v>
          </cell>
          <cell r="E3905" t="str">
            <v>축산사업담당</v>
          </cell>
          <cell r="F3905" t="str">
            <v>7312</v>
          </cell>
          <cell r="G3905" t="str">
            <v>7312</v>
          </cell>
          <cell r="H3905" t="str">
            <v>19920301</v>
          </cell>
          <cell r="I3905">
            <v>23678845</v>
          </cell>
        </row>
        <row r="3906">
          <cell r="A3906" t="str">
            <v>9811901</v>
          </cell>
          <cell r="B3906" t="str">
            <v>김　세　영</v>
          </cell>
          <cell r="C3906" t="str">
            <v>9811901김　세　영</v>
          </cell>
          <cell r="D3906" t="str">
            <v>GA30</v>
          </cell>
          <cell r="E3906" t="str">
            <v>축산사업담당</v>
          </cell>
          <cell r="F3906" t="str">
            <v>7312</v>
          </cell>
          <cell r="G3906" t="str">
            <v>7312</v>
          </cell>
          <cell r="H3906" t="str">
            <v>19830218</v>
          </cell>
          <cell r="I3906">
            <v>27870290</v>
          </cell>
        </row>
        <row r="3907">
          <cell r="A3907" t="str">
            <v>9811890</v>
          </cell>
          <cell r="B3907" t="str">
            <v>김　영　도</v>
          </cell>
          <cell r="C3907" t="str">
            <v>9811890김　영　도</v>
          </cell>
          <cell r="D3907" t="str">
            <v>GA30</v>
          </cell>
          <cell r="E3907" t="str">
            <v>축산사업담당</v>
          </cell>
          <cell r="F3907" t="str">
            <v>7312</v>
          </cell>
          <cell r="G3907" t="str">
            <v>7312</v>
          </cell>
          <cell r="H3907" t="str">
            <v>19850612</v>
          </cell>
          <cell r="I3907">
            <v>25188836</v>
          </cell>
        </row>
        <row r="3908">
          <cell r="A3908" t="str">
            <v>9811833</v>
          </cell>
          <cell r="B3908" t="str">
            <v>김　은　상</v>
          </cell>
          <cell r="C3908" t="str">
            <v>9811833김　은　상</v>
          </cell>
          <cell r="D3908" t="str">
            <v>GA30</v>
          </cell>
          <cell r="E3908" t="str">
            <v>축산사업담당</v>
          </cell>
          <cell r="F3908" t="str">
            <v>7312</v>
          </cell>
          <cell r="G3908" t="str">
            <v>7312</v>
          </cell>
          <cell r="H3908" t="str">
            <v>19791217</v>
          </cell>
          <cell r="I3908">
            <v>39146666</v>
          </cell>
        </row>
        <row r="3909">
          <cell r="A3909" t="str">
            <v>9811912</v>
          </cell>
          <cell r="B3909" t="str">
            <v>김　은　진</v>
          </cell>
          <cell r="C3909" t="str">
            <v>9811912김　은　진</v>
          </cell>
          <cell r="D3909" t="str">
            <v>GA30</v>
          </cell>
          <cell r="E3909" t="str">
            <v>축산사업담당</v>
          </cell>
          <cell r="F3909" t="str">
            <v>7312</v>
          </cell>
          <cell r="G3909" t="str">
            <v>7312</v>
          </cell>
          <cell r="H3909" t="str">
            <v>19820212</v>
          </cell>
          <cell r="I3909">
            <v>27970320</v>
          </cell>
        </row>
        <row r="3910">
          <cell r="A3910" t="str">
            <v>9811710</v>
          </cell>
          <cell r="B3910" t="str">
            <v>김　인　택</v>
          </cell>
          <cell r="C3910" t="str">
            <v>9811710김　인　택</v>
          </cell>
          <cell r="D3910" t="str">
            <v>GA30</v>
          </cell>
          <cell r="E3910" t="str">
            <v>축산사업담당</v>
          </cell>
          <cell r="F3910" t="str">
            <v>7312</v>
          </cell>
          <cell r="G3910" t="str">
            <v>7312</v>
          </cell>
          <cell r="H3910" t="str">
            <v>19820107</v>
          </cell>
          <cell r="I3910">
            <v>39721055</v>
          </cell>
        </row>
        <row r="3911">
          <cell r="A3911" t="str">
            <v>9811888</v>
          </cell>
          <cell r="B3911" t="str">
            <v>문　명　진</v>
          </cell>
          <cell r="C3911" t="str">
            <v>9811888문　명　진</v>
          </cell>
          <cell r="D3911" t="str">
            <v>GA30</v>
          </cell>
          <cell r="E3911" t="str">
            <v>축산사업담당</v>
          </cell>
          <cell r="F3911" t="str">
            <v>7312</v>
          </cell>
          <cell r="G3911" t="str">
            <v>7312</v>
          </cell>
          <cell r="H3911" t="str">
            <v>19991201</v>
          </cell>
          <cell r="I3911">
            <v>157814</v>
          </cell>
        </row>
        <row r="3912">
          <cell r="A3912" t="str">
            <v>9811866</v>
          </cell>
          <cell r="B3912" t="str">
            <v>박　승　택</v>
          </cell>
          <cell r="C3912" t="str">
            <v>9811866박　승　택</v>
          </cell>
          <cell r="D3912" t="str">
            <v>GA30</v>
          </cell>
          <cell r="E3912" t="str">
            <v>축산사업담당</v>
          </cell>
          <cell r="F3912" t="str">
            <v>7312</v>
          </cell>
          <cell r="G3912" t="str">
            <v>7312</v>
          </cell>
          <cell r="H3912" t="str">
            <v>19840512</v>
          </cell>
          <cell r="I3912">
            <v>26617384</v>
          </cell>
        </row>
        <row r="3913">
          <cell r="A3913" t="str">
            <v>9811877</v>
          </cell>
          <cell r="B3913" t="str">
            <v>변　승　종</v>
          </cell>
          <cell r="C3913" t="str">
            <v>9811877변　승　종</v>
          </cell>
          <cell r="D3913" t="str">
            <v>GA30</v>
          </cell>
          <cell r="E3913" t="str">
            <v>축산사업담당</v>
          </cell>
          <cell r="F3913" t="str">
            <v>7312</v>
          </cell>
          <cell r="G3913" t="str">
            <v>7312</v>
          </cell>
          <cell r="H3913" t="str">
            <v>19840926</v>
          </cell>
          <cell r="I3913">
            <v>25835044</v>
          </cell>
        </row>
        <row r="3914">
          <cell r="A3914" t="str">
            <v>9811811</v>
          </cell>
          <cell r="B3914" t="str">
            <v>송　호　철</v>
          </cell>
          <cell r="C3914" t="str">
            <v>9811811송　호　철</v>
          </cell>
          <cell r="D3914" t="str">
            <v>GA30</v>
          </cell>
          <cell r="E3914" t="str">
            <v>축산사업담당</v>
          </cell>
          <cell r="F3914" t="str">
            <v>7312</v>
          </cell>
          <cell r="G3914" t="str">
            <v>7312</v>
          </cell>
          <cell r="H3914" t="str">
            <v>19981029</v>
          </cell>
          <cell r="I3914">
            <v>1659610</v>
          </cell>
        </row>
        <row r="3915">
          <cell r="A3915" t="str">
            <v>9811800</v>
          </cell>
          <cell r="B3915" t="str">
            <v>양　보　빈</v>
          </cell>
          <cell r="C3915" t="str">
            <v>9811800양　보　빈</v>
          </cell>
          <cell r="D3915" t="str">
            <v>GA30</v>
          </cell>
          <cell r="E3915" t="str">
            <v>축산사업담당</v>
          </cell>
          <cell r="F3915" t="str">
            <v>7312</v>
          </cell>
          <cell r="G3915" t="str">
            <v>7312</v>
          </cell>
          <cell r="H3915" t="str">
            <v>19830222</v>
          </cell>
          <cell r="I3915">
            <v>27121458</v>
          </cell>
        </row>
        <row r="3916">
          <cell r="A3916" t="str">
            <v>9811776</v>
          </cell>
          <cell r="B3916" t="str">
            <v>오　영　철</v>
          </cell>
          <cell r="C3916" t="str">
            <v>9811776오　영　철</v>
          </cell>
          <cell r="D3916" t="str">
            <v>GA30</v>
          </cell>
          <cell r="E3916" t="str">
            <v>축산사업담당</v>
          </cell>
          <cell r="F3916" t="str">
            <v>7312</v>
          </cell>
          <cell r="G3916" t="str">
            <v>7312</v>
          </cell>
          <cell r="H3916" t="str">
            <v>19870507</v>
          </cell>
          <cell r="I3916">
            <v>25706960</v>
          </cell>
        </row>
        <row r="3917">
          <cell r="A3917" t="str">
            <v>9811787</v>
          </cell>
          <cell r="B3917" t="str">
            <v>이　영　진</v>
          </cell>
          <cell r="C3917" t="str">
            <v>9811787이　영　진</v>
          </cell>
          <cell r="D3917" t="str">
            <v>GA30</v>
          </cell>
          <cell r="E3917" t="str">
            <v>축산사업담당</v>
          </cell>
          <cell r="F3917" t="str">
            <v>7312</v>
          </cell>
          <cell r="G3917" t="str">
            <v>7312</v>
          </cell>
          <cell r="H3917" t="str">
            <v>19781227</v>
          </cell>
          <cell r="I3917">
            <v>42021946</v>
          </cell>
        </row>
        <row r="3918">
          <cell r="A3918" t="str">
            <v>9811754</v>
          </cell>
          <cell r="B3918" t="str">
            <v>이　창　종</v>
          </cell>
          <cell r="C3918" t="str">
            <v>9811754이　창　종</v>
          </cell>
          <cell r="D3918" t="str">
            <v>GA30</v>
          </cell>
          <cell r="E3918" t="str">
            <v>축산사업담당</v>
          </cell>
          <cell r="F3918" t="str">
            <v>7312</v>
          </cell>
          <cell r="G3918" t="str">
            <v>7312</v>
          </cell>
          <cell r="H3918" t="str">
            <v>19920301</v>
          </cell>
          <cell r="I3918">
            <v>18516674</v>
          </cell>
        </row>
        <row r="3919">
          <cell r="A3919" t="str">
            <v>9811721</v>
          </cell>
          <cell r="B3919" t="str">
            <v>정　필　주</v>
          </cell>
          <cell r="C3919" t="str">
            <v>9811721정　필　주</v>
          </cell>
          <cell r="D3919" t="str">
            <v>GA30</v>
          </cell>
          <cell r="E3919" t="str">
            <v>축산사업담당</v>
          </cell>
          <cell r="F3919" t="str">
            <v>7312</v>
          </cell>
          <cell r="G3919" t="str">
            <v>7312</v>
          </cell>
          <cell r="H3919" t="str">
            <v>19810825</v>
          </cell>
          <cell r="I3919">
            <v>35794525</v>
          </cell>
        </row>
        <row r="3920">
          <cell r="A3920" t="str">
            <v>9811844</v>
          </cell>
          <cell r="B3920" t="str">
            <v>현　계　백</v>
          </cell>
          <cell r="C3920" t="str">
            <v>9811844현　계　백</v>
          </cell>
          <cell r="D3920" t="str">
            <v>GA30</v>
          </cell>
          <cell r="E3920" t="str">
            <v>축산사업담당</v>
          </cell>
          <cell r="F3920" t="str">
            <v>7312</v>
          </cell>
          <cell r="G3920" t="str">
            <v>7312</v>
          </cell>
          <cell r="H3920" t="str">
            <v>19840518</v>
          </cell>
          <cell r="I3920">
            <v>29974420</v>
          </cell>
        </row>
        <row r="3921">
          <cell r="A3921" t="str">
            <v>9811765</v>
          </cell>
          <cell r="B3921" t="str">
            <v>현　봉　수</v>
          </cell>
          <cell r="C3921" t="str">
            <v>9811765현　봉　수</v>
          </cell>
          <cell r="D3921" t="str">
            <v>GA30</v>
          </cell>
          <cell r="E3921" t="str">
            <v>축산사업담당</v>
          </cell>
          <cell r="F3921" t="str">
            <v>7312</v>
          </cell>
          <cell r="G3921" t="str">
            <v>7312</v>
          </cell>
          <cell r="H3921" t="str">
            <v>19850201</v>
          </cell>
          <cell r="I3921">
            <v>35234196</v>
          </cell>
        </row>
        <row r="3922">
          <cell r="A3922" t="str">
            <v>9811798</v>
          </cell>
          <cell r="B3922" t="str">
            <v>현　태　형</v>
          </cell>
          <cell r="C3922" t="str">
            <v>9811798현　태　형</v>
          </cell>
          <cell r="D3922" t="str">
            <v>GA30</v>
          </cell>
          <cell r="E3922" t="str">
            <v>축산사업담당</v>
          </cell>
          <cell r="F3922" t="str">
            <v>7312</v>
          </cell>
          <cell r="G3922" t="str">
            <v>7312</v>
          </cell>
          <cell r="H3922" t="str">
            <v>19900912</v>
          </cell>
          <cell r="I3922">
            <v>17015710</v>
          </cell>
        </row>
        <row r="3923">
          <cell r="A3923" t="str">
            <v>0000079</v>
          </cell>
          <cell r="B3923" t="str">
            <v>양　문　홍</v>
          </cell>
          <cell r="C3923" t="str">
            <v>0000079양　문　홍</v>
          </cell>
          <cell r="D3923" t="str">
            <v>생수</v>
          </cell>
          <cell r="E3923" t="str">
            <v>생수사업담당</v>
          </cell>
          <cell r="F3923" t="str">
            <v>7313</v>
          </cell>
          <cell r="G3923" t="str">
            <v>1120</v>
          </cell>
          <cell r="H3923" t="str">
            <v>19920227</v>
          </cell>
          <cell r="I3923">
            <v>112320000</v>
          </cell>
        </row>
        <row r="3924">
          <cell r="A3924" t="str">
            <v>0000082</v>
          </cell>
          <cell r="B3924" t="str">
            <v>이　종　학</v>
          </cell>
          <cell r="C3924" t="str">
            <v>0000082이　종　학</v>
          </cell>
          <cell r="D3924" t="str">
            <v>생수</v>
          </cell>
          <cell r="E3924" t="str">
            <v>생수사업담당</v>
          </cell>
          <cell r="F3924" t="str">
            <v>7313</v>
          </cell>
          <cell r="G3924" t="str">
            <v>7313</v>
          </cell>
          <cell r="H3924" t="str">
            <v>19980101</v>
          </cell>
          <cell r="I3924">
            <v>18861667</v>
          </cell>
        </row>
        <row r="3925">
          <cell r="A3925" t="str">
            <v>9811743</v>
          </cell>
          <cell r="B3925" t="str">
            <v>강　경　완</v>
          </cell>
          <cell r="C3925" t="str">
            <v>9811743강　경　완</v>
          </cell>
          <cell r="D3925" t="str">
            <v>GA20</v>
          </cell>
          <cell r="E3925" t="str">
            <v>생수사업담당</v>
          </cell>
          <cell r="F3925" t="str">
            <v>7313</v>
          </cell>
          <cell r="G3925" t="str">
            <v>7313</v>
          </cell>
          <cell r="H3925" t="str">
            <v>19951016</v>
          </cell>
          <cell r="I3925">
            <v>5547157</v>
          </cell>
        </row>
        <row r="3926">
          <cell r="A3926" t="str">
            <v>9860106</v>
          </cell>
          <cell r="B3926" t="str">
            <v>김　수　연</v>
          </cell>
          <cell r="C3926" t="str">
            <v>9860106김　수　연</v>
          </cell>
          <cell r="D3926" t="str">
            <v>GA20</v>
          </cell>
          <cell r="E3926" t="str">
            <v>생수사업담당</v>
          </cell>
          <cell r="F3926" t="str">
            <v>7313</v>
          </cell>
          <cell r="G3926" t="str">
            <v>7313</v>
          </cell>
          <cell r="H3926" t="str">
            <v>19960408</v>
          </cell>
          <cell r="I3926">
            <v>4156474</v>
          </cell>
        </row>
        <row r="3927">
          <cell r="A3927" t="str">
            <v>9860095</v>
          </cell>
          <cell r="B3927" t="str">
            <v>김　은　영</v>
          </cell>
          <cell r="C3927" t="str">
            <v>9860095김　은　영</v>
          </cell>
          <cell r="D3927" t="str">
            <v>GA20</v>
          </cell>
          <cell r="E3927" t="str">
            <v>생수사업담당</v>
          </cell>
          <cell r="F3927" t="str">
            <v>7313</v>
          </cell>
          <cell r="G3927" t="str">
            <v>7313</v>
          </cell>
          <cell r="H3927" t="str">
            <v>19951104</v>
          </cell>
          <cell r="I3927">
            <v>4438236</v>
          </cell>
        </row>
        <row r="3928">
          <cell r="A3928" t="str">
            <v>9811732</v>
          </cell>
          <cell r="B3928" t="str">
            <v>안　창　완</v>
          </cell>
          <cell r="C3928" t="str">
            <v>9811732안　창　완</v>
          </cell>
          <cell r="D3928" t="str">
            <v>GA20</v>
          </cell>
          <cell r="E3928" t="str">
            <v>생수사업담당</v>
          </cell>
          <cell r="F3928" t="str">
            <v>7313</v>
          </cell>
          <cell r="G3928" t="e">
            <v>#N/A</v>
          </cell>
          <cell r="H3928" t="str">
            <v>19940601</v>
          </cell>
          <cell r="I3928">
            <v>7403244</v>
          </cell>
          <cell r="J3928" t="str">
            <v>9 월</v>
          </cell>
          <cell r="K3928">
            <v>10077344</v>
          </cell>
        </row>
        <row r="3929">
          <cell r="A3929" t="str">
            <v>9811980</v>
          </cell>
          <cell r="B3929" t="str">
            <v>오　광　묵</v>
          </cell>
          <cell r="C3929" t="str">
            <v>9811980오　광　묵</v>
          </cell>
          <cell r="D3929" t="str">
            <v>GA20</v>
          </cell>
          <cell r="E3929" t="str">
            <v>생수사업담당</v>
          </cell>
          <cell r="F3929" t="str">
            <v>7313</v>
          </cell>
          <cell r="G3929" t="str">
            <v>7313</v>
          </cell>
          <cell r="H3929" t="str">
            <v>19930630</v>
          </cell>
          <cell r="I3929">
            <v>8829181</v>
          </cell>
        </row>
        <row r="3930">
          <cell r="A3930" t="str">
            <v>9810303</v>
          </cell>
          <cell r="B3930" t="str">
            <v>정　승　기</v>
          </cell>
          <cell r="C3930" t="str">
            <v>9810303정　승　기</v>
          </cell>
          <cell r="D3930" t="str">
            <v>GA20</v>
          </cell>
          <cell r="E3930" t="str">
            <v>생수사업담당</v>
          </cell>
          <cell r="F3930" t="str">
            <v>7313</v>
          </cell>
          <cell r="G3930" t="str">
            <v>1120</v>
          </cell>
          <cell r="H3930" t="str">
            <v>19930301</v>
          </cell>
          <cell r="I3930">
            <v>18979701</v>
          </cell>
        </row>
        <row r="3931">
          <cell r="A3931" t="str">
            <v>9811708</v>
          </cell>
          <cell r="B3931" t="str">
            <v>조　용　남</v>
          </cell>
          <cell r="C3931" t="str">
            <v>9811708조　용　남</v>
          </cell>
          <cell r="D3931" t="str">
            <v>GA20</v>
          </cell>
          <cell r="E3931" t="str">
            <v>생수사업담당</v>
          </cell>
          <cell r="F3931" t="str">
            <v>7313</v>
          </cell>
          <cell r="G3931" t="str">
            <v>7313</v>
          </cell>
          <cell r="H3931" t="str">
            <v>19930301</v>
          </cell>
          <cell r="I3931">
            <v>14400317</v>
          </cell>
        </row>
        <row r="3932">
          <cell r="A3932" t="str">
            <v>9860128</v>
          </cell>
          <cell r="B3932" t="str">
            <v>강　미　자</v>
          </cell>
          <cell r="C3932" t="str">
            <v>9860128강　미　자</v>
          </cell>
          <cell r="D3932" t="str">
            <v>GA40</v>
          </cell>
          <cell r="E3932" t="str">
            <v>생수사업담당</v>
          </cell>
          <cell r="F3932" t="str">
            <v>7313</v>
          </cell>
          <cell r="G3932" t="str">
            <v>7313</v>
          </cell>
          <cell r="H3932" t="str">
            <v>19891201</v>
          </cell>
          <cell r="I3932">
            <v>10278580</v>
          </cell>
        </row>
        <row r="3933">
          <cell r="A3933" t="str">
            <v>9812081</v>
          </cell>
          <cell r="B3933" t="str">
            <v>강　영　우</v>
          </cell>
          <cell r="C3933" t="str">
            <v>9812081강　영　우</v>
          </cell>
          <cell r="D3933" t="str">
            <v>GA40</v>
          </cell>
          <cell r="E3933" t="str">
            <v>생수사업담당</v>
          </cell>
          <cell r="F3933" t="str">
            <v>7313</v>
          </cell>
          <cell r="G3933" t="str">
            <v>7313</v>
          </cell>
          <cell r="H3933" t="str">
            <v>19931213</v>
          </cell>
          <cell r="I3933">
            <v>7195610</v>
          </cell>
        </row>
        <row r="3934">
          <cell r="A3934" t="str">
            <v>9811945</v>
          </cell>
          <cell r="B3934" t="str">
            <v>고　영　대</v>
          </cell>
          <cell r="C3934" t="str">
            <v>9811945고　영　대</v>
          </cell>
          <cell r="D3934" t="str">
            <v>GA40</v>
          </cell>
          <cell r="E3934" t="str">
            <v>생수사업담당</v>
          </cell>
          <cell r="F3934" t="str">
            <v>7313</v>
          </cell>
          <cell r="G3934" t="str">
            <v>7313</v>
          </cell>
          <cell r="H3934" t="str">
            <v>19930301</v>
          </cell>
          <cell r="I3934">
            <v>14787823</v>
          </cell>
        </row>
        <row r="3935">
          <cell r="A3935" t="str">
            <v>9812103</v>
          </cell>
          <cell r="B3935" t="str">
            <v>금　훈　택</v>
          </cell>
          <cell r="C3935" t="str">
            <v>9812103금　훈　택</v>
          </cell>
          <cell r="D3935" t="str">
            <v>GA40</v>
          </cell>
          <cell r="E3935" t="str">
            <v>생수사업담당</v>
          </cell>
          <cell r="F3935" t="str">
            <v>7313</v>
          </cell>
          <cell r="G3935" t="str">
            <v>7313</v>
          </cell>
          <cell r="H3935" t="str">
            <v>19931101</v>
          </cell>
          <cell r="I3935">
            <v>8531738</v>
          </cell>
        </row>
        <row r="3936">
          <cell r="A3936" t="str">
            <v>9812070</v>
          </cell>
          <cell r="B3936" t="str">
            <v>김　일　수</v>
          </cell>
          <cell r="C3936" t="str">
            <v>9812070김　일　수</v>
          </cell>
          <cell r="D3936" t="str">
            <v>GA40</v>
          </cell>
          <cell r="E3936" t="str">
            <v>생수사업담당</v>
          </cell>
          <cell r="F3936" t="str">
            <v>7313</v>
          </cell>
          <cell r="G3936" t="str">
            <v>7313</v>
          </cell>
          <cell r="H3936" t="str">
            <v>19930301</v>
          </cell>
          <cell r="I3936">
            <v>10117969</v>
          </cell>
        </row>
        <row r="3937">
          <cell r="A3937" t="str">
            <v>9811991</v>
          </cell>
          <cell r="B3937" t="str">
            <v>김　재　방</v>
          </cell>
          <cell r="C3937" t="str">
            <v>9811991김　재　방</v>
          </cell>
          <cell r="D3937" t="str">
            <v>GA40</v>
          </cell>
          <cell r="E3937" t="str">
            <v>생수사업담당</v>
          </cell>
          <cell r="F3937" t="str">
            <v>7313</v>
          </cell>
          <cell r="G3937" t="str">
            <v>7313</v>
          </cell>
          <cell r="H3937" t="str">
            <v>19960401</v>
          </cell>
          <cell r="I3937">
            <v>5038312</v>
          </cell>
        </row>
        <row r="3938">
          <cell r="A3938" t="str">
            <v>9812035</v>
          </cell>
          <cell r="B3938" t="str">
            <v>김　정　운</v>
          </cell>
          <cell r="C3938" t="str">
            <v>9812035김　정　운</v>
          </cell>
          <cell r="D3938" t="str">
            <v>GA40</v>
          </cell>
          <cell r="E3938" t="str">
            <v>생수사업담당</v>
          </cell>
          <cell r="F3938" t="str">
            <v>7313</v>
          </cell>
          <cell r="G3938" t="str">
            <v>7313</v>
          </cell>
          <cell r="H3938" t="str">
            <v>19971201</v>
          </cell>
          <cell r="I3938">
            <v>2497347</v>
          </cell>
        </row>
        <row r="3939">
          <cell r="A3939" t="str">
            <v>9811956</v>
          </cell>
          <cell r="B3939" t="str">
            <v>김　홍　윤</v>
          </cell>
          <cell r="C3939" t="str">
            <v>9811956김　홍　윤</v>
          </cell>
          <cell r="D3939" t="str">
            <v>GA40</v>
          </cell>
          <cell r="E3939" t="str">
            <v>생수사업담당</v>
          </cell>
          <cell r="F3939" t="str">
            <v>7313</v>
          </cell>
          <cell r="G3939" t="str">
            <v>7313</v>
          </cell>
          <cell r="H3939" t="str">
            <v>19930301</v>
          </cell>
          <cell r="I3939">
            <v>14605466</v>
          </cell>
        </row>
        <row r="3940">
          <cell r="A3940" t="str">
            <v>9812013</v>
          </cell>
          <cell r="B3940" t="str">
            <v>송　정　한</v>
          </cell>
          <cell r="C3940" t="str">
            <v>9812013송　정　한</v>
          </cell>
          <cell r="D3940" t="str">
            <v>GA40</v>
          </cell>
          <cell r="E3940" t="str">
            <v>생수사업담당</v>
          </cell>
          <cell r="F3940" t="str">
            <v>7313</v>
          </cell>
          <cell r="G3940" t="str">
            <v>7313</v>
          </cell>
          <cell r="H3940" t="str">
            <v>19931101</v>
          </cell>
          <cell r="I3940">
            <v>8172172</v>
          </cell>
        </row>
        <row r="3941">
          <cell r="A3941" t="str">
            <v>9812046</v>
          </cell>
          <cell r="B3941" t="str">
            <v>양　공　호</v>
          </cell>
          <cell r="C3941" t="str">
            <v>9812046양　공　호</v>
          </cell>
          <cell r="D3941" t="str">
            <v>GA40</v>
          </cell>
          <cell r="E3941" t="str">
            <v>생수사업담당</v>
          </cell>
          <cell r="F3941" t="str">
            <v>7313</v>
          </cell>
          <cell r="G3941" t="str">
            <v>7313</v>
          </cell>
          <cell r="H3941" t="str">
            <v>19970312</v>
          </cell>
          <cell r="I3941">
            <v>3288725</v>
          </cell>
        </row>
        <row r="3942">
          <cell r="A3942" t="str">
            <v>9811967</v>
          </cell>
          <cell r="B3942" t="str">
            <v>어　민　경</v>
          </cell>
          <cell r="C3942" t="str">
            <v>9811967어　민　경</v>
          </cell>
          <cell r="D3942" t="str">
            <v>GA40</v>
          </cell>
          <cell r="E3942" t="str">
            <v>생수사업담당</v>
          </cell>
          <cell r="F3942" t="str">
            <v>7313</v>
          </cell>
          <cell r="G3942" t="str">
            <v>7313</v>
          </cell>
          <cell r="H3942" t="str">
            <v>19900215</v>
          </cell>
          <cell r="I3942">
            <v>19187958</v>
          </cell>
        </row>
        <row r="3943">
          <cell r="A3943" t="str">
            <v>9812068</v>
          </cell>
          <cell r="B3943" t="str">
            <v>오　승　룡</v>
          </cell>
          <cell r="C3943" t="str">
            <v>9812068오　승　룡</v>
          </cell>
          <cell r="D3943" t="str">
            <v>GA40</v>
          </cell>
          <cell r="E3943" t="str">
            <v>생수사업담당</v>
          </cell>
          <cell r="F3943" t="str">
            <v>7313</v>
          </cell>
          <cell r="G3943" t="str">
            <v>7313</v>
          </cell>
          <cell r="H3943" t="str">
            <v>19930301</v>
          </cell>
          <cell r="I3943">
            <v>9702747</v>
          </cell>
        </row>
        <row r="3944">
          <cell r="A3944" t="str">
            <v>9812057</v>
          </cell>
          <cell r="B3944" t="str">
            <v>이　선　제</v>
          </cell>
          <cell r="C3944" t="str">
            <v>9812057이　선　제</v>
          </cell>
          <cell r="D3944" t="str">
            <v>GA40</v>
          </cell>
          <cell r="E3944" t="str">
            <v>생수사업담당</v>
          </cell>
          <cell r="F3944" t="str">
            <v>7313</v>
          </cell>
          <cell r="G3944" t="str">
            <v>7313</v>
          </cell>
          <cell r="H3944" t="str">
            <v>19930301</v>
          </cell>
          <cell r="I3944">
            <v>13325562</v>
          </cell>
        </row>
        <row r="3945">
          <cell r="A3945" t="str">
            <v>9812024</v>
          </cell>
          <cell r="B3945" t="str">
            <v>임　상　균</v>
          </cell>
          <cell r="C3945" t="str">
            <v>9812024임　상　균</v>
          </cell>
          <cell r="D3945" t="str">
            <v>GA40</v>
          </cell>
          <cell r="E3945" t="str">
            <v>생수사업담당</v>
          </cell>
          <cell r="F3945" t="str">
            <v>7313</v>
          </cell>
          <cell r="G3945" t="str">
            <v>7313</v>
          </cell>
          <cell r="H3945" t="str">
            <v>19940808</v>
          </cell>
          <cell r="I3945">
            <v>6646660</v>
          </cell>
        </row>
        <row r="3946">
          <cell r="A3946" t="str">
            <v>9812092</v>
          </cell>
          <cell r="B3946" t="str">
            <v>조　남　수</v>
          </cell>
          <cell r="C3946" t="str">
            <v>9812092조　남　수</v>
          </cell>
          <cell r="D3946" t="str">
            <v>GA40</v>
          </cell>
          <cell r="E3946" t="str">
            <v>생수사업담당</v>
          </cell>
          <cell r="F3946" t="str">
            <v>7313</v>
          </cell>
          <cell r="G3946" t="str">
            <v>7313</v>
          </cell>
          <cell r="H3946" t="str">
            <v>19940201</v>
          </cell>
          <cell r="I3946">
            <v>6999532</v>
          </cell>
        </row>
        <row r="3947">
          <cell r="A3947" t="str">
            <v>9306191</v>
          </cell>
          <cell r="B3947" t="str">
            <v>김　성　환</v>
          </cell>
          <cell r="C3947" t="str">
            <v>9306191김　성　환</v>
          </cell>
          <cell r="D3947" t="str">
            <v>HB30</v>
          </cell>
          <cell r="E3947" t="str">
            <v>생수사업담당</v>
          </cell>
          <cell r="F3947" t="str">
            <v>7313</v>
          </cell>
          <cell r="G3947" t="str">
            <v>7315</v>
          </cell>
          <cell r="H3947" t="str">
            <v>19930916</v>
          </cell>
          <cell r="I3947">
            <v>7678570</v>
          </cell>
        </row>
        <row r="3948">
          <cell r="A3948" t="str">
            <v>9811978</v>
          </cell>
          <cell r="B3948" t="str">
            <v>한　건　우</v>
          </cell>
          <cell r="C3948" t="str">
            <v>9811978한　건　우</v>
          </cell>
          <cell r="D3948" t="str">
            <v>생수판매</v>
          </cell>
          <cell r="E3948" t="str">
            <v>생수판매담당</v>
          </cell>
          <cell r="F3948" t="str">
            <v>7314</v>
          </cell>
          <cell r="G3948" t="str">
            <v>7314</v>
          </cell>
          <cell r="H3948" t="str">
            <v>19940401</v>
          </cell>
          <cell r="I3948">
            <v>10876802</v>
          </cell>
        </row>
        <row r="3949">
          <cell r="A3949" t="str">
            <v>9812136</v>
          </cell>
          <cell r="B3949" t="str">
            <v>강　제　택</v>
          </cell>
          <cell r="C3949" t="str">
            <v>9812136강　제　택</v>
          </cell>
          <cell r="D3949" t="str">
            <v>농산사업</v>
          </cell>
          <cell r="E3949" t="str">
            <v>농산사업담당</v>
          </cell>
          <cell r="F3949" t="str">
            <v>7315</v>
          </cell>
          <cell r="G3949" t="str">
            <v>7315</v>
          </cell>
          <cell r="H3949" t="str">
            <v>19950515</v>
          </cell>
          <cell r="I3949">
            <v>7913206</v>
          </cell>
        </row>
        <row r="3950">
          <cell r="A3950" t="str">
            <v>9812171</v>
          </cell>
          <cell r="B3950" t="str">
            <v>박　군　석</v>
          </cell>
          <cell r="C3950" t="str">
            <v>9812171박　군　석</v>
          </cell>
          <cell r="D3950" t="str">
            <v>농산사업</v>
          </cell>
          <cell r="E3950" t="str">
            <v>농산사업담당</v>
          </cell>
          <cell r="F3950" t="str">
            <v>7315</v>
          </cell>
          <cell r="G3950" t="str">
            <v>7315</v>
          </cell>
          <cell r="H3950" t="str">
            <v>19970401</v>
          </cell>
          <cell r="I3950">
            <v>3090920</v>
          </cell>
        </row>
        <row r="3951">
          <cell r="A3951" t="str">
            <v>9812125</v>
          </cell>
          <cell r="B3951" t="str">
            <v>박　기　수</v>
          </cell>
          <cell r="C3951" t="str">
            <v>9812125박　기　수</v>
          </cell>
          <cell r="D3951" t="str">
            <v>농산사업</v>
          </cell>
          <cell r="E3951" t="str">
            <v>농산사업담당</v>
          </cell>
          <cell r="F3951" t="str">
            <v>7315</v>
          </cell>
          <cell r="G3951" t="str">
            <v>7315</v>
          </cell>
          <cell r="H3951" t="str">
            <v>19950116</v>
          </cell>
          <cell r="I3951">
            <v>9441329</v>
          </cell>
        </row>
        <row r="3952">
          <cell r="A3952" t="str">
            <v>9812114</v>
          </cell>
          <cell r="B3952" t="str">
            <v>태　형　민</v>
          </cell>
          <cell r="C3952" t="str">
            <v>9812114태　형　민</v>
          </cell>
          <cell r="D3952" t="str">
            <v>농산사업</v>
          </cell>
          <cell r="E3952" t="str">
            <v>농산사업담당</v>
          </cell>
          <cell r="F3952" t="str">
            <v>7315</v>
          </cell>
          <cell r="G3952" t="str">
            <v>7315</v>
          </cell>
          <cell r="H3952" t="str">
            <v>19920801</v>
          </cell>
          <cell r="I3952">
            <v>14425200</v>
          </cell>
        </row>
        <row r="3953">
          <cell r="A3953" t="str">
            <v>9812158</v>
          </cell>
          <cell r="B3953" t="str">
            <v>현　기　홍</v>
          </cell>
          <cell r="C3953" t="str">
            <v>9812158현　기　홍</v>
          </cell>
          <cell r="D3953" t="str">
            <v>농산사업</v>
          </cell>
          <cell r="E3953" t="str">
            <v>농산사업담당</v>
          </cell>
          <cell r="F3953" t="str">
            <v>7315</v>
          </cell>
          <cell r="G3953" t="str">
            <v>7315</v>
          </cell>
          <cell r="H3953" t="str">
            <v>19970601</v>
          </cell>
          <cell r="I3953">
            <v>3445812</v>
          </cell>
        </row>
        <row r="3954">
          <cell r="A3954" t="str">
            <v>9812147</v>
          </cell>
          <cell r="B3954" t="str">
            <v>현　봉　철</v>
          </cell>
          <cell r="C3954" t="str">
            <v>9812147현　봉　철</v>
          </cell>
          <cell r="D3954" t="str">
            <v>농산사업</v>
          </cell>
          <cell r="E3954" t="str">
            <v>농산사업담당</v>
          </cell>
          <cell r="F3954" t="str">
            <v>7315</v>
          </cell>
          <cell r="G3954" t="str">
            <v>7315</v>
          </cell>
          <cell r="H3954" t="str">
            <v>19960601</v>
          </cell>
          <cell r="I3954">
            <v>4778145</v>
          </cell>
        </row>
        <row r="3955">
          <cell r="A3955" t="str">
            <v>9811934</v>
          </cell>
          <cell r="B3955" t="str">
            <v>윤　상　현</v>
          </cell>
          <cell r="C3955" t="str">
            <v>9811934윤　상　현</v>
          </cell>
          <cell r="D3955" t="str">
            <v>GA20</v>
          </cell>
          <cell r="E3955" t="str">
            <v>민속촌사업</v>
          </cell>
          <cell r="F3955" t="str">
            <v>7316</v>
          </cell>
          <cell r="G3955" t="str">
            <v>7316</v>
          </cell>
          <cell r="H3955" t="str">
            <v>19930301</v>
          </cell>
          <cell r="I3955">
            <v>15786215</v>
          </cell>
        </row>
        <row r="3956">
          <cell r="A3956" t="str">
            <v>9812327</v>
          </cell>
          <cell r="B3956" t="str">
            <v>강　명　삼</v>
          </cell>
          <cell r="C3956" t="str">
            <v>9812327강　명　삼</v>
          </cell>
          <cell r="D3956" t="str">
            <v>GA50</v>
          </cell>
          <cell r="E3956" t="str">
            <v>민속촌사업</v>
          </cell>
          <cell r="F3956" t="str">
            <v>7316</v>
          </cell>
          <cell r="G3956" t="str">
            <v>7316</v>
          </cell>
          <cell r="H3956" t="str">
            <v>19960601</v>
          </cell>
          <cell r="I3956">
            <v>4434757</v>
          </cell>
        </row>
        <row r="3957">
          <cell r="A3957" t="str">
            <v>9812237</v>
          </cell>
          <cell r="B3957" t="str">
            <v>강　수　현</v>
          </cell>
          <cell r="C3957" t="str">
            <v>9812237강　수　현</v>
          </cell>
          <cell r="D3957" t="str">
            <v>GA50</v>
          </cell>
          <cell r="E3957" t="str">
            <v>민속촌사업</v>
          </cell>
          <cell r="F3957" t="str">
            <v>7316</v>
          </cell>
          <cell r="G3957" t="str">
            <v>7316</v>
          </cell>
          <cell r="H3957" t="str">
            <v>19970707</v>
          </cell>
          <cell r="I3957">
            <v>2882919</v>
          </cell>
        </row>
        <row r="3958">
          <cell r="A3958" t="str">
            <v>9812294</v>
          </cell>
          <cell r="B3958" t="str">
            <v>고　동　환</v>
          </cell>
          <cell r="C3958" t="str">
            <v>9812294고　동　환</v>
          </cell>
          <cell r="D3958" t="str">
            <v>GA50</v>
          </cell>
          <cell r="E3958" t="str">
            <v>민속촌사업</v>
          </cell>
          <cell r="F3958" t="str">
            <v>7316</v>
          </cell>
          <cell r="G3958" t="str">
            <v>7316</v>
          </cell>
          <cell r="H3958" t="str">
            <v>19960601</v>
          </cell>
          <cell r="I3958">
            <v>3973265</v>
          </cell>
        </row>
        <row r="3959">
          <cell r="A3959" t="str">
            <v>9812248</v>
          </cell>
          <cell r="B3959" t="str">
            <v>김　시　창</v>
          </cell>
          <cell r="C3959" t="str">
            <v>9812248김　시　창</v>
          </cell>
          <cell r="D3959" t="str">
            <v>GA50</v>
          </cell>
          <cell r="E3959" t="str">
            <v>민속촌사업</v>
          </cell>
          <cell r="F3959" t="str">
            <v>7316</v>
          </cell>
          <cell r="G3959" t="str">
            <v>7316</v>
          </cell>
          <cell r="H3959" t="str">
            <v>19811112</v>
          </cell>
          <cell r="I3959">
            <v>32851965</v>
          </cell>
        </row>
        <row r="3960">
          <cell r="A3960" t="str">
            <v>9812193</v>
          </cell>
          <cell r="B3960" t="str">
            <v>김　영　준</v>
          </cell>
          <cell r="C3960" t="str">
            <v>9812193김　영　준</v>
          </cell>
          <cell r="D3960" t="str">
            <v>GA50</v>
          </cell>
          <cell r="E3960" t="str">
            <v>민속촌사업</v>
          </cell>
          <cell r="F3960" t="str">
            <v>7316</v>
          </cell>
          <cell r="G3960" t="e">
            <v>#N/A</v>
          </cell>
          <cell r="H3960" t="str">
            <v>19930301</v>
          </cell>
          <cell r="I3960">
            <v>16576606</v>
          </cell>
          <cell r="J3960" t="str">
            <v>3 월</v>
          </cell>
          <cell r="K3960">
            <v>17353584</v>
          </cell>
        </row>
        <row r="3961">
          <cell r="A3961" t="str">
            <v>9812204</v>
          </cell>
          <cell r="B3961" t="str">
            <v>김　인　성</v>
          </cell>
          <cell r="C3961" t="str">
            <v>9812204김　인　성</v>
          </cell>
          <cell r="D3961" t="str">
            <v>GA50</v>
          </cell>
          <cell r="E3961" t="str">
            <v>민속촌사업</v>
          </cell>
          <cell r="F3961" t="str">
            <v>7316</v>
          </cell>
          <cell r="G3961" t="str">
            <v>7316</v>
          </cell>
          <cell r="H3961" t="str">
            <v>19960601</v>
          </cell>
          <cell r="I3961">
            <v>6063235</v>
          </cell>
        </row>
        <row r="3962">
          <cell r="A3962" t="str">
            <v>9812283</v>
          </cell>
          <cell r="B3962" t="str">
            <v>김　정　구</v>
          </cell>
          <cell r="C3962" t="str">
            <v>9812283김　정　구</v>
          </cell>
          <cell r="D3962" t="str">
            <v>GA50</v>
          </cell>
          <cell r="E3962" t="str">
            <v>민속촌사업</v>
          </cell>
          <cell r="F3962" t="str">
            <v>7316</v>
          </cell>
          <cell r="G3962" t="str">
            <v>7316</v>
          </cell>
          <cell r="H3962" t="str">
            <v>19970905</v>
          </cell>
          <cell r="I3962">
            <v>4553139</v>
          </cell>
        </row>
        <row r="3963">
          <cell r="A3963" t="str">
            <v>9812338</v>
          </cell>
          <cell r="B3963" t="str">
            <v>김　태　욱</v>
          </cell>
          <cell r="C3963" t="str">
            <v>9812338김　태　욱</v>
          </cell>
          <cell r="D3963" t="str">
            <v>GA50</v>
          </cell>
          <cell r="E3963" t="str">
            <v>민속촌사업</v>
          </cell>
          <cell r="F3963" t="str">
            <v>7316</v>
          </cell>
          <cell r="G3963" t="str">
            <v>7316</v>
          </cell>
          <cell r="H3963" t="str">
            <v>19980317</v>
          </cell>
          <cell r="I3963">
            <v>1711640</v>
          </cell>
        </row>
        <row r="3964">
          <cell r="B3964" t="str">
            <v>문　향　단</v>
          </cell>
          <cell r="C3964" t="str">
            <v>문　향　단</v>
          </cell>
          <cell r="D3964" t="str">
            <v>GA50</v>
          </cell>
          <cell r="E3964" t="str">
            <v>민속촌사업</v>
          </cell>
          <cell r="F3964" t="str">
            <v>7316</v>
          </cell>
          <cell r="G3964" t="e">
            <v>#N/A</v>
          </cell>
          <cell r="J3964" t="str">
            <v>11 월</v>
          </cell>
          <cell r="K3964">
            <v>810614</v>
          </cell>
        </row>
        <row r="3965">
          <cell r="A3965" t="str">
            <v>9860218</v>
          </cell>
          <cell r="B3965" t="str">
            <v>박　복　생</v>
          </cell>
          <cell r="C3965" t="str">
            <v>9860218박　복　생</v>
          </cell>
          <cell r="D3965" t="str">
            <v>GA50</v>
          </cell>
          <cell r="E3965" t="str">
            <v>민속촌사업</v>
          </cell>
          <cell r="F3965" t="str">
            <v>7316</v>
          </cell>
          <cell r="G3965" t="str">
            <v>7316</v>
          </cell>
          <cell r="H3965" t="str">
            <v>19960601</v>
          </cell>
          <cell r="I3965">
            <v>4151368</v>
          </cell>
        </row>
        <row r="3966">
          <cell r="A3966" t="str">
            <v>9860220</v>
          </cell>
          <cell r="B3966" t="str">
            <v>박　양　덕</v>
          </cell>
          <cell r="C3966" t="str">
            <v>9860220박　양　덕</v>
          </cell>
          <cell r="D3966" t="str">
            <v>GA50</v>
          </cell>
          <cell r="E3966" t="str">
            <v>민속촌사업</v>
          </cell>
          <cell r="F3966" t="str">
            <v>7316</v>
          </cell>
          <cell r="G3966" t="str">
            <v>7316</v>
          </cell>
          <cell r="H3966" t="str">
            <v>19960601</v>
          </cell>
          <cell r="I3966">
            <v>3958439</v>
          </cell>
        </row>
        <row r="3967">
          <cell r="A3967" t="str">
            <v>9860253</v>
          </cell>
          <cell r="B3967" t="str">
            <v>박　옥　희</v>
          </cell>
          <cell r="C3967" t="str">
            <v>9860253박　옥　희</v>
          </cell>
          <cell r="D3967" t="str">
            <v>GA50</v>
          </cell>
          <cell r="E3967" t="str">
            <v>민속촌사업</v>
          </cell>
          <cell r="F3967" t="str">
            <v>7316</v>
          </cell>
          <cell r="G3967" t="str">
            <v>7316</v>
          </cell>
          <cell r="H3967" t="str">
            <v>19980416</v>
          </cell>
          <cell r="I3967">
            <v>1035150</v>
          </cell>
        </row>
        <row r="3968">
          <cell r="A3968" t="str">
            <v>9812305</v>
          </cell>
          <cell r="B3968" t="str">
            <v>박　원　종</v>
          </cell>
          <cell r="C3968" t="str">
            <v>9812305박　원　종</v>
          </cell>
          <cell r="D3968" t="str">
            <v>GA50</v>
          </cell>
          <cell r="E3968" t="str">
            <v>민속촌사업</v>
          </cell>
          <cell r="F3968" t="str">
            <v>7316</v>
          </cell>
          <cell r="G3968" t="str">
            <v>7316</v>
          </cell>
          <cell r="H3968" t="str">
            <v>19960601</v>
          </cell>
          <cell r="I3968">
            <v>4519932</v>
          </cell>
        </row>
        <row r="3969">
          <cell r="A3969" t="str">
            <v>9860163</v>
          </cell>
          <cell r="B3969" t="str">
            <v>박　희　연</v>
          </cell>
          <cell r="C3969" t="str">
            <v>9860163박　희　연</v>
          </cell>
          <cell r="D3969" t="str">
            <v>GA50</v>
          </cell>
          <cell r="E3969" t="str">
            <v>민속촌사업</v>
          </cell>
          <cell r="F3969" t="str">
            <v>7316</v>
          </cell>
          <cell r="G3969" t="str">
            <v>7316</v>
          </cell>
          <cell r="H3969" t="str">
            <v>19970707</v>
          </cell>
          <cell r="I3969">
            <v>2621721</v>
          </cell>
        </row>
        <row r="3970">
          <cell r="A3970" t="str">
            <v>9812373</v>
          </cell>
          <cell r="B3970" t="str">
            <v>부　공　석</v>
          </cell>
          <cell r="C3970" t="str">
            <v>9812373부　공　석</v>
          </cell>
          <cell r="D3970" t="str">
            <v>GA50</v>
          </cell>
          <cell r="E3970" t="str">
            <v>민속촌사업</v>
          </cell>
          <cell r="F3970" t="str">
            <v>7316</v>
          </cell>
          <cell r="G3970" t="str">
            <v>7316</v>
          </cell>
          <cell r="H3970" t="str">
            <v>19970912</v>
          </cell>
          <cell r="I3970">
            <v>2812755</v>
          </cell>
        </row>
        <row r="3971">
          <cell r="A3971" t="str">
            <v>9860231</v>
          </cell>
          <cell r="B3971" t="str">
            <v>성　옥　순</v>
          </cell>
          <cell r="C3971" t="str">
            <v>9860231성　옥　순</v>
          </cell>
          <cell r="D3971" t="str">
            <v>GA50</v>
          </cell>
          <cell r="E3971" t="str">
            <v>민속촌사업</v>
          </cell>
          <cell r="F3971" t="str">
            <v>7316</v>
          </cell>
          <cell r="G3971" t="str">
            <v>7316</v>
          </cell>
          <cell r="H3971" t="str">
            <v>19971001</v>
          </cell>
          <cell r="I3971">
            <v>1497561</v>
          </cell>
        </row>
        <row r="3972">
          <cell r="A3972" t="str">
            <v>9812226</v>
          </cell>
          <cell r="B3972" t="str">
            <v>송　승　욱</v>
          </cell>
          <cell r="C3972" t="str">
            <v>9812226송　승　욱</v>
          </cell>
          <cell r="D3972" t="str">
            <v>GA50</v>
          </cell>
          <cell r="E3972" t="str">
            <v>민속촌사업</v>
          </cell>
          <cell r="F3972" t="str">
            <v>7316</v>
          </cell>
          <cell r="G3972" t="str">
            <v>7316</v>
          </cell>
          <cell r="H3972" t="str">
            <v>19970707</v>
          </cell>
          <cell r="I3972">
            <v>2808291</v>
          </cell>
        </row>
        <row r="3973">
          <cell r="A3973" t="str">
            <v>9812261</v>
          </cell>
          <cell r="B3973" t="str">
            <v>송　종　원</v>
          </cell>
          <cell r="C3973" t="str">
            <v>9812261송　종　원</v>
          </cell>
          <cell r="D3973" t="str">
            <v>GA50</v>
          </cell>
          <cell r="E3973" t="str">
            <v>민속촌사업</v>
          </cell>
          <cell r="F3973" t="str">
            <v>7316</v>
          </cell>
          <cell r="G3973" t="str">
            <v>7316</v>
          </cell>
          <cell r="H3973" t="str">
            <v>19960601</v>
          </cell>
          <cell r="I3973">
            <v>4543361</v>
          </cell>
        </row>
        <row r="3974">
          <cell r="A3974" t="str">
            <v>9812351</v>
          </cell>
          <cell r="B3974" t="str">
            <v>송　풍　삼</v>
          </cell>
          <cell r="C3974" t="str">
            <v>9812351송　풍　삼</v>
          </cell>
          <cell r="D3974" t="str">
            <v>GA50</v>
          </cell>
          <cell r="E3974" t="str">
            <v>민속촌사업</v>
          </cell>
          <cell r="F3974" t="str">
            <v>7316</v>
          </cell>
          <cell r="G3974" t="str">
            <v>7316</v>
          </cell>
          <cell r="H3974" t="str">
            <v>19980623</v>
          </cell>
          <cell r="I3974">
            <v>1157216</v>
          </cell>
        </row>
        <row r="3975">
          <cell r="A3975" t="str">
            <v>9812272</v>
          </cell>
          <cell r="B3975" t="str">
            <v>양　행　균</v>
          </cell>
          <cell r="C3975" t="str">
            <v>9812272양　행　균</v>
          </cell>
          <cell r="D3975" t="str">
            <v>GA50</v>
          </cell>
          <cell r="E3975" t="str">
            <v>민속촌사업</v>
          </cell>
          <cell r="F3975" t="str">
            <v>7316</v>
          </cell>
          <cell r="G3975" t="str">
            <v>7316</v>
          </cell>
          <cell r="H3975" t="str">
            <v>19960601</v>
          </cell>
          <cell r="I3975">
            <v>4037270</v>
          </cell>
        </row>
        <row r="3976">
          <cell r="A3976" t="str">
            <v>9860185</v>
          </cell>
          <cell r="B3976" t="str">
            <v>오　정　아</v>
          </cell>
          <cell r="C3976" t="str">
            <v>9860185오　정　아</v>
          </cell>
          <cell r="D3976" t="str">
            <v>GA50</v>
          </cell>
          <cell r="E3976" t="str">
            <v>민속촌사업</v>
          </cell>
          <cell r="F3976" t="str">
            <v>7316</v>
          </cell>
          <cell r="G3976" t="str">
            <v>7316</v>
          </cell>
          <cell r="H3976" t="str">
            <v>19960601</v>
          </cell>
          <cell r="I3976">
            <v>3643379</v>
          </cell>
        </row>
        <row r="3977">
          <cell r="A3977" t="str">
            <v>9814948</v>
          </cell>
          <cell r="B3977" t="str">
            <v>유　금　구</v>
          </cell>
          <cell r="C3977" t="str">
            <v>9814948유　금　구</v>
          </cell>
          <cell r="D3977" t="str">
            <v>GA50</v>
          </cell>
          <cell r="E3977" t="str">
            <v>민속촌사업</v>
          </cell>
          <cell r="F3977" t="str">
            <v>7316</v>
          </cell>
          <cell r="G3977" t="str">
            <v>7316</v>
          </cell>
          <cell r="H3977" t="str">
            <v>19990101</v>
          </cell>
          <cell r="I3977">
            <v>900000</v>
          </cell>
        </row>
        <row r="3978">
          <cell r="A3978" t="str">
            <v>9812250</v>
          </cell>
          <cell r="B3978" t="str">
            <v>유　재　의</v>
          </cell>
          <cell r="C3978" t="str">
            <v>9812250유　재　의</v>
          </cell>
          <cell r="D3978" t="str">
            <v>GA50</v>
          </cell>
          <cell r="E3978" t="str">
            <v>민속촌사업</v>
          </cell>
          <cell r="F3978" t="str">
            <v>7316</v>
          </cell>
          <cell r="G3978" t="str">
            <v>7316</v>
          </cell>
          <cell r="H3978" t="str">
            <v>19960901</v>
          </cell>
          <cell r="I3978">
            <v>4561185</v>
          </cell>
        </row>
        <row r="3979">
          <cell r="A3979" t="str">
            <v>9950084</v>
          </cell>
          <cell r="B3979" t="str">
            <v>이　행　자</v>
          </cell>
          <cell r="C3979" t="str">
            <v>9950084이　행　자</v>
          </cell>
          <cell r="D3979" t="str">
            <v>GA50</v>
          </cell>
          <cell r="E3979" t="str">
            <v>민속촌사업</v>
          </cell>
          <cell r="F3979" t="str">
            <v>7316</v>
          </cell>
          <cell r="G3979" t="str">
            <v>7316</v>
          </cell>
          <cell r="H3979" t="str">
            <v>19980416</v>
          </cell>
          <cell r="I3979">
            <v>1189827</v>
          </cell>
        </row>
        <row r="3980">
          <cell r="A3980" t="str">
            <v>9814937</v>
          </cell>
          <cell r="B3980" t="str">
            <v>정　호　은</v>
          </cell>
          <cell r="C3980" t="str">
            <v>9814937정　호　은</v>
          </cell>
          <cell r="D3980" t="str">
            <v>GA50</v>
          </cell>
          <cell r="E3980" t="str">
            <v>민속촌사업</v>
          </cell>
          <cell r="F3980" t="str">
            <v>7316</v>
          </cell>
          <cell r="G3980" t="str">
            <v>7316</v>
          </cell>
          <cell r="H3980" t="str">
            <v>19990101</v>
          </cell>
          <cell r="I3980">
            <v>803571</v>
          </cell>
        </row>
        <row r="3981">
          <cell r="A3981" t="str">
            <v>9812362</v>
          </cell>
          <cell r="B3981" t="str">
            <v>조　길　화</v>
          </cell>
          <cell r="C3981" t="str">
            <v>9812362조　길　화</v>
          </cell>
          <cell r="D3981" t="str">
            <v>GA50</v>
          </cell>
          <cell r="E3981" t="str">
            <v>민속촌사업</v>
          </cell>
          <cell r="F3981" t="str">
            <v>7316</v>
          </cell>
          <cell r="G3981" t="str">
            <v>7316</v>
          </cell>
          <cell r="H3981" t="str">
            <v>19980623</v>
          </cell>
          <cell r="I3981">
            <v>1157216</v>
          </cell>
        </row>
        <row r="3982">
          <cell r="A3982" t="str">
            <v>9812182</v>
          </cell>
          <cell r="B3982" t="str">
            <v>조　성　두</v>
          </cell>
          <cell r="C3982" t="str">
            <v>9812182조　성　두</v>
          </cell>
          <cell r="D3982" t="str">
            <v>GA50</v>
          </cell>
          <cell r="E3982" t="str">
            <v>민속촌사업</v>
          </cell>
          <cell r="F3982" t="str">
            <v>7316</v>
          </cell>
          <cell r="G3982" t="str">
            <v>7316</v>
          </cell>
          <cell r="H3982" t="str">
            <v>19830201</v>
          </cell>
          <cell r="I3982">
            <v>41699703</v>
          </cell>
        </row>
        <row r="3983">
          <cell r="A3983" t="str">
            <v>9812215</v>
          </cell>
          <cell r="B3983" t="str">
            <v>현　성　암</v>
          </cell>
          <cell r="C3983" t="str">
            <v>9812215현　성　암</v>
          </cell>
          <cell r="D3983" t="str">
            <v>GA50</v>
          </cell>
          <cell r="E3983" t="str">
            <v>민속촌사업</v>
          </cell>
          <cell r="F3983" t="str">
            <v>7316</v>
          </cell>
          <cell r="G3983" t="str">
            <v>7316</v>
          </cell>
          <cell r="H3983" t="str">
            <v>19960601</v>
          </cell>
          <cell r="I3983">
            <v>4724351</v>
          </cell>
        </row>
        <row r="3984">
          <cell r="A3984" t="str">
            <v>9812215</v>
          </cell>
          <cell r="B3984" t="str">
            <v>홍　성　호</v>
          </cell>
          <cell r="C3984" t="str">
            <v>9812215홍　성　호</v>
          </cell>
          <cell r="D3984" t="str">
            <v>GA50</v>
          </cell>
          <cell r="E3984" t="str">
            <v>민속촌사업</v>
          </cell>
          <cell r="F3984" t="str">
            <v>7316</v>
          </cell>
          <cell r="G3984" t="str">
            <v>7316</v>
          </cell>
          <cell r="H3984" t="str">
            <v>19960601</v>
          </cell>
          <cell r="J3984" t="str">
            <v>8 월</v>
          </cell>
          <cell r="K3984">
            <v>1540262</v>
          </cell>
        </row>
        <row r="3985">
          <cell r="B3985" t="str">
            <v>호텔사업</v>
          </cell>
          <cell r="C3985" t="str">
            <v>호텔사업</v>
          </cell>
          <cell r="D3985" t="str">
            <v>호텔사업</v>
          </cell>
          <cell r="E3985" t="str">
            <v>호텔사업담당</v>
          </cell>
          <cell r="F3985" t="str">
            <v>7317</v>
          </cell>
          <cell r="G3985" t="e">
            <v>#N/A</v>
          </cell>
          <cell r="J3985" t="str">
            <v>1 월</v>
          </cell>
          <cell r="K3985">
            <v>21970380</v>
          </cell>
        </row>
        <row r="3986">
          <cell r="B3986" t="str">
            <v>호텔사업</v>
          </cell>
          <cell r="C3986" t="str">
            <v>호텔사업</v>
          </cell>
          <cell r="D3986" t="str">
            <v>호텔사업</v>
          </cell>
          <cell r="E3986" t="str">
            <v>호텔사업담당</v>
          </cell>
          <cell r="F3986" t="str">
            <v>7317</v>
          </cell>
          <cell r="G3986" t="e">
            <v>#N/A</v>
          </cell>
          <cell r="J3986" t="str">
            <v>10 월</v>
          </cell>
          <cell r="K3986">
            <v>12240080</v>
          </cell>
        </row>
        <row r="3987">
          <cell r="B3987" t="str">
            <v>호텔사업</v>
          </cell>
          <cell r="C3987" t="str">
            <v>호텔사업</v>
          </cell>
          <cell r="D3987" t="str">
            <v>호텔사업</v>
          </cell>
          <cell r="E3987" t="str">
            <v>호텔사업담당</v>
          </cell>
          <cell r="F3987" t="str">
            <v>7317</v>
          </cell>
          <cell r="G3987" t="e">
            <v>#N/A</v>
          </cell>
          <cell r="J3987" t="str">
            <v>10 월</v>
          </cell>
          <cell r="K3987">
            <v>12733440</v>
          </cell>
        </row>
        <row r="3988">
          <cell r="B3988" t="str">
            <v>호텔사업</v>
          </cell>
          <cell r="C3988" t="str">
            <v>호텔사업</v>
          </cell>
          <cell r="D3988" t="str">
            <v>호텔사업</v>
          </cell>
          <cell r="E3988" t="str">
            <v>호텔사업담당</v>
          </cell>
          <cell r="F3988" t="str">
            <v>7317</v>
          </cell>
          <cell r="G3988" t="e">
            <v>#N/A</v>
          </cell>
          <cell r="J3988" t="str">
            <v>10 월</v>
          </cell>
          <cell r="K3988">
            <v>3204220</v>
          </cell>
        </row>
        <row r="3989">
          <cell r="B3989" t="str">
            <v>호텔사업</v>
          </cell>
          <cell r="C3989" t="str">
            <v>호텔사업</v>
          </cell>
          <cell r="D3989" t="str">
            <v>호텔사업</v>
          </cell>
          <cell r="E3989" t="str">
            <v>호텔사업담당</v>
          </cell>
          <cell r="F3989" t="str">
            <v>7317</v>
          </cell>
          <cell r="G3989" t="e">
            <v>#N/A</v>
          </cell>
          <cell r="J3989" t="str">
            <v>11 월</v>
          </cell>
          <cell r="K3989">
            <v>51067780</v>
          </cell>
        </row>
        <row r="3990">
          <cell r="B3990" t="str">
            <v>호텔사업</v>
          </cell>
          <cell r="C3990" t="str">
            <v>호텔사업</v>
          </cell>
          <cell r="D3990" t="str">
            <v>호텔사업</v>
          </cell>
          <cell r="E3990" t="str">
            <v>호텔사업담당</v>
          </cell>
          <cell r="F3990" t="str">
            <v>7317</v>
          </cell>
          <cell r="G3990" t="e">
            <v>#N/A</v>
          </cell>
          <cell r="J3990" t="str">
            <v>12 월</v>
          </cell>
          <cell r="K3990">
            <v>52829679</v>
          </cell>
        </row>
        <row r="3991">
          <cell r="B3991" t="str">
            <v>호텔사업</v>
          </cell>
          <cell r="C3991" t="str">
            <v>호텔사업</v>
          </cell>
          <cell r="D3991" t="str">
            <v>호텔사업</v>
          </cell>
          <cell r="E3991" t="str">
            <v>호텔사업담당</v>
          </cell>
          <cell r="F3991" t="str">
            <v>7317</v>
          </cell>
          <cell r="G3991" t="e">
            <v>#N/A</v>
          </cell>
          <cell r="J3991" t="str">
            <v>2 월</v>
          </cell>
          <cell r="K3991">
            <v>40151630</v>
          </cell>
        </row>
        <row r="3992">
          <cell r="B3992" t="str">
            <v>호텔사업</v>
          </cell>
          <cell r="C3992" t="str">
            <v>호텔사업</v>
          </cell>
          <cell r="D3992" t="str">
            <v>호텔사업</v>
          </cell>
          <cell r="E3992" t="str">
            <v>호텔사업담당</v>
          </cell>
          <cell r="F3992" t="str">
            <v>7317</v>
          </cell>
          <cell r="G3992" t="e">
            <v>#N/A</v>
          </cell>
          <cell r="J3992" t="str">
            <v>3 월</v>
          </cell>
          <cell r="K3992">
            <v>10362660</v>
          </cell>
        </row>
        <row r="3993">
          <cell r="B3993" t="str">
            <v>호텔사업</v>
          </cell>
          <cell r="C3993" t="str">
            <v>호텔사업</v>
          </cell>
          <cell r="D3993" t="str">
            <v>호텔사업</v>
          </cell>
          <cell r="E3993" t="str">
            <v>호텔사업담당</v>
          </cell>
          <cell r="F3993" t="str">
            <v>7317</v>
          </cell>
          <cell r="G3993" t="e">
            <v>#N/A</v>
          </cell>
          <cell r="J3993" t="str">
            <v>4 월</v>
          </cell>
          <cell r="K3993">
            <v>24733470</v>
          </cell>
        </row>
        <row r="3994">
          <cell r="B3994" t="str">
            <v>호텔사업</v>
          </cell>
          <cell r="C3994" t="str">
            <v>호텔사업</v>
          </cell>
          <cell r="D3994" t="str">
            <v>호텔사업</v>
          </cell>
          <cell r="E3994" t="str">
            <v>호텔사업담당</v>
          </cell>
          <cell r="F3994" t="str">
            <v>7317</v>
          </cell>
          <cell r="G3994" t="e">
            <v>#N/A</v>
          </cell>
          <cell r="J3994" t="str">
            <v>5 월</v>
          </cell>
          <cell r="K3994">
            <v>4690450</v>
          </cell>
        </row>
        <row r="3995">
          <cell r="B3995" t="str">
            <v>호텔사업</v>
          </cell>
          <cell r="C3995" t="str">
            <v>호텔사업</v>
          </cell>
          <cell r="D3995" t="str">
            <v>호텔사업</v>
          </cell>
          <cell r="E3995" t="str">
            <v>호텔사업담당</v>
          </cell>
          <cell r="F3995" t="str">
            <v>7317</v>
          </cell>
          <cell r="G3995" t="e">
            <v>#N/A</v>
          </cell>
          <cell r="J3995" t="str">
            <v>5 월</v>
          </cell>
          <cell r="K3995">
            <v>4150540</v>
          </cell>
        </row>
        <row r="3996">
          <cell r="B3996" t="str">
            <v>호텔사업</v>
          </cell>
          <cell r="C3996" t="str">
            <v>호텔사업</v>
          </cell>
          <cell r="D3996" t="str">
            <v>호텔사업</v>
          </cell>
          <cell r="E3996" t="str">
            <v>호텔사업담당</v>
          </cell>
          <cell r="F3996" t="str">
            <v>7317</v>
          </cell>
          <cell r="G3996" t="e">
            <v>#N/A</v>
          </cell>
          <cell r="J3996" t="str">
            <v>5 월</v>
          </cell>
          <cell r="K3996">
            <v>3229350</v>
          </cell>
        </row>
        <row r="3997">
          <cell r="B3997" t="str">
            <v>호텔사업</v>
          </cell>
          <cell r="C3997" t="str">
            <v>호텔사업</v>
          </cell>
          <cell r="D3997" t="str">
            <v>호텔사업</v>
          </cell>
          <cell r="E3997" t="str">
            <v>호텔사업담당</v>
          </cell>
          <cell r="F3997" t="str">
            <v>7317</v>
          </cell>
          <cell r="G3997" t="e">
            <v>#N/A</v>
          </cell>
          <cell r="J3997" t="str">
            <v>5 월</v>
          </cell>
          <cell r="K3997">
            <v>3220650</v>
          </cell>
        </row>
        <row r="3998">
          <cell r="B3998" t="str">
            <v>호텔사업</v>
          </cell>
          <cell r="C3998" t="str">
            <v>호텔사업</v>
          </cell>
          <cell r="D3998" t="str">
            <v>호텔사업</v>
          </cell>
          <cell r="E3998" t="str">
            <v>호텔사업담당</v>
          </cell>
          <cell r="F3998" t="str">
            <v>7317</v>
          </cell>
          <cell r="G3998" t="e">
            <v>#N/A</v>
          </cell>
          <cell r="J3998" t="str">
            <v>6 월</v>
          </cell>
          <cell r="K3998">
            <v>4139040</v>
          </cell>
        </row>
        <row r="3999">
          <cell r="B3999" t="str">
            <v>호텔사업</v>
          </cell>
          <cell r="C3999" t="str">
            <v>호텔사업</v>
          </cell>
          <cell r="D3999" t="str">
            <v>호텔사업</v>
          </cell>
          <cell r="E3999" t="str">
            <v>호텔사업담당</v>
          </cell>
          <cell r="F3999" t="str">
            <v>7317</v>
          </cell>
          <cell r="G3999" t="e">
            <v>#N/A</v>
          </cell>
          <cell r="J3999" t="str">
            <v>6 월</v>
          </cell>
          <cell r="K3999">
            <v>3259000</v>
          </cell>
        </row>
        <row r="4000">
          <cell r="B4000" t="str">
            <v>호텔사업</v>
          </cell>
          <cell r="C4000" t="str">
            <v>호텔사업</v>
          </cell>
          <cell r="D4000" t="str">
            <v>호텔사업</v>
          </cell>
          <cell r="E4000" t="str">
            <v>호텔사업담당</v>
          </cell>
          <cell r="F4000" t="str">
            <v>7317</v>
          </cell>
          <cell r="G4000" t="e">
            <v>#N/A</v>
          </cell>
          <cell r="J4000" t="str">
            <v>7 월</v>
          </cell>
          <cell r="K4000">
            <v>4725100</v>
          </cell>
        </row>
        <row r="4001">
          <cell r="B4001" t="str">
            <v>호텔사업</v>
          </cell>
          <cell r="C4001" t="str">
            <v>호텔사업</v>
          </cell>
          <cell r="D4001" t="str">
            <v>호텔사업</v>
          </cell>
          <cell r="E4001" t="str">
            <v>호텔사업담당</v>
          </cell>
          <cell r="F4001" t="str">
            <v>7317</v>
          </cell>
          <cell r="G4001" t="e">
            <v>#N/A</v>
          </cell>
          <cell r="J4001" t="str">
            <v>8 월</v>
          </cell>
          <cell r="K4001">
            <v>1347830</v>
          </cell>
        </row>
        <row r="4002">
          <cell r="B4002" t="str">
            <v>호텔사업</v>
          </cell>
          <cell r="C4002" t="str">
            <v>호텔사업</v>
          </cell>
          <cell r="D4002" t="str">
            <v>호텔사업</v>
          </cell>
          <cell r="E4002" t="str">
            <v>호텔사업담당</v>
          </cell>
          <cell r="F4002" t="str">
            <v>7317</v>
          </cell>
          <cell r="G4002" t="e">
            <v>#N/A</v>
          </cell>
          <cell r="J4002" t="str">
            <v>8 월</v>
          </cell>
          <cell r="K4002">
            <v>1416660</v>
          </cell>
        </row>
        <row r="4003">
          <cell r="B4003" t="str">
            <v>호텔사업</v>
          </cell>
          <cell r="C4003" t="str">
            <v>호텔사업</v>
          </cell>
          <cell r="D4003" t="str">
            <v>호텔사업</v>
          </cell>
          <cell r="E4003" t="str">
            <v>호텔사업담당</v>
          </cell>
          <cell r="F4003" t="str">
            <v>7317</v>
          </cell>
          <cell r="G4003" t="e">
            <v>#N/A</v>
          </cell>
          <cell r="J4003" t="str">
            <v>9 월</v>
          </cell>
          <cell r="K4003">
            <v>1438920</v>
          </cell>
        </row>
        <row r="4004">
          <cell r="B4004" t="str">
            <v>호텔사업</v>
          </cell>
          <cell r="C4004" t="str">
            <v>호텔사업</v>
          </cell>
          <cell r="D4004" t="str">
            <v>호텔사업</v>
          </cell>
          <cell r="E4004" t="str">
            <v>호텔사업담당</v>
          </cell>
          <cell r="F4004" t="str">
            <v>7317</v>
          </cell>
          <cell r="G4004" t="e">
            <v>#N/A</v>
          </cell>
          <cell r="I4004">
            <v>1330874581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거래처_차트_영업외비용"/>
      <sheetName val="유형_챠트_영업외비용"/>
      <sheetName val="유형_영업외비용"/>
      <sheetName val="거래처_영업외비용"/>
      <sheetName val=" "/>
      <sheetName val="분석-영업외비용"/>
      <sheetName val="5월경비_영업외비용"/>
      <sheetName val="월별경비_영업외비용"/>
      <sheetName val="1월"/>
      <sheetName val="2월"/>
      <sheetName val="3월"/>
      <sheetName val="4월"/>
      <sheetName val="5월"/>
      <sheetName val="5월원가분석(영업외비용제외)"/>
      <sheetName val="99퇴직"/>
      <sheetName val="연질통계"/>
      <sheetName val="_"/>
      <sheetName val="_1"/>
      <sheetName val="누계실적6"/>
      <sheetName val="기획1"/>
      <sheetName val="원재료이름표"/>
      <sheetName val="AN43"/>
      <sheetName val="재료비"/>
      <sheetName val="국민"/>
      <sheetName val="2010 응찰가(국민)"/>
      <sheetName val="_2"/>
      <sheetName val="2010_응찰가(국민)"/>
      <sheetName val="_3"/>
      <sheetName val="2010_응찰가(국민)1"/>
      <sheetName val="받check"/>
      <sheetName val="_4"/>
      <sheetName val="2010_응찰가(국민)2"/>
      <sheetName val="기초코드"/>
      <sheetName val="검산금액"/>
      <sheetName val="감가상각"/>
      <sheetName val="FBP"/>
      <sheetName val="LAJ. SUNDRY"/>
      <sheetName val="부문별원가"/>
      <sheetName val="금융소득종합과세"/>
      <sheetName val="근로소득세2001"/>
      <sheetName val="채권"/>
      <sheetName val="손익계산서 raw data"/>
      <sheetName val="손익내역전년"/>
      <sheetName val="XREF"/>
      <sheetName val="업무분장 "/>
      <sheetName val="회수내역"/>
      <sheetName val="수입"/>
      <sheetName val="배서어음명세서"/>
      <sheetName val="building"/>
      <sheetName val="Sheet1"/>
      <sheetName val="선수보증금"/>
      <sheetName val="Sheet5"/>
      <sheetName val="연체일수"/>
      <sheetName val="잔가합계"/>
      <sheetName val="기초해지2"/>
      <sheetName val="Sheet6"/>
      <sheetName val="중도해지진행업체"/>
      <sheetName val="WI"/>
      <sheetName val="세액계산"/>
      <sheetName val="회사정보"/>
      <sheetName val="코드"/>
      <sheetName val="#REF!"/>
      <sheetName val="신제품지원"/>
      <sheetName val="사장보고"/>
      <sheetName val="수정시산표"/>
      <sheetName val="maccp04"/>
      <sheetName val="경비"/>
      <sheetName val="CAUDIT"/>
      <sheetName val="2001Org"/>
      <sheetName val="수정분개"/>
      <sheetName val="3-4현"/>
      <sheetName val="3-3현"/>
      <sheetName val="운용미수"/>
      <sheetName val="Intro2"/>
      <sheetName val="97년추정손익계산서"/>
      <sheetName val="INFG1198"/>
      <sheetName val="INMD1198"/>
      <sheetName val="总逐年报表"/>
      <sheetName val="창원외상매출금(원)"/>
      <sheetName val="Links"/>
      <sheetName val="5131"/>
      <sheetName val="BS"/>
      <sheetName val="DB"/>
      <sheetName val="36기상반기자금실적"/>
      <sheetName val="2002"/>
      <sheetName val="10月20日估值"/>
      <sheetName val="붙임2-1  지급조서명세서(2001년분)"/>
      <sheetName val="A1"/>
      <sheetName val="Indoor Disposer"/>
      <sheetName val="Q2"/>
      <sheetName val="대차합동"/>
      <sheetName val="기초해지"/>
      <sheetName val="대차대조표"/>
      <sheetName val="HSA"/>
      <sheetName val="마감장"/>
      <sheetName val="사업소득자세수추계"/>
      <sheetName val="작업불가"/>
      <sheetName val="controll"/>
      <sheetName val="비교손익계산서"/>
      <sheetName val="실행철강하도"/>
      <sheetName val="시뮬레이션정보"/>
      <sheetName val="Final-本部-短期借款"/>
      <sheetName val="뒤차축소"/>
      <sheetName val="FA"/>
      <sheetName val="payroll-final"/>
      <sheetName val="CIP-final"/>
      <sheetName val="Cash&amp;Bank Group Reporting"/>
      <sheetName val="Permanent info"/>
      <sheetName val="Sheet3"/>
      <sheetName val="대구파크쿨링타워"/>
      <sheetName val="B"/>
      <sheetName val="A6620 Detail"/>
      <sheetName val="lookups"/>
      <sheetName val="Bank Table"/>
      <sheetName val="Expenses"/>
      <sheetName val="Stock Chart"/>
      <sheetName val="프랜트면허"/>
      <sheetName val="토목주소"/>
      <sheetName val="HB"/>
      <sheetName val="OP-YZ"/>
      <sheetName val="im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8">
          <cell r="F18">
            <v>54928.592503720742</v>
          </cell>
        </row>
        <row r="19">
          <cell r="F19">
            <v>38144.855905361634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/>
      <sheetData sheetId="26"/>
      <sheetData sheetId="27"/>
      <sheetData sheetId="28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ITC관련 매출대금 요약"/>
      <sheetName val="개요"/>
      <sheetName val="대여금"/>
      <sheetName val="5131"/>
      <sheetName val="5132"/>
      <sheetName val="5133"/>
      <sheetName val="5134"/>
      <sheetName val="5135"/>
      <sheetName val="5145"/>
      <sheetName val="5146"/>
      <sheetName val="5147"/>
      <sheetName val="5148"/>
      <sheetName val="5149"/>
      <sheetName val="XREF"/>
      <sheetName val="Tickmarks"/>
      <sheetName val="Sheet2"/>
      <sheetName val="젤리통계"/>
      <sheetName val="총제품수불"/>
      <sheetName val="진술서"/>
      <sheetName val="진천"/>
      <sheetName val="200"/>
      <sheetName val="FAB4생산"/>
      <sheetName val="당기추가완료"/>
      <sheetName val="참고(3)고정비"/>
      <sheetName val="계정code"/>
      <sheetName val="본부별매출"/>
      <sheetName val="마감장"/>
      <sheetName val="투자자산명세서"/>
      <sheetName val="상품수불(합산)"/>
      <sheetName val="24.보증금(전신전화가입권)"/>
      <sheetName val="설계내역서"/>
      <sheetName val="5517 S 장기대여금, 장기성매출채권 (NITC 513"/>
      <sheetName val="97년"/>
      <sheetName val="종합판"/>
      <sheetName val="Sheet1"/>
      <sheetName val="항목"/>
      <sheetName val="매출원가"/>
      <sheetName val="(백만원)"/>
      <sheetName val="2003퇴직금추계backdata"/>
      <sheetName val="적격심사표"/>
      <sheetName val="#REF"/>
      <sheetName val="DATA2"/>
      <sheetName val="누계실적6"/>
      <sheetName val="값목록(Do not touch)"/>
      <sheetName val="비교손익계산서"/>
      <sheetName val="창업비(B.H.C)"/>
      <sheetName val="차입금현황(2)"/>
      <sheetName val="재공품(3)"/>
      <sheetName val="표준원가표(2)"/>
      <sheetName val="지점비용"/>
      <sheetName val="Intro2"/>
      <sheetName val="97년추정손익계산서"/>
      <sheetName val="신기술(비상장)0412"/>
      <sheetName val="리드"/>
      <sheetName val="후순위채05.01.20"/>
      <sheetName val="Q2"/>
      <sheetName val="무형"/>
      <sheetName val="이자정산계획"/>
      <sheetName val="BS"/>
      <sheetName val="Sheet3"/>
      <sheetName val="사업소득자세수추계"/>
      <sheetName val="A1"/>
      <sheetName val="세액계산"/>
      <sheetName val="대구파크쿨링타워"/>
      <sheetName val="재공품"/>
      <sheetName val="JT3.0견적-구1"/>
      <sheetName val="CA"/>
      <sheetName val="급여"/>
      <sheetName val="991231"/>
      <sheetName val="EX_외상_06_"/>
      <sheetName val="FRDS9805"/>
      <sheetName val="KA021901"/>
      <sheetName val="수익성 분석"/>
      <sheetName val="협조전"/>
      <sheetName val="퇴충98"/>
      <sheetName val="현장"/>
      <sheetName val="부서별"/>
      <sheetName val="Intro"/>
      <sheetName val="Int-Invst"/>
      <sheetName val="Disclosure"/>
      <sheetName val="세무서코드"/>
      <sheetName val="대차대조표"/>
      <sheetName val="Summary"/>
      <sheetName val="4월"/>
      <sheetName val="LeadSchedule"/>
      <sheetName val="Factor"/>
      <sheetName val="상환익(2001년도)"/>
      <sheetName val="유가증권현황"/>
      <sheetName val="통합건전성별분류(0201)"/>
      <sheetName val="통합지보건전성(0201)"/>
      <sheetName val="외화평가"/>
      <sheetName val="수정시산표"/>
      <sheetName val="계획"/>
      <sheetName val="토목주소"/>
      <sheetName val="프랜트면허"/>
      <sheetName val="98실적"/>
      <sheetName val="Index"/>
      <sheetName val="Finmod"/>
      <sheetName val="이자율"/>
      <sheetName val="산자사 운전용품"/>
      <sheetName val="생산직"/>
      <sheetName val="재료비"/>
      <sheetName val="경비"/>
      <sheetName val="경영비율 "/>
      <sheetName val="서울판관-공통부문"/>
      <sheetName val="36기상반기자금실적"/>
      <sheetName val="1.외주공사"/>
      <sheetName val="2.직영공사"/>
      <sheetName val="Stock Price"/>
      <sheetName val="Krw"/>
      <sheetName val="금융소득종합과세"/>
      <sheetName val="근로소득세2001"/>
      <sheetName val="A"/>
      <sheetName val="B"/>
      <sheetName val="fedcapct2006"/>
      <sheetName val="Hidden Lists"/>
      <sheetName val="Asset98-CAK"/>
      <sheetName val="Sales_Prefinal"/>
      <sheetName val="AP_Prefinal"/>
      <sheetName val="payroll-fin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부서코드"/>
      <sheetName val="사원명부"/>
      <sheetName val="퇴충97"/>
      <sheetName val="퇴충98"/>
      <sheetName val="Sheet3"/>
      <sheetName val="98실적"/>
      <sheetName val="퇴직자"/>
      <sheetName val="임시"/>
      <sheetName val="임원"/>
      <sheetName val="요약표"/>
      <sheetName val="퇴충전입액"/>
      <sheetName val="마감장"/>
      <sheetName val="집계표"/>
      <sheetName val="XREF"/>
      <sheetName val="상여 (2)"/>
      <sheetName val="대구파크쿨링타워"/>
      <sheetName val="Sheet2"/>
      <sheetName val="기획1"/>
      <sheetName val="사업소득자세수추계"/>
      <sheetName val="출입자명단"/>
      <sheetName val="BS"/>
      <sheetName val="Macro1"/>
      <sheetName val="기초해지2"/>
      <sheetName val="기초해지"/>
      <sheetName val="basic_info"/>
      <sheetName val="값목록(Do not touch)"/>
      <sheetName val="#REF!"/>
      <sheetName val="작업불가"/>
      <sheetName val="3-4현"/>
      <sheetName val="3-3현"/>
      <sheetName val="수정시산표"/>
      <sheetName val="회사정보"/>
      <sheetName val="창원외상매출금(원)"/>
      <sheetName val="building"/>
      <sheetName val="25.보증금(임차보증금외)"/>
      <sheetName val="여비"/>
      <sheetName val="22.투자유가증권 "/>
      <sheetName val="재공품"/>
      <sheetName val="35~37기추정손익계산서"/>
      <sheetName val="붙임2-1  지급조서명세서(2001년분)"/>
      <sheetName val="금융리스"/>
      <sheetName val="타과목"/>
      <sheetName val="DATA-2003"/>
      <sheetName val="CIP-final"/>
      <sheetName val="PPE-Pre"/>
      <sheetName val="0-Basics"/>
      <sheetName val="ControlPanel"/>
      <sheetName val="P&amp;L"/>
      <sheetName val="Simpanan"/>
      <sheetName val="Prepaid expense Final-IDSL1"/>
      <sheetName val="Revised PEGS98"/>
      <sheetName val="Sheet1"/>
      <sheetName val="검산금액"/>
      <sheetName val="선수보증금"/>
      <sheetName val="Sheet5"/>
      <sheetName val="연체일수"/>
      <sheetName val="잔가합계"/>
      <sheetName val="Sheet6"/>
      <sheetName val="중도해지진행업체"/>
      <sheetName val="부서별"/>
      <sheetName val="반품"/>
      <sheetName val="정상"/>
      <sheetName val="폐기-090831"/>
      <sheetName val="대손검토"/>
      <sheetName val="시뮬레이션정보"/>
      <sheetName val="索引"/>
      <sheetName val="실행철강하도"/>
      <sheetName val="Payroll Walkthrough - 4"/>
      <sheetName val="FA"/>
      <sheetName val="PopCache"/>
      <sheetName val="RK-#1"/>
      <sheetName val="배서어음명세서"/>
      <sheetName val="자재,노무CODE"/>
      <sheetName val="뒤차축소"/>
      <sheetName val="보증금"/>
      <sheetName val="별표 "/>
      <sheetName val="이자율"/>
      <sheetName val="#REF"/>
      <sheetName val="금융소득종합과세"/>
      <sheetName val="근로소득세2001"/>
      <sheetName val="인사자료총집계"/>
      <sheetName val="5월경비_영업외비용"/>
      <sheetName val="경영비율 "/>
      <sheetName val="Intro2"/>
      <sheetName val="97년추정손익계산서"/>
      <sheetName val="비교손익계산서"/>
      <sheetName val="CAUDIT"/>
      <sheetName val="신제품지원"/>
      <sheetName val="Cover"/>
      <sheetName val="PBR"/>
      <sheetName val="PB"/>
      <sheetName val="RP-BAL"/>
      <sheetName val="USD-BAL"/>
      <sheetName val="LAJ. SUNDRY"/>
      <sheetName val="LAJ_ SUNDRY"/>
      <sheetName val="laporan"/>
      <sheetName val="13 Target"/>
      <sheetName val="COA"/>
      <sheetName val="ee&amp;offsort"/>
      <sheetName val="New Cancelled Breakout"/>
      <sheetName val="OfficerList"/>
      <sheetName val="VestTemp&amp;Typeclean"/>
      <sheetName val="FX"/>
      <sheetName val="SLa"/>
      <sheetName val="118.세금과공과"/>
    </sheetNames>
    <sheetDataSet>
      <sheetData sheetId="0"/>
      <sheetData sheetId="1"/>
      <sheetData sheetId="2"/>
      <sheetData sheetId="3">
        <row r="2">
          <cell r="A2">
            <v>7501</v>
          </cell>
          <cell r="B2">
            <v>0</v>
          </cell>
          <cell r="C2">
            <v>1273000</v>
          </cell>
          <cell r="D2">
            <v>857333</v>
          </cell>
          <cell r="E2">
            <v>51305519</v>
          </cell>
          <cell r="F2">
            <v>15388672</v>
          </cell>
          <cell r="G2">
            <v>10288000</v>
          </cell>
        </row>
        <row r="3">
          <cell r="A3">
            <v>7504</v>
          </cell>
          <cell r="B3">
            <v>0</v>
          </cell>
          <cell r="C3">
            <v>2322000</v>
          </cell>
          <cell r="D3">
            <v>1507333</v>
          </cell>
          <cell r="E3">
            <v>91584880</v>
          </cell>
          <cell r="F3">
            <v>27864000</v>
          </cell>
          <cell r="G3">
            <v>18088000</v>
          </cell>
        </row>
        <row r="4">
          <cell r="A4">
            <v>7509</v>
          </cell>
          <cell r="B4">
            <v>0</v>
          </cell>
          <cell r="C4">
            <v>2046000</v>
          </cell>
          <cell r="D4">
            <v>1357333</v>
          </cell>
          <cell r="E4">
            <v>80545547</v>
          </cell>
          <cell r="F4">
            <v>24552000</v>
          </cell>
          <cell r="G4">
            <v>16288000</v>
          </cell>
        </row>
        <row r="5">
          <cell r="A5">
            <v>7512</v>
          </cell>
          <cell r="B5">
            <v>0</v>
          </cell>
          <cell r="C5">
            <v>1437000</v>
          </cell>
          <cell r="D5">
            <v>981500</v>
          </cell>
          <cell r="E5">
            <v>57036291</v>
          </cell>
          <cell r="F5">
            <v>17304000</v>
          </cell>
          <cell r="G5">
            <v>11778000</v>
          </cell>
        </row>
        <row r="6">
          <cell r="A6">
            <v>7516</v>
          </cell>
          <cell r="B6">
            <v>0</v>
          </cell>
          <cell r="C6">
            <v>1426000</v>
          </cell>
          <cell r="D6">
            <v>965333</v>
          </cell>
          <cell r="E6">
            <v>55997047</v>
          </cell>
          <cell r="F6">
            <v>17124000</v>
          </cell>
          <cell r="G6">
            <v>11584000</v>
          </cell>
        </row>
        <row r="7">
          <cell r="A7">
            <v>7603</v>
          </cell>
          <cell r="B7">
            <v>0</v>
          </cell>
          <cell r="C7">
            <v>1430000</v>
          </cell>
          <cell r="D7">
            <v>958416</v>
          </cell>
          <cell r="E7">
            <v>53938394</v>
          </cell>
          <cell r="F7">
            <v>16856000</v>
          </cell>
          <cell r="G7">
            <v>11501000</v>
          </cell>
        </row>
        <row r="8">
          <cell r="A8">
            <v>7606</v>
          </cell>
          <cell r="B8">
            <v>0</v>
          </cell>
          <cell r="C8">
            <v>1430000</v>
          </cell>
          <cell r="D8">
            <v>958416</v>
          </cell>
          <cell r="E8">
            <v>54137429</v>
          </cell>
          <cell r="F8">
            <v>16856000</v>
          </cell>
          <cell r="G8">
            <v>11501000</v>
          </cell>
        </row>
        <row r="9">
          <cell r="A9">
            <v>7609</v>
          </cell>
          <cell r="B9">
            <v>0</v>
          </cell>
          <cell r="C9">
            <v>1442000</v>
          </cell>
          <cell r="D9">
            <v>982666</v>
          </cell>
          <cell r="E9">
            <v>54352929</v>
          </cell>
          <cell r="F9">
            <v>17304000</v>
          </cell>
          <cell r="G9">
            <v>11792000</v>
          </cell>
        </row>
        <row r="10">
          <cell r="A10">
            <v>7805</v>
          </cell>
          <cell r="B10">
            <v>1346840</v>
          </cell>
          <cell r="C10">
            <v>1479637</v>
          </cell>
          <cell r="D10">
            <v>897689</v>
          </cell>
          <cell r="E10">
            <v>49329514</v>
          </cell>
          <cell r="F10">
            <v>17271667</v>
          </cell>
          <cell r="G10">
            <v>9425431</v>
          </cell>
        </row>
        <row r="11">
          <cell r="A11">
            <v>7807</v>
          </cell>
          <cell r="B11">
            <v>0</v>
          </cell>
          <cell r="C11">
            <v>1281000</v>
          </cell>
          <cell r="D11">
            <v>871166</v>
          </cell>
          <cell r="E11">
            <v>44119403</v>
          </cell>
          <cell r="F11">
            <v>15393079</v>
          </cell>
          <cell r="G11">
            <v>10454000</v>
          </cell>
        </row>
        <row r="12">
          <cell r="A12">
            <v>7808</v>
          </cell>
          <cell r="B12">
            <v>917310</v>
          </cell>
          <cell r="C12">
            <v>1608646</v>
          </cell>
          <cell r="D12">
            <v>921225</v>
          </cell>
          <cell r="E12">
            <v>51862355</v>
          </cell>
          <cell r="F12">
            <v>17123408</v>
          </cell>
          <cell r="G12">
            <v>10137392</v>
          </cell>
        </row>
        <row r="13">
          <cell r="A13">
            <v>7903</v>
          </cell>
          <cell r="B13">
            <v>0</v>
          </cell>
          <cell r="C13">
            <v>2248000</v>
          </cell>
          <cell r="D13">
            <v>1408083</v>
          </cell>
          <cell r="E13">
            <v>71598292</v>
          </cell>
          <cell r="F13">
            <v>25576000</v>
          </cell>
          <cell r="G13">
            <v>16897000</v>
          </cell>
        </row>
        <row r="14">
          <cell r="A14">
            <v>7907</v>
          </cell>
          <cell r="B14">
            <v>0</v>
          </cell>
          <cell r="C14">
            <v>2014000</v>
          </cell>
          <cell r="D14">
            <v>1299000</v>
          </cell>
          <cell r="E14">
            <v>64327416</v>
          </cell>
          <cell r="F14">
            <v>23312000</v>
          </cell>
          <cell r="G14">
            <v>15588000</v>
          </cell>
        </row>
        <row r="15">
          <cell r="A15">
            <v>7908</v>
          </cell>
          <cell r="B15">
            <v>1128580</v>
          </cell>
          <cell r="C15">
            <v>1406715</v>
          </cell>
          <cell r="D15">
            <v>1026985</v>
          </cell>
          <cell r="E15">
            <v>48471191</v>
          </cell>
          <cell r="F15">
            <v>16661842</v>
          </cell>
          <cell r="G15">
            <v>11195250</v>
          </cell>
        </row>
        <row r="16">
          <cell r="A16">
            <v>7909</v>
          </cell>
          <cell r="B16">
            <v>0</v>
          </cell>
          <cell r="C16">
            <v>1291000</v>
          </cell>
          <cell r="D16">
            <v>880000</v>
          </cell>
          <cell r="E16">
            <v>43239083</v>
          </cell>
          <cell r="F16">
            <v>15492000</v>
          </cell>
          <cell r="G16">
            <v>10560000</v>
          </cell>
        </row>
        <row r="17">
          <cell r="A17">
            <v>7914</v>
          </cell>
          <cell r="B17">
            <v>1187860</v>
          </cell>
          <cell r="C17">
            <v>1556667</v>
          </cell>
          <cell r="D17">
            <v>837151</v>
          </cell>
          <cell r="E17">
            <v>47078420</v>
          </cell>
          <cell r="F17">
            <v>15585064</v>
          </cell>
          <cell r="G17">
            <v>8857959</v>
          </cell>
        </row>
        <row r="18">
          <cell r="A18">
            <v>7915</v>
          </cell>
          <cell r="B18">
            <v>1256690</v>
          </cell>
          <cell r="C18">
            <v>1104957</v>
          </cell>
          <cell r="D18">
            <v>824196</v>
          </cell>
          <cell r="E18">
            <v>37296958</v>
          </cell>
          <cell r="F18">
            <v>12253740</v>
          </cell>
          <cell r="G18">
            <v>8633667</v>
          </cell>
        </row>
        <row r="19">
          <cell r="A19">
            <v>7917</v>
          </cell>
          <cell r="B19">
            <v>1253790</v>
          </cell>
          <cell r="C19">
            <v>1401678</v>
          </cell>
          <cell r="D19">
            <v>836143</v>
          </cell>
          <cell r="E19">
            <v>43264539</v>
          </cell>
          <cell r="F19">
            <v>14655062</v>
          </cell>
          <cell r="G19">
            <v>8779932</v>
          </cell>
        </row>
        <row r="20">
          <cell r="A20">
            <v>7918</v>
          </cell>
          <cell r="B20">
            <v>1394300</v>
          </cell>
          <cell r="C20">
            <v>1505941</v>
          </cell>
          <cell r="D20">
            <v>914711</v>
          </cell>
          <cell r="E20">
            <v>46597551</v>
          </cell>
          <cell r="F20">
            <v>16457619</v>
          </cell>
          <cell r="G20">
            <v>9582241</v>
          </cell>
        </row>
        <row r="21">
          <cell r="A21">
            <v>8002</v>
          </cell>
          <cell r="B21">
            <v>0</v>
          </cell>
          <cell r="C21">
            <v>1557636</v>
          </cell>
          <cell r="D21">
            <v>780000</v>
          </cell>
          <cell r="E21">
            <v>44025478</v>
          </cell>
          <cell r="F21">
            <v>17974291</v>
          </cell>
          <cell r="G21">
            <v>9360000</v>
          </cell>
        </row>
        <row r="22">
          <cell r="A22">
            <v>8005</v>
          </cell>
          <cell r="B22">
            <v>1015280</v>
          </cell>
          <cell r="C22">
            <v>1329812</v>
          </cell>
          <cell r="D22">
            <v>806596</v>
          </cell>
          <cell r="E22">
            <v>39701582</v>
          </cell>
          <cell r="F22">
            <v>14103376</v>
          </cell>
          <cell r="G22">
            <v>8663881</v>
          </cell>
        </row>
        <row r="23">
          <cell r="A23">
            <v>8006</v>
          </cell>
          <cell r="B23">
            <v>0</v>
          </cell>
          <cell r="C23">
            <v>1237000</v>
          </cell>
          <cell r="D23">
            <v>843333</v>
          </cell>
          <cell r="E23">
            <v>39526327</v>
          </cell>
          <cell r="F23">
            <v>14844000</v>
          </cell>
          <cell r="G23">
            <v>10120000</v>
          </cell>
        </row>
        <row r="24">
          <cell r="A24">
            <v>8007</v>
          </cell>
          <cell r="B24">
            <v>0</v>
          </cell>
          <cell r="C24">
            <v>1309000</v>
          </cell>
          <cell r="D24">
            <v>892000</v>
          </cell>
          <cell r="E24">
            <v>41085333</v>
          </cell>
          <cell r="F24">
            <v>15708000</v>
          </cell>
          <cell r="G24">
            <v>10704000</v>
          </cell>
        </row>
        <row r="25">
          <cell r="A25">
            <v>8104</v>
          </cell>
          <cell r="B25">
            <v>0</v>
          </cell>
          <cell r="C25">
            <v>2027666</v>
          </cell>
          <cell r="D25">
            <v>1344166</v>
          </cell>
          <cell r="E25">
            <v>57883116</v>
          </cell>
          <cell r="F25">
            <v>24317000</v>
          </cell>
          <cell r="G25">
            <v>16130000</v>
          </cell>
        </row>
        <row r="26">
          <cell r="A26">
            <v>8106</v>
          </cell>
          <cell r="B26">
            <v>0</v>
          </cell>
          <cell r="C26">
            <v>1396000</v>
          </cell>
          <cell r="D26">
            <v>952833</v>
          </cell>
          <cell r="E26">
            <v>41887521</v>
          </cell>
          <cell r="F26">
            <v>16800000</v>
          </cell>
          <cell r="G26">
            <v>11434000</v>
          </cell>
        </row>
        <row r="27">
          <cell r="A27">
            <v>8109</v>
          </cell>
          <cell r="B27">
            <v>1173860</v>
          </cell>
          <cell r="C27">
            <v>1423678</v>
          </cell>
          <cell r="D27">
            <v>822994</v>
          </cell>
          <cell r="E27">
            <v>39316760</v>
          </cell>
          <cell r="F27">
            <v>16284954</v>
          </cell>
          <cell r="G27">
            <v>8702071</v>
          </cell>
        </row>
        <row r="28">
          <cell r="A28">
            <v>8111</v>
          </cell>
          <cell r="B28">
            <v>0</v>
          </cell>
          <cell r="C28">
            <v>1211000</v>
          </cell>
          <cell r="D28">
            <v>822833</v>
          </cell>
          <cell r="E28">
            <v>35083619</v>
          </cell>
          <cell r="F28">
            <v>14568000</v>
          </cell>
          <cell r="G28">
            <v>9874000</v>
          </cell>
        </row>
        <row r="29">
          <cell r="A29">
            <v>8206</v>
          </cell>
          <cell r="B29">
            <v>992110</v>
          </cell>
          <cell r="C29">
            <v>1488106</v>
          </cell>
          <cell r="D29">
            <v>835383</v>
          </cell>
          <cell r="E29">
            <v>39499313</v>
          </cell>
          <cell r="F29">
            <v>17553696</v>
          </cell>
          <cell r="G29">
            <v>9032496</v>
          </cell>
        </row>
        <row r="30">
          <cell r="A30">
            <v>8210</v>
          </cell>
          <cell r="B30">
            <v>0</v>
          </cell>
          <cell r="C30">
            <v>1233000</v>
          </cell>
          <cell r="D30">
            <v>840666</v>
          </cell>
          <cell r="E30">
            <v>34561100</v>
          </cell>
          <cell r="F30">
            <v>14796000</v>
          </cell>
          <cell r="G30">
            <v>10088000</v>
          </cell>
        </row>
        <row r="31">
          <cell r="A31">
            <v>8211</v>
          </cell>
          <cell r="B31">
            <v>1099800</v>
          </cell>
          <cell r="C31">
            <v>1332738</v>
          </cell>
          <cell r="D31">
            <v>970527</v>
          </cell>
          <cell r="E31">
            <v>37619995</v>
          </cell>
          <cell r="F31">
            <v>15167546</v>
          </cell>
          <cell r="G31">
            <v>10546524</v>
          </cell>
        </row>
        <row r="32">
          <cell r="A32">
            <v>8213</v>
          </cell>
          <cell r="B32">
            <v>0</v>
          </cell>
          <cell r="C32">
            <v>1791000</v>
          </cell>
          <cell r="D32">
            <v>1214000</v>
          </cell>
          <cell r="E32">
            <v>48580833</v>
          </cell>
          <cell r="F32">
            <v>21492000</v>
          </cell>
          <cell r="G32">
            <v>14568000</v>
          </cell>
        </row>
        <row r="33">
          <cell r="A33">
            <v>8220</v>
          </cell>
          <cell r="B33">
            <v>0</v>
          </cell>
          <cell r="C33">
            <v>1207000</v>
          </cell>
          <cell r="D33">
            <v>822666</v>
          </cell>
          <cell r="E33">
            <v>32982072</v>
          </cell>
          <cell r="F33">
            <v>14484000</v>
          </cell>
          <cell r="G33">
            <v>9872000</v>
          </cell>
        </row>
        <row r="34">
          <cell r="A34">
            <v>8303</v>
          </cell>
          <cell r="B34">
            <v>0</v>
          </cell>
          <cell r="C34">
            <v>1840000</v>
          </cell>
          <cell r="D34">
            <v>1247000</v>
          </cell>
          <cell r="E34">
            <v>48363000</v>
          </cell>
          <cell r="F34">
            <v>22055018</v>
          </cell>
          <cell r="G34">
            <v>14964000</v>
          </cell>
        </row>
        <row r="35">
          <cell r="A35">
            <v>8306</v>
          </cell>
          <cell r="B35">
            <v>0</v>
          </cell>
          <cell r="C35">
            <v>2014000</v>
          </cell>
          <cell r="D35">
            <v>1333666</v>
          </cell>
          <cell r="E35">
            <v>52167795</v>
          </cell>
          <cell r="F35">
            <v>24138000</v>
          </cell>
          <cell r="G35">
            <v>16004000</v>
          </cell>
        </row>
        <row r="36">
          <cell r="A36">
            <v>8321</v>
          </cell>
          <cell r="B36">
            <v>0</v>
          </cell>
          <cell r="C36">
            <v>1049000</v>
          </cell>
          <cell r="D36">
            <v>713333</v>
          </cell>
          <cell r="E36">
            <v>27169300</v>
          </cell>
          <cell r="F36">
            <v>12641450</v>
          </cell>
          <cell r="G36">
            <v>8560000</v>
          </cell>
        </row>
        <row r="37">
          <cell r="A37">
            <v>8325</v>
          </cell>
          <cell r="B37">
            <v>969370</v>
          </cell>
          <cell r="C37">
            <v>1386073</v>
          </cell>
          <cell r="D37">
            <v>745822</v>
          </cell>
          <cell r="E37">
            <v>32333740</v>
          </cell>
          <cell r="F37">
            <v>15802878</v>
          </cell>
          <cell r="G37">
            <v>7980504</v>
          </cell>
        </row>
        <row r="38">
          <cell r="A38">
            <v>8327</v>
          </cell>
          <cell r="B38">
            <v>0</v>
          </cell>
          <cell r="C38">
            <v>1144000</v>
          </cell>
          <cell r="D38">
            <v>797500</v>
          </cell>
          <cell r="E38">
            <v>30578625</v>
          </cell>
          <cell r="F38">
            <v>13710000</v>
          </cell>
          <cell r="G38">
            <v>9570000</v>
          </cell>
        </row>
        <row r="39">
          <cell r="A39">
            <v>8329</v>
          </cell>
          <cell r="B39">
            <v>1063240</v>
          </cell>
          <cell r="C39">
            <v>1397912</v>
          </cell>
          <cell r="D39">
            <v>820112</v>
          </cell>
          <cell r="E39">
            <v>34379372</v>
          </cell>
          <cell r="F39">
            <v>14885807</v>
          </cell>
          <cell r="G39">
            <v>8778112</v>
          </cell>
        </row>
        <row r="40">
          <cell r="A40">
            <v>8401</v>
          </cell>
          <cell r="B40">
            <v>0</v>
          </cell>
          <cell r="C40">
            <v>1774000</v>
          </cell>
          <cell r="D40">
            <v>1202000</v>
          </cell>
          <cell r="E40">
            <v>44640000</v>
          </cell>
          <cell r="F40">
            <v>21288000</v>
          </cell>
          <cell r="G40">
            <v>14424000</v>
          </cell>
        </row>
        <row r="41">
          <cell r="A41">
            <v>8404</v>
          </cell>
          <cell r="B41">
            <v>0</v>
          </cell>
          <cell r="C41">
            <v>1779000</v>
          </cell>
          <cell r="D41">
            <v>1205333</v>
          </cell>
          <cell r="E41">
            <v>44764995</v>
          </cell>
          <cell r="F41">
            <v>21348000</v>
          </cell>
          <cell r="G41">
            <v>14464000</v>
          </cell>
        </row>
        <row r="42">
          <cell r="A42">
            <v>8406</v>
          </cell>
          <cell r="B42">
            <v>0</v>
          </cell>
          <cell r="C42">
            <v>1985000</v>
          </cell>
          <cell r="D42">
            <v>1275250</v>
          </cell>
          <cell r="E42">
            <v>48903750</v>
          </cell>
          <cell r="F42">
            <v>22712018</v>
          </cell>
          <cell r="G42">
            <v>15303000</v>
          </cell>
        </row>
        <row r="43">
          <cell r="A43">
            <v>8407</v>
          </cell>
          <cell r="B43">
            <v>0</v>
          </cell>
          <cell r="C43">
            <v>1756000</v>
          </cell>
          <cell r="D43">
            <v>1124750</v>
          </cell>
          <cell r="E43">
            <v>43211250</v>
          </cell>
          <cell r="F43">
            <v>20312000</v>
          </cell>
          <cell r="G43">
            <v>13497000</v>
          </cell>
        </row>
        <row r="44">
          <cell r="A44">
            <v>8409</v>
          </cell>
          <cell r="B44">
            <v>0</v>
          </cell>
          <cell r="C44">
            <v>1053415</v>
          </cell>
          <cell r="D44">
            <v>281333</v>
          </cell>
          <cell r="E44">
            <v>19798762</v>
          </cell>
          <cell r="F44">
            <v>12234469</v>
          </cell>
          <cell r="G44">
            <v>3376000</v>
          </cell>
        </row>
        <row r="45">
          <cell r="A45">
            <v>8412</v>
          </cell>
          <cell r="B45">
            <v>0</v>
          </cell>
          <cell r="C45">
            <v>1137000</v>
          </cell>
          <cell r="D45">
            <v>775333</v>
          </cell>
          <cell r="E45">
            <v>28684995</v>
          </cell>
          <cell r="F45">
            <v>13644000</v>
          </cell>
          <cell r="G45">
            <v>9304000</v>
          </cell>
        </row>
        <row r="46">
          <cell r="A46">
            <v>8413</v>
          </cell>
          <cell r="B46">
            <v>936570</v>
          </cell>
          <cell r="C46">
            <v>1323801</v>
          </cell>
          <cell r="D46">
            <v>806766</v>
          </cell>
          <cell r="E46">
            <v>31780957</v>
          </cell>
          <cell r="F46">
            <v>14017929</v>
          </cell>
          <cell r="G46">
            <v>8744627</v>
          </cell>
        </row>
        <row r="47">
          <cell r="A47">
            <v>8416</v>
          </cell>
          <cell r="B47">
            <v>921130</v>
          </cell>
          <cell r="C47">
            <v>1231592</v>
          </cell>
          <cell r="D47">
            <v>793420</v>
          </cell>
          <cell r="E47">
            <v>30037678</v>
          </cell>
          <cell r="F47">
            <v>13477873</v>
          </cell>
          <cell r="G47">
            <v>8599914</v>
          </cell>
        </row>
        <row r="48">
          <cell r="A48">
            <v>8425</v>
          </cell>
          <cell r="B48">
            <v>951990</v>
          </cell>
          <cell r="C48">
            <v>1354170</v>
          </cell>
          <cell r="D48">
            <v>750955</v>
          </cell>
          <cell r="E48">
            <v>30875166</v>
          </cell>
          <cell r="F48">
            <v>14218424</v>
          </cell>
          <cell r="G48">
            <v>8059481</v>
          </cell>
        </row>
        <row r="49">
          <cell r="A49">
            <v>8426</v>
          </cell>
          <cell r="B49">
            <v>912930</v>
          </cell>
          <cell r="C49">
            <v>1460488</v>
          </cell>
          <cell r="D49">
            <v>786335</v>
          </cell>
          <cell r="E49">
            <v>32953404</v>
          </cell>
          <cell r="F49">
            <v>17065140</v>
          </cell>
          <cell r="G49">
            <v>8523098</v>
          </cell>
        </row>
        <row r="50">
          <cell r="A50">
            <v>8432</v>
          </cell>
          <cell r="B50">
            <v>0</v>
          </cell>
          <cell r="C50">
            <v>1776000</v>
          </cell>
          <cell r="D50">
            <v>1203333</v>
          </cell>
          <cell r="E50">
            <v>43448606</v>
          </cell>
          <cell r="F50">
            <v>21312000</v>
          </cell>
          <cell r="G50">
            <v>14440000</v>
          </cell>
        </row>
        <row r="51">
          <cell r="A51">
            <v>8437</v>
          </cell>
          <cell r="B51">
            <v>0</v>
          </cell>
          <cell r="C51">
            <v>1755000</v>
          </cell>
          <cell r="D51">
            <v>1141166</v>
          </cell>
          <cell r="E51">
            <v>42235754</v>
          </cell>
          <cell r="F51">
            <v>20428000</v>
          </cell>
          <cell r="G51">
            <v>13694000</v>
          </cell>
        </row>
        <row r="52">
          <cell r="A52">
            <v>8439</v>
          </cell>
          <cell r="B52">
            <v>0</v>
          </cell>
          <cell r="C52">
            <v>1809000</v>
          </cell>
          <cell r="D52">
            <v>1226000</v>
          </cell>
          <cell r="E52">
            <v>44007500</v>
          </cell>
          <cell r="F52">
            <v>21708000</v>
          </cell>
          <cell r="G52">
            <v>14712000</v>
          </cell>
        </row>
        <row r="53">
          <cell r="A53">
            <v>8445</v>
          </cell>
          <cell r="B53">
            <v>812280</v>
          </cell>
          <cell r="C53">
            <v>1164878</v>
          </cell>
          <cell r="D53">
            <v>733655</v>
          </cell>
          <cell r="E53">
            <v>27528728</v>
          </cell>
          <cell r="F53">
            <v>12666072</v>
          </cell>
          <cell r="G53">
            <v>7991587</v>
          </cell>
        </row>
        <row r="54">
          <cell r="A54">
            <v>8450</v>
          </cell>
          <cell r="B54">
            <v>0</v>
          </cell>
          <cell r="C54">
            <v>1105000</v>
          </cell>
          <cell r="D54">
            <v>753333</v>
          </cell>
          <cell r="E54">
            <v>26790967</v>
          </cell>
          <cell r="F54">
            <v>13260000</v>
          </cell>
          <cell r="G54">
            <v>9040000</v>
          </cell>
        </row>
        <row r="55">
          <cell r="A55">
            <v>8501</v>
          </cell>
          <cell r="B55">
            <v>815580</v>
          </cell>
          <cell r="C55">
            <v>1036309</v>
          </cell>
          <cell r="D55">
            <v>736393</v>
          </cell>
          <cell r="E55">
            <v>24817828</v>
          </cell>
          <cell r="F55">
            <v>11881026</v>
          </cell>
          <cell r="G55">
            <v>8021144</v>
          </cell>
        </row>
        <row r="56">
          <cell r="A56">
            <v>8508</v>
          </cell>
          <cell r="B56">
            <v>0</v>
          </cell>
          <cell r="C56">
            <v>1628000</v>
          </cell>
          <cell r="D56">
            <v>1079333</v>
          </cell>
          <cell r="E56">
            <v>37677050</v>
          </cell>
          <cell r="F56">
            <v>19530000</v>
          </cell>
          <cell r="G56">
            <v>12952000</v>
          </cell>
        </row>
        <row r="57">
          <cell r="A57">
            <v>8513</v>
          </cell>
          <cell r="B57">
            <v>951120</v>
          </cell>
          <cell r="C57">
            <v>1428895</v>
          </cell>
          <cell r="D57">
            <v>782359</v>
          </cell>
          <cell r="E57">
            <v>30589013</v>
          </cell>
          <cell r="F57">
            <v>14247421</v>
          </cell>
          <cell r="G57">
            <v>8437189</v>
          </cell>
        </row>
        <row r="58">
          <cell r="A58">
            <v>8515</v>
          </cell>
          <cell r="B58">
            <v>448490</v>
          </cell>
          <cell r="C58">
            <v>963920</v>
          </cell>
          <cell r="D58">
            <v>683907</v>
          </cell>
          <cell r="E58">
            <v>22520302</v>
          </cell>
          <cell r="F58">
            <v>10925272</v>
          </cell>
          <cell r="G58">
            <v>7758397</v>
          </cell>
        </row>
        <row r="59">
          <cell r="A59">
            <v>8605</v>
          </cell>
          <cell r="B59">
            <v>701230</v>
          </cell>
          <cell r="C59">
            <v>1185197</v>
          </cell>
          <cell r="D59">
            <v>744741</v>
          </cell>
          <cell r="E59">
            <v>24928365</v>
          </cell>
          <cell r="F59">
            <v>12445219</v>
          </cell>
          <cell r="G59">
            <v>8235662</v>
          </cell>
        </row>
        <row r="60">
          <cell r="A60">
            <v>8615</v>
          </cell>
          <cell r="B60">
            <v>0</v>
          </cell>
          <cell r="C60">
            <v>1676000</v>
          </cell>
          <cell r="D60">
            <v>1084666</v>
          </cell>
          <cell r="E60">
            <v>35428547</v>
          </cell>
          <cell r="F60">
            <v>20112000</v>
          </cell>
          <cell r="G60">
            <v>13016000</v>
          </cell>
        </row>
        <row r="61">
          <cell r="A61">
            <v>8616</v>
          </cell>
          <cell r="B61">
            <v>0</v>
          </cell>
          <cell r="C61">
            <v>1543000</v>
          </cell>
          <cell r="D61">
            <v>1007916</v>
          </cell>
          <cell r="E61">
            <v>32736755</v>
          </cell>
          <cell r="F61">
            <v>18292000</v>
          </cell>
          <cell r="G61">
            <v>12095000</v>
          </cell>
        </row>
        <row r="62">
          <cell r="A62">
            <v>8620</v>
          </cell>
          <cell r="B62">
            <v>882380</v>
          </cell>
          <cell r="C62">
            <v>1320123</v>
          </cell>
          <cell r="D62">
            <v>780593</v>
          </cell>
          <cell r="E62">
            <v>26784129</v>
          </cell>
          <cell r="F62">
            <v>14240445</v>
          </cell>
          <cell r="G62">
            <v>8484737</v>
          </cell>
        </row>
        <row r="63">
          <cell r="A63">
            <v>8624</v>
          </cell>
          <cell r="B63">
            <v>689870</v>
          </cell>
          <cell r="C63">
            <v>1122911</v>
          </cell>
          <cell r="D63">
            <v>711464</v>
          </cell>
          <cell r="E63">
            <v>23235416</v>
          </cell>
          <cell r="F63">
            <v>12254694</v>
          </cell>
          <cell r="G63">
            <v>7847700</v>
          </cell>
        </row>
        <row r="64">
          <cell r="A64">
            <v>8627</v>
          </cell>
          <cell r="B64">
            <v>825460</v>
          </cell>
          <cell r="C64">
            <v>1304759</v>
          </cell>
          <cell r="D64">
            <v>710800</v>
          </cell>
          <cell r="E64">
            <v>25530414</v>
          </cell>
          <cell r="F64">
            <v>14555432</v>
          </cell>
          <cell r="G64">
            <v>7704150</v>
          </cell>
        </row>
        <row r="65">
          <cell r="A65">
            <v>8628</v>
          </cell>
          <cell r="B65">
            <v>760070</v>
          </cell>
          <cell r="C65">
            <v>1300535</v>
          </cell>
          <cell r="D65">
            <v>741561</v>
          </cell>
          <cell r="E65">
            <v>25866549</v>
          </cell>
          <cell r="F65">
            <v>13597829</v>
          </cell>
          <cell r="G65">
            <v>8138670</v>
          </cell>
        </row>
        <row r="66">
          <cell r="A66">
            <v>8634</v>
          </cell>
          <cell r="B66">
            <v>674810</v>
          </cell>
          <cell r="C66">
            <v>980751</v>
          </cell>
          <cell r="D66">
            <v>676424</v>
          </cell>
          <cell r="E66">
            <v>20852785</v>
          </cell>
          <cell r="F66">
            <v>11114357</v>
          </cell>
          <cell r="G66">
            <v>7442279</v>
          </cell>
        </row>
        <row r="67">
          <cell r="A67">
            <v>8650</v>
          </cell>
          <cell r="B67">
            <v>867000</v>
          </cell>
          <cell r="C67">
            <v>1576125</v>
          </cell>
          <cell r="D67">
            <v>746653</v>
          </cell>
          <cell r="E67">
            <v>28260465</v>
          </cell>
          <cell r="F67">
            <v>17249560</v>
          </cell>
          <cell r="G67">
            <v>8092841</v>
          </cell>
        </row>
        <row r="68">
          <cell r="A68">
            <v>8655</v>
          </cell>
          <cell r="B68">
            <v>540170</v>
          </cell>
          <cell r="C68">
            <v>1150525</v>
          </cell>
          <cell r="D68">
            <v>675125</v>
          </cell>
          <cell r="E68">
            <v>22059937</v>
          </cell>
          <cell r="F68">
            <v>12421186</v>
          </cell>
          <cell r="G68">
            <v>7561331</v>
          </cell>
        </row>
        <row r="69">
          <cell r="A69">
            <v>8658</v>
          </cell>
          <cell r="B69">
            <v>0</v>
          </cell>
          <cell r="C69">
            <v>1106000</v>
          </cell>
          <cell r="D69">
            <v>771333</v>
          </cell>
          <cell r="E69">
            <v>22684440</v>
          </cell>
          <cell r="F69">
            <v>13272000</v>
          </cell>
          <cell r="G69">
            <v>9256000</v>
          </cell>
        </row>
        <row r="70">
          <cell r="A70">
            <v>8704</v>
          </cell>
          <cell r="B70">
            <v>0</v>
          </cell>
          <cell r="C70">
            <v>1508000</v>
          </cell>
          <cell r="D70">
            <v>996000</v>
          </cell>
          <cell r="E70">
            <v>30048000</v>
          </cell>
          <cell r="F70">
            <v>18096000</v>
          </cell>
          <cell r="G70">
            <v>11952000</v>
          </cell>
        </row>
        <row r="71">
          <cell r="A71">
            <v>8710</v>
          </cell>
          <cell r="B71">
            <v>0</v>
          </cell>
          <cell r="C71">
            <v>1530000</v>
          </cell>
          <cell r="D71">
            <v>1011333</v>
          </cell>
          <cell r="E71">
            <v>30284218</v>
          </cell>
          <cell r="F71">
            <v>18360000</v>
          </cell>
          <cell r="G71">
            <v>12136000</v>
          </cell>
        </row>
        <row r="72">
          <cell r="A72">
            <v>8712</v>
          </cell>
          <cell r="B72">
            <v>0</v>
          </cell>
          <cell r="C72">
            <v>1620000</v>
          </cell>
          <cell r="D72">
            <v>1066666</v>
          </cell>
          <cell r="E72">
            <v>32016103</v>
          </cell>
          <cell r="F72">
            <v>19440000</v>
          </cell>
          <cell r="G72">
            <v>12800000</v>
          </cell>
        </row>
        <row r="73">
          <cell r="A73">
            <v>8714</v>
          </cell>
          <cell r="B73">
            <v>0</v>
          </cell>
          <cell r="C73">
            <v>1610000</v>
          </cell>
          <cell r="D73">
            <v>1066666</v>
          </cell>
          <cell r="E73">
            <v>31896936</v>
          </cell>
          <cell r="F73">
            <v>19320000</v>
          </cell>
          <cell r="G73">
            <v>12800000</v>
          </cell>
        </row>
        <row r="74">
          <cell r="A74">
            <v>8715</v>
          </cell>
          <cell r="B74">
            <v>0</v>
          </cell>
          <cell r="C74">
            <v>1555000</v>
          </cell>
          <cell r="D74">
            <v>1028000</v>
          </cell>
          <cell r="E74">
            <v>30780750</v>
          </cell>
          <cell r="F74">
            <v>18660000</v>
          </cell>
          <cell r="G74">
            <v>12336000</v>
          </cell>
        </row>
        <row r="75">
          <cell r="A75">
            <v>8719</v>
          </cell>
          <cell r="B75">
            <v>0</v>
          </cell>
          <cell r="C75">
            <v>1506000</v>
          </cell>
          <cell r="D75">
            <v>994000</v>
          </cell>
          <cell r="E75">
            <v>29791666</v>
          </cell>
          <cell r="F75">
            <v>18072000</v>
          </cell>
          <cell r="G75">
            <v>11928000</v>
          </cell>
        </row>
        <row r="76">
          <cell r="A76">
            <v>8726</v>
          </cell>
          <cell r="B76">
            <v>0</v>
          </cell>
          <cell r="C76">
            <v>948070</v>
          </cell>
          <cell r="D76">
            <v>279333</v>
          </cell>
          <cell r="E76">
            <v>14626552</v>
          </cell>
          <cell r="F76">
            <v>11156701</v>
          </cell>
          <cell r="G76">
            <v>3352000</v>
          </cell>
        </row>
        <row r="77">
          <cell r="A77">
            <v>8731</v>
          </cell>
          <cell r="B77">
            <v>633230</v>
          </cell>
          <cell r="C77">
            <v>777796</v>
          </cell>
          <cell r="D77">
            <v>575018</v>
          </cell>
          <cell r="E77">
            <v>16008299</v>
          </cell>
          <cell r="F77">
            <v>8662315</v>
          </cell>
          <cell r="G77">
            <v>6266986</v>
          </cell>
        </row>
        <row r="78">
          <cell r="A78">
            <v>8737</v>
          </cell>
          <cell r="B78">
            <v>678660</v>
          </cell>
          <cell r="C78">
            <v>985214</v>
          </cell>
          <cell r="D78">
            <v>680264</v>
          </cell>
          <cell r="E78">
            <v>19430576</v>
          </cell>
          <cell r="F78">
            <v>11927114</v>
          </cell>
          <cell r="G78">
            <v>7484514</v>
          </cell>
        </row>
        <row r="79">
          <cell r="A79">
            <v>8742</v>
          </cell>
          <cell r="B79">
            <v>751100</v>
          </cell>
          <cell r="C79">
            <v>1010197</v>
          </cell>
          <cell r="D79">
            <v>678218</v>
          </cell>
          <cell r="E79">
            <v>19557473</v>
          </cell>
          <cell r="F79">
            <v>11177767</v>
          </cell>
          <cell r="G79">
            <v>7387521</v>
          </cell>
        </row>
        <row r="80">
          <cell r="A80">
            <v>8750</v>
          </cell>
          <cell r="B80">
            <v>0</v>
          </cell>
          <cell r="C80">
            <v>1620000</v>
          </cell>
          <cell r="D80">
            <v>1073333</v>
          </cell>
          <cell r="E80">
            <v>30973329</v>
          </cell>
          <cell r="F80">
            <v>19440000</v>
          </cell>
          <cell r="G80">
            <v>12880000</v>
          </cell>
        </row>
        <row r="81">
          <cell r="A81">
            <v>8757</v>
          </cell>
          <cell r="B81">
            <v>763350</v>
          </cell>
          <cell r="C81">
            <v>1335436</v>
          </cell>
          <cell r="D81">
            <v>725213</v>
          </cell>
          <cell r="E81">
            <v>23525742</v>
          </cell>
          <cell r="F81">
            <v>13971939</v>
          </cell>
          <cell r="G81">
            <v>7939212</v>
          </cell>
        </row>
        <row r="82">
          <cell r="A82">
            <v>8759</v>
          </cell>
          <cell r="B82">
            <v>0</v>
          </cell>
          <cell r="C82">
            <v>947000</v>
          </cell>
          <cell r="D82">
            <v>660666</v>
          </cell>
          <cell r="E82">
            <v>18354186</v>
          </cell>
          <cell r="F82">
            <v>11364000</v>
          </cell>
          <cell r="G82">
            <v>7928000</v>
          </cell>
        </row>
        <row r="83">
          <cell r="A83">
            <v>8768</v>
          </cell>
          <cell r="B83">
            <v>760020</v>
          </cell>
          <cell r="C83">
            <v>1218273</v>
          </cell>
          <cell r="D83">
            <v>686301</v>
          </cell>
          <cell r="E83">
            <v>21426457</v>
          </cell>
          <cell r="F83">
            <v>12476866</v>
          </cell>
          <cell r="G83">
            <v>7475594</v>
          </cell>
        </row>
        <row r="84">
          <cell r="A84">
            <v>8775</v>
          </cell>
          <cell r="B84">
            <v>740370</v>
          </cell>
          <cell r="C84">
            <v>954177</v>
          </cell>
          <cell r="D84">
            <v>668498</v>
          </cell>
          <cell r="E84">
            <v>18119870</v>
          </cell>
          <cell r="F84">
            <v>11923234</v>
          </cell>
          <cell r="G84">
            <v>7281612</v>
          </cell>
        </row>
        <row r="85">
          <cell r="A85">
            <v>8778</v>
          </cell>
          <cell r="B85">
            <v>634380</v>
          </cell>
          <cell r="C85">
            <v>1037737</v>
          </cell>
          <cell r="D85">
            <v>654007</v>
          </cell>
          <cell r="E85">
            <v>18891141</v>
          </cell>
          <cell r="F85">
            <v>11793523</v>
          </cell>
          <cell r="G85">
            <v>7213714</v>
          </cell>
        </row>
        <row r="86">
          <cell r="A86">
            <v>8803</v>
          </cell>
          <cell r="B86">
            <v>0</v>
          </cell>
          <cell r="C86">
            <v>1527000</v>
          </cell>
          <cell r="D86">
            <v>994500</v>
          </cell>
          <cell r="E86">
            <v>27736500</v>
          </cell>
          <cell r="F86">
            <v>18060000</v>
          </cell>
          <cell r="G86">
            <v>11934000</v>
          </cell>
        </row>
        <row r="87">
          <cell r="A87">
            <v>8804</v>
          </cell>
          <cell r="B87">
            <v>0</v>
          </cell>
          <cell r="C87">
            <v>1538000</v>
          </cell>
          <cell r="D87">
            <v>1003750</v>
          </cell>
          <cell r="E87">
            <v>27959250</v>
          </cell>
          <cell r="F87">
            <v>18216000</v>
          </cell>
          <cell r="G87">
            <v>12045000</v>
          </cell>
        </row>
        <row r="88">
          <cell r="A88">
            <v>8806</v>
          </cell>
          <cell r="B88">
            <v>0</v>
          </cell>
          <cell r="C88">
            <v>1555000</v>
          </cell>
          <cell r="D88">
            <v>1028000</v>
          </cell>
          <cell r="E88">
            <v>28413000</v>
          </cell>
          <cell r="F88">
            <v>18660000</v>
          </cell>
          <cell r="G88">
            <v>12336000</v>
          </cell>
        </row>
        <row r="89">
          <cell r="A89">
            <v>8809</v>
          </cell>
          <cell r="B89">
            <v>0</v>
          </cell>
          <cell r="C89">
            <v>1530000</v>
          </cell>
          <cell r="D89">
            <v>998000</v>
          </cell>
          <cell r="E89">
            <v>27808000</v>
          </cell>
          <cell r="F89">
            <v>18120000</v>
          </cell>
          <cell r="G89">
            <v>11976000</v>
          </cell>
        </row>
        <row r="90">
          <cell r="A90">
            <v>8810</v>
          </cell>
          <cell r="B90">
            <v>0</v>
          </cell>
          <cell r="C90">
            <v>1140000</v>
          </cell>
          <cell r="D90">
            <v>794666</v>
          </cell>
          <cell r="E90">
            <v>21281326</v>
          </cell>
          <cell r="F90">
            <v>13680000</v>
          </cell>
          <cell r="G90">
            <v>9536000</v>
          </cell>
        </row>
        <row r="91">
          <cell r="A91">
            <v>8816</v>
          </cell>
          <cell r="B91">
            <v>0</v>
          </cell>
          <cell r="C91">
            <v>1563000</v>
          </cell>
          <cell r="D91">
            <v>1034000</v>
          </cell>
          <cell r="E91">
            <v>28567000</v>
          </cell>
          <cell r="F91">
            <v>18756000</v>
          </cell>
          <cell r="G91">
            <v>12408000</v>
          </cell>
        </row>
        <row r="92">
          <cell r="A92">
            <v>8818</v>
          </cell>
          <cell r="B92">
            <v>0</v>
          </cell>
          <cell r="C92">
            <v>975000</v>
          </cell>
          <cell r="D92">
            <v>680000</v>
          </cell>
          <cell r="E92">
            <v>18205000</v>
          </cell>
          <cell r="F92">
            <v>11700000</v>
          </cell>
          <cell r="G92">
            <v>8160000</v>
          </cell>
        </row>
        <row r="93">
          <cell r="A93">
            <v>8830</v>
          </cell>
          <cell r="B93">
            <v>543910</v>
          </cell>
          <cell r="C93">
            <v>948945</v>
          </cell>
          <cell r="D93">
            <v>655727</v>
          </cell>
          <cell r="E93">
            <v>17517669</v>
          </cell>
          <cell r="F93">
            <v>10992929</v>
          </cell>
          <cell r="G93">
            <v>7324821</v>
          </cell>
        </row>
        <row r="94">
          <cell r="A94">
            <v>8834</v>
          </cell>
          <cell r="B94">
            <v>352710</v>
          </cell>
          <cell r="C94">
            <v>763158</v>
          </cell>
          <cell r="D94">
            <v>538406</v>
          </cell>
          <cell r="E94">
            <v>14208740</v>
          </cell>
          <cell r="F94">
            <v>9032781</v>
          </cell>
          <cell r="G94">
            <v>6108162</v>
          </cell>
        </row>
        <row r="95">
          <cell r="A95">
            <v>8841</v>
          </cell>
          <cell r="B95">
            <v>640030</v>
          </cell>
          <cell r="C95">
            <v>1194231</v>
          </cell>
          <cell r="D95">
            <v>698937</v>
          </cell>
          <cell r="E95">
            <v>20667084</v>
          </cell>
          <cell r="F95">
            <v>12925762</v>
          </cell>
          <cell r="G95">
            <v>7747217</v>
          </cell>
        </row>
        <row r="96">
          <cell r="A96">
            <v>8843</v>
          </cell>
          <cell r="B96">
            <v>748150</v>
          </cell>
          <cell r="C96">
            <v>1335592</v>
          </cell>
          <cell r="D96">
            <v>709244</v>
          </cell>
          <cell r="E96">
            <v>22322793</v>
          </cell>
          <cell r="F96">
            <v>15551104</v>
          </cell>
          <cell r="G96">
            <v>7762780</v>
          </cell>
        </row>
        <row r="97">
          <cell r="A97">
            <v>8845</v>
          </cell>
          <cell r="B97">
            <v>0</v>
          </cell>
          <cell r="C97">
            <v>1494000</v>
          </cell>
          <cell r="D97">
            <v>985000</v>
          </cell>
          <cell r="E97">
            <v>26855833</v>
          </cell>
          <cell r="F97">
            <v>17906000</v>
          </cell>
          <cell r="G97">
            <v>11820000</v>
          </cell>
        </row>
        <row r="98">
          <cell r="A98">
            <v>8854</v>
          </cell>
          <cell r="B98">
            <v>0</v>
          </cell>
          <cell r="C98">
            <v>1463000</v>
          </cell>
          <cell r="D98">
            <v>963000</v>
          </cell>
          <cell r="E98">
            <v>26281666</v>
          </cell>
          <cell r="F98">
            <v>17520000</v>
          </cell>
          <cell r="G98">
            <v>11556000</v>
          </cell>
        </row>
        <row r="99">
          <cell r="A99">
            <v>8855</v>
          </cell>
          <cell r="B99">
            <v>0</v>
          </cell>
          <cell r="C99">
            <v>1169000</v>
          </cell>
          <cell r="D99">
            <v>786333</v>
          </cell>
          <cell r="E99">
            <v>21182774</v>
          </cell>
          <cell r="F99">
            <v>13995000</v>
          </cell>
          <cell r="G99">
            <v>9436000</v>
          </cell>
        </row>
        <row r="100">
          <cell r="A100">
            <v>8865</v>
          </cell>
          <cell r="B100">
            <v>411310</v>
          </cell>
          <cell r="C100">
            <v>1181626</v>
          </cell>
          <cell r="D100">
            <v>656469</v>
          </cell>
          <cell r="E100">
            <v>19912695</v>
          </cell>
          <cell r="F100">
            <v>14370647</v>
          </cell>
          <cell r="G100">
            <v>7466328</v>
          </cell>
        </row>
        <row r="101">
          <cell r="A101">
            <v>8866</v>
          </cell>
          <cell r="B101">
            <v>732210</v>
          </cell>
          <cell r="C101">
            <v>1089837</v>
          </cell>
          <cell r="D101">
            <v>690474</v>
          </cell>
          <cell r="E101">
            <v>19286702</v>
          </cell>
          <cell r="F101">
            <v>11833768</v>
          </cell>
          <cell r="G101">
            <v>7553478</v>
          </cell>
        </row>
        <row r="102">
          <cell r="A102">
            <v>8867</v>
          </cell>
          <cell r="B102">
            <v>613510</v>
          </cell>
          <cell r="C102">
            <v>1007389</v>
          </cell>
          <cell r="D102">
            <v>630902</v>
          </cell>
          <cell r="E102">
            <v>17748152</v>
          </cell>
          <cell r="F102">
            <v>11511591</v>
          </cell>
          <cell r="G102">
            <v>6957320</v>
          </cell>
        </row>
        <row r="103">
          <cell r="A103">
            <v>8870</v>
          </cell>
          <cell r="B103">
            <v>677200</v>
          </cell>
          <cell r="C103">
            <v>764529</v>
          </cell>
          <cell r="D103">
            <v>641576</v>
          </cell>
          <cell r="E103">
            <v>15232804</v>
          </cell>
          <cell r="F103">
            <v>8761410</v>
          </cell>
          <cell r="G103">
            <v>7021720</v>
          </cell>
        </row>
        <row r="104">
          <cell r="A104">
            <v>8872</v>
          </cell>
          <cell r="B104">
            <v>282030</v>
          </cell>
          <cell r="C104">
            <v>918104</v>
          </cell>
          <cell r="D104">
            <v>631883</v>
          </cell>
          <cell r="E104">
            <v>16662360</v>
          </cell>
          <cell r="F104">
            <v>10187514</v>
          </cell>
          <cell r="G104">
            <v>7300573</v>
          </cell>
        </row>
        <row r="105">
          <cell r="A105">
            <v>8874</v>
          </cell>
          <cell r="B105">
            <v>0</v>
          </cell>
          <cell r="C105">
            <v>1738000</v>
          </cell>
          <cell r="D105">
            <v>1128416</v>
          </cell>
          <cell r="E105">
            <v>30575104</v>
          </cell>
          <cell r="F105">
            <v>20196000</v>
          </cell>
          <cell r="G105">
            <v>13541000</v>
          </cell>
        </row>
        <row r="106">
          <cell r="A106">
            <v>8875</v>
          </cell>
          <cell r="B106">
            <v>519190</v>
          </cell>
          <cell r="C106">
            <v>934553</v>
          </cell>
          <cell r="D106">
            <v>644764</v>
          </cell>
          <cell r="E106">
            <v>16846048</v>
          </cell>
          <cell r="F106">
            <v>10473574</v>
          </cell>
          <cell r="G106">
            <v>7217986</v>
          </cell>
        </row>
        <row r="107">
          <cell r="A107">
            <v>8901</v>
          </cell>
          <cell r="B107">
            <v>0</v>
          </cell>
          <cell r="C107">
            <v>1463000</v>
          </cell>
          <cell r="D107">
            <v>964000</v>
          </cell>
          <cell r="E107">
            <v>24270000</v>
          </cell>
          <cell r="F107">
            <v>17556000</v>
          </cell>
          <cell r="G107">
            <v>11568000</v>
          </cell>
        </row>
        <row r="108">
          <cell r="A108">
            <v>8905</v>
          </cell>
          <cell r="B108">
            <v>0</v>
          </cell>
          <cell r="C108">
            <v>1472000</v>
          </cell>
          <cell r="D108">
            <v>970666</v>
          </cell>
          <cell r="E108">
            <v>24426660</v>
          </cell>
          <cell r="F108">
            <v>17664000</v>
          </cell>
          <cell r="G108">
            <v>11648000</v>
          </cell>
        </row>
        <row r="109">
          <cell r="A109">
            <v>8906</v>
          </cell>
          <cell r="B109">
            <v>0</v>
          </cell>
          <cell r="C109">
            <v>1461000</v>
          </cell>
          <cell r="D109">
            <v>962666</v>
          </cell>
          <cell r="E109">
            <v>24236660</v>
          </cell>
          <cell r="F109">
            <v>17532000</v>
          </cell>
          <cell r="G109">
            <v>11552000</v>
          </cell>
        </row>
        <row r="110">
          <cell r="A110">
            <v>8908</v>
          </cell>
          <cell r="B110">
            <v>0</v>
          </cell>
          <cell r="C110">
            <v>1498000</v>
          </cell>
          <cell r="D110">
            <v>974666</v>
          </cell>
          <cell r="E110">
            <v>24726660</v>
          </cell>
          <cell r="F110">
            <v>17976000</v>
          </cell>
          <cell r="G110">
            <v>11696000</v>
          </cell>
        </row>
        <row r="111">
          <cell r="A111">
            <v>8913</v>
          </cell>
          <cell r="B111">
            <v>649080</v>
          </cell>
          <cell r="C111">
            <v>908258</v>
          </cell>
          <cell r="D111">
            <v>650512</v>
          </cell>
          <cell r="E111">
            <v>15587700</v>
          </cell>
          <cell r="F111">
            <v>10797434</v>
          </cell>
          <cell r="G111">
            <v>7157074</v>
          </cell>
        </row>
        <row r="112">
          <cell r="A112">
            <v>8914</v>
          </cell>
          <cell r="B112">
            <v>244310</v>
          </cell>
          <cell r="C112">
            <v>896761</v>
          </cell>
          <cell r="D112">
            <v>590109</v>
          </cell>
          <cell r="E112">
            <v>14868700</v>
          </cell>
          <cell r="F112">
            <v>10695864</v>
          </cell>
          <cell r="G112">
            <v>6837001</v>
          </cell>
        </row>
        <row r="113">
          <cell r="A113">
            <v>8921</v>
          </cell>
          <cell r="B113">
            <v>0</v>
          </cell>
          <cell r="C113">
            <v>771000</v>
          </cell>
          <cell r="D113">
            <v>537333</v>
          </cell>
          <cell r="E113">
            <v>12974302</v>
          </cell>
          <cell r="F113">
            <v>9252000</v>
          </cell>
          <cell r="G113">
            <v>6448000</v>
          </cell>
        </row>
        <row r="114">
          <cell r="A114">
            <v>8924</v>
          </cell>
          <cell r="B114">
            <v>514800</v>
          </cell>
          <cell r="C114">
            <v>1000297</v>
          </cell>
          <cell r="D114">
            <v>643299</v>
          </cell>
          <cell r="E114">
            <v>16298993</v>
          </cell>
          <cell r="F114">
            <v>11093506</v>
          </cell>
          <cell r="G114">
            <v>7204794</v>
          </cell>
        </row>
        <row r="115">
          <cell r="A115">
            <v>8940</v>
          </cell>
          <cell r="B115">
            <v>532560</v>
          </cell>
          <cell r="C115">
            <v>1151691</v>
          </cell>
          <cell r="D115">
            <v>642484</v>
          </cell>
          <cell r="E115">
            <v>17642720</v>
          </cell>
          <cell r="F115">
            <v>13739595</v>
          </cell>
          <cell r="G115">
            <v>7177251</v>
          </cell>
        </row>
        <row r="116">
          <cell r="A116">
            <v>8946</v>
          </cell>
          <cell r="B116">
            <v>651220</v>
          </cell>
          <cell r="C116">
            <v>824002</v>
          </cell>
          <cell r="D116">
            <v>652663</v>
          </cell>
          <cell r="E116">
            <v>14397483</v>
          </cell>
          <cell r="F116">
            <v>9679068</v>
          </cell>
          <cell r="G116">
            <v>7180739</v>
          </cell>
        </row>
        <row r="117">
          <cell r="A117">
            <v>8950</v>
          </cell>
          <cell r="B117">
            <v>0</v>
          </cell>
          <cell r="C117">
            <v>729000</v>
          </cell>
          <cell r="D117">
            <v>508666</v>
          </cell>
          <cell r="E117">
            <v>11860965</v>
          </cell>
          <cell r="F117">
            <v>8748000</v>
          </cell>
          <cell r="G117">
            <v>6104000</v>
          </cell>
        </row>
        <row r="118">
          <cell r="A118">
            <v>8951</v>
          </cell>
          <cell r="B118">
            <v>175930</v>
          </cell>
          <cell r="C118">
            <v>871264</v>
          </cell>
          <cell r="D118">
            <v>601841</v>
          </cell>
          <cell r="E118">
            <v>14117256</v>
          </cell>
          <cell r="F118">
            <v>9847363</v>
          </cell>
          <cell r="G118">
            <v>7046166</v>
          </cell>
        </row>
        <row r="119">
          <cell r="A119">
            <v>8959</v>
          </cell>
          <cell r="B119">
            <v>424220</v>
          </cell>
          <cell r="C119">
            <v>871878</v>
          </cell>
          <cell r="D119">
            <v>620006</v>
          </cell>
          <cell r="E119">
            <v>13675603</v>
          </cell>
          <cell r="F119">
            <v>10208125</v>
          </cell>
          <cell r="G119">
            <v>7015856</v>
          </cell>
        </row>
        <row r="120">
          <cell r="A120">
            <v>9013</v>
          </cell>
          <cell r="B120">
            <v>725590</v>
          </cell>
          <cell r="C120">
            <v>1335275</v>
          </cell>
          <cell r="D120">
            <v>770659</v>
          </cell>
          <cell r="E120">
            <v>17900439</v>
          </cell>
          <cell r="F120">
            <v>14352879</v>
          </cell>
          <cell r="G120">
            <v>8522321</v>
          </cell>
        </row>
        <row r="121">
          <cell r="A121">
            <v>9017</v>
          </cell>
          <cell r="B121">
            <v>0</v>
          </cell>
          <cell r="C121">
            <v>1467000</v>
          </cell>
          <cell r="D121">
            <v>863500</v>
          </cell>
          <cell r="E121">
            <v>19615041</v>
          </cell>
          <cell r="F121">
            <v>15324000</v>
          </cell>
          <cell r="G121">
            <v>10362000</v>
          </cell>
        </row>
        <row r="122">
          <cell r="A122">
            <v>9018</v>
          </cell>
          <cell r="B122">
            <v>0</v>
          </cell>
          <cell r="C122">
            <v>1118000</v>
          </cell>
          <cell r="D122">
            <v>774333</v>
          </cell>
          <cell r="E122">
            <v>15927136</v>
          </cell>
          <cell r="F122">
            <v>13304000</v>
          </cell>
          <cell r="G122">
            <v>9292000</v>
          </cell>
        </row>
        <row r="123">
          <cell r="A123">
            <v>9019</v>
          </cell>
          <cell r="B123">
            <v>0</v>
          </cell>
          <cell r="C123">
            <v>1119000</v>
          </cell>
          <cell r="D123">
            <v>768333</v>
          </cell>
          <cell r="E123">
            <v>15885052</v>
          </cell>
          <cell r="F123">
            <v>13392000</v>
          </cell>
          <cell r="G123">
            <v>9220000</v>
          </cell>
        </row>
        <row r="124">
          <cell r="A124">
            <v>9020</v>
          </cell>
          <cell r="B124">
            <v>0</v>
          </cell>
          <cell r="C124">
            <v>1092000</v>
          </cell>
          <cell r="D124">
            <v>761333</v>
          </cell>
          <cell r="E124">
            <v>15598886</v>
          </cell>
          <cell r="F124">
            <v>13104000</v>
          </cell>
          <cell r="G124">
            <v>9136000</v>
          </cell>
        </row>
        <row r="125">
          <cell r="A125">
            <v>9022</v>
          </cell>
          <cell r="B125">
            <v>0</v>
          </cell>
          <cell r="C125">
            <v>1456000</v>
          </cell>
          <cell r="D125">
            <v>851833</v>
          </cell>
          <cell r="E125">
            <v>19424261</v>
          </cell>
          <cell r="F125">
            <v>14856000</v>
          </cell>
          <cell r="G125">
            <v>10222000</v>
          </cell>
        </row>
        <row r="126">
          <cell r="A126">
            <v>9104</v>
          </cell>
          <cell r="B126">
            <v>0</v>
          </cell>
          <cell r="C126">
            <v>1131000</v>
          </cell>
          <cell r="D126">
            <v>788166</v>
          </cell>
          <cell r="E126">
            <v>15193397</v>
          </cell>
          <cell r="F126">
            <v>13562000</v>
          </cell>
          <cell r="G126">
            <v>9458000</v>
          </cell>
        </row>
        <row r="127">
          <cell r="A127">
            <v>9107</v>
          </cell>
          <cell r="B127">
            <v>0</v>
          </cell>
          <cell r="C127">
            <v>1140000</v>
          </cell>
          <cell r="D127">
            <v>794166</v>
          </cell>
          <cell r="E127">
            <v>15312147</v>
          </cell>
          <cell r="F127">
            <v>13668000</v>
          </cell>
          <cell r="G127">
            <v>9530000</v>
          </cell>
        </row>
        <row r="128">
          <cell r="A128">
            <v>9110</v>
          </cell>
          <cell r="B128">
            <v>512450</v>
          </cell>
          <cell r="C128">
            <v>1029655</v>
          </cell>
          <cell r="D128">
            <v>577668</v>
          </cell>
          <cell r="E128">
            <v>12590696</v>
          </cell>
          <cell r="F128">
            <v>11607684</v>
          </cell>
          <cell r="G128">
            <v>6419576</v>
          </cell>
        </row>
        <row r="129">
          <cell r="A129">
            <v>9112</v>
          </cell>
          <cell r="B129">
            <v>361310</v>
          </cell>
          <cell r="C129">
            <v>1080666</v>
          </cell>
          <cell r="D129">
            <v>577100</v>
          </cell>
          <cell r="E129">
            <v>12985833</v>
          </cell>
          <cell r="F129">
            <v>11759929</v>
          </cell>
          <cell r="G129">
            <v>6563900</v>
          </cell>
        </row>
        <row r="130">
          <cell r="A130">
            <v>9114</v>
          </cell>
          <cell r="B130">
            <v>0</v>
          </cell>
          <cell r="C130">
            <v>1123000</v>
          </cell>
          <cell r="D130">
            <v>782833</v>
          </cell>
          <cell r="E130">
            <v>14929025</v>
          </cell>
          <cell r="F130">
            <v>13466000</v>
          </cell>
          <cell r="G130">
            <v>9394000</v>
          </cell>
        </row>
        <row r="131">
          <cell r="A131">
            <v>9115</v>
          </cell>
          <cell r="B131">
            <v>0</v>
          </cell>
          <cell r="C131">
            <v>1140000</v>
          </cell>
          <cell r="D131">
            <v>794166</v>
          </cell>
          <cell r="E131">
            <v>15150967</v>
          </cell>
          <cell r="F131">
            <v>13668000</v>
          </cell>
          <cell r="G131">
            <v>9530000</v>
          </cell>
        </row>
        <row r="132">
          <cell r="A132">
            <v>9116</v>
          </cell>
          <cell r="B132">
            <v>0</v>
          </cell>
          <cell r="C132">
            <v>1123000</v>
          </cell>
          <cell r="D132">
            <v>782833</v>
          </cell>
          <cell r="E132">
            <v>14929025</v>
          </cell>
          <cell r="F132">
            <v>13466000</v>
          </cell>
          <cell r="G132">
            <v>9394000</v>
          </cell>
        </row>
        <row r="133">
          <cell r="A133">
            <v>9120</v>
          </cell>
          <cell r="B133">
            <v>543240</v>
          </cell>
          <cell r="C133">
            <v>1184813</v>
          </cell>
          <cell r="D133">
            <v>612565</v>
          </cell>
          <cell r="E133">
            <v>13929679</v>
          </cell>
          <cell r="F133">
            <v>12682718</v>
          </cell>
          <cell r="G133">
            <v>6807544</v>
          </cell>
        </row>
        <row r="134">
          <cell r="A134">
            <v>9122</v>
          </cell>
          <cell r="B134">
            <v>546050</v>
          </cell>
          <cell r="C134">
            <v>1139519</v>
          </cell>
          <cell r="D134">
            <v>615741</v>
          </cell>
          <cell r="E134">
            <v>13603265</v>
          </cell>
          <cell r="F134">
            <v>11769078</v>
          </cell>
          <cell r="G134">
            <v>6842849</v>
          </cell>
        </row>
        <row r="135">
          <cell r="A135">
            <v>9127</v>
          </cell>
          <cell r="B135">
            <v>0</v>
          </cell>
          <cell r="C135">
            <v>705000</v>
          </cell>
          <cell r="D135">
            <v>490333</v>
          </cell>
          <cell r="E135">
            <v>9164219</v>
          </cell>
          <cell r="F135">
            <v>8442000</v>
          </cell>
          <cell r="G135">
            <v>5884000</v>
          </cell>
        </row>
        <row r="136">
          <cell r="A136">
            <v>9137</v>
          </cell>
          <cell r="B136">
            <v>558210</v>
          </cell>
          <cell r="C136">
            <v>1010555</v>
          </cell>
          <cell r="D136">
            <v>628947</v>
          </cell>
          <cell r="E136">
            <v>12432890</v>
          </cell>
          <cell r="F136">
            <v>11091061</v>
          </cell>
          <cell r="G136">
            <v>6989158</v>
          </cell>
        </row>
        <row r="137">
          <cell r="A137">
            <v>9138</v>
          </cell>
          <cell r="B137">
            <v>400950</v>
          </cell>
          <cell r="C137">
            <v>1028707</v>
          </cell>
          <cell r="D137">
            <v>707911</v>
          </cell>
          <cell r="E137">
            <v>13169353</v>
          </cell>
          <cell r="F137">
            <v>11642057</v>
          </cell>
          <cell r="G137">
            <v>8093983</v>
          </cell>
        </row>
        <row r="138">
          <cell r="A138">
            <v>9143</v>
          </cell>
          <cell r="B138">
            <v>498040</v>
          </cell>
          <cell r="C138">
            <v>1019437</v>
          </cell>
          <cell r="D138">
            <v>600069</v>
          </cell>
          <cell r="E138">
            <v>12551171</v>
          </cell>
          <cell r="F138">
            <v>11406157</v>
          </cell>
          <cell r="G138">
            <v>6702790</v>
          </cell>
        </row>
        <row r="139">
          <cell r="A139">
            <v>9153</v>
          </cell>
          <cell r="B139">
            <v>462990</v>
          </cell>
          <cell r="C139">
            <v>741603</v>
          </cell>
          <cell r="D139">
            <v>521628</v>
          </cell>
          <cell r="E139">
            <v>9579501</v>
          </cell>
          <cell r="F139">
            <v>8274939</v>
          </cell>
          <cell r="G139">
            <v>5796554</v>
          </cell>
        </row>
        <row r="140">
          <cell r="A140">
            <v>9156</v>
          </cell>
          <cell r="B140">
            <v>489250</v>
          </cell>
          <cell r="C140">
            <v>838780</v>
          </cell>
          <cell r="D140">
            <v>569217</v>
          </cell>
          <cell r="E140">
            <v>10677310</v>
          </cell>
          <cell r="F140">
            <v>9366130</v>
          </cell>
          <cell r="G140">
            <v>6341354</v>
          </cell>
        </row>
        <row r="141">
          <cell r="A141">
            <v>9159</v>
          </cell>
          <cell r="B141">
            <v>368920</v>
          </cell>
          <cell r="C141">
            <v>1067685</v>
          </cell>
          <cell r="D141">
            <v>588298</v>
          </cell>
          <cell r="E141">
            <v>12557871</v>
          </cell>
          <cell r="F141">
            <v>12105952</v>
          </cell>
          <cell r="G141">
            <v>6690666</v>
          </cell>
        </row>
        <row r="142">
          <cell r="A142">
            <v>9168</v>
          </cell>
          <cell r="B142">
            <v>569700</v>
          </cell>
          <cell r="C142">
            <v>1168579</v>
          </cell>
          <cell r="D142">
            <v>641133</v>
          </cell>
          <cell r="E142">
            <v>13572840</v>
          </cell>
          <cell r="F142">
            <v>12415446</v>
          </cell>
          <cell r="G142">
            <v>7123903</v>
          </cell>
        </row>
        <row r="143">
          <cell r="A143">
            <v>9191</v>
          </cell>
          <cell r="B143">
            <v>218980</v>
          </cell>
          <cell r="C143">
            <v>1027084</v>
          </cell>
          <cell r="D143">
            <v>569323</v>
          </cell>
          <cell r="E143">
            <v>11706984</v>
          </cell>
          <cell r="F143">
            <v>13962387</v>
          </cell>
          <cell r="G143">
            <v>6612904</v>
          </cell>
        </row>
        <row r="144">
          <cell r="A144">
            <v>9194</v>
          </cell>
          <cell r="B144">
            <v>510950</v>
          </cell>
          <cell r="C144">
            <v>949275</v>
          </cell>
          <cell r="D144">
            <v>593654</v>
          </cell>
          <cell r="E144">
            <v>11314812</v>
          </cell>
          <cell r="F144">
            <v>10480762</v>
          </cell>
          <cell r="G144">
            <v>6612904</v>
          </cell>
        </row>
        <row r="145">
          <cell r="A145">
            <v>9199</v>
          </cell>
          <cell r="B145">
            <v>0</v>
          </cell>
          <cell r="C145">
            <v>829000</v>
          </cell>
          <cell r="D145">
            <v>552659</v>
          </cell>
          <cell r="E145">
            <v>10132166</v>
          </cell>
          <cell r="F145">
            <v>9573467</v>
          </cell>
          <cell r="G145">
            <v>6631911</v>
          </cell>
        </row>
        <row r="146">
          <cell r="A146">
            <v>9203</v>
          </cell>
          <cell r="B146">
            <v>0</v>
          </cell>
          <cell r="C146">
            <v>1123000</v>
          </cell>
          <cell r="D146">
            <v>780333</v>
          </cell>
          <cell r="E146">
            <v>13323331</v>
          </cell>
          <cell r="F146">
            <v>13404000</v>
          </cell>
          <cell r="G146">
            <v>9364000</v>
          </cell>
        </row>
        <row r="147">
          <cell r="A147">
            <v>9214</v>
          </cell>
          <cell r="B147">
            <v>242760</v>
          </cell>
          <cell r="C147">
            <v>846435</v>
          </cell>
          <cell r="D147">
            <v>545897</v>
          </cell>
          <cell r="E147">
            <v>9630296</v>
          </cell>
          <cell r="F147">
            <v>9638155</v>
          </cell>
          <cell r="G147">
            <v>6308013</v>
          </cell>
        </row>
        <row r="148">
          <cell r="A148">
            <v>9222</v>
          </cell>
          <cell r="B148">
            <v>276020</v>
          </cell>
          <cell r="C148">
            <v>919881</v>
          </cell>
          <cell r="D148">
            <v>545953</v>
          </cell>
          <cell r="E148">
            <v>10138685</v>
          </cell>
          <cell r="F148">
            <v>10254541</v>
          </cell>
          <cell r="G148">
            <v>6275424</v>
          </cell>
        </row>
        <row r="149">
          <cell r="A149">
            <v>9228</v>
          </cell>
          <cell r="B149">
            <v>209940</v>
          </cell>
          <cell r="C149">
            <v>788470</v>
          </cell>
          <cell r="D149">
            <v>472286</v>
          </cell>
          <cell r="E149">
            <v>8615166</v>
          </cell>
          <cell r="F149">
            <v>8292931</v>
          </cell>
          <cell r="G149">
            <v>5457496</v>
          </cell>
        </row>
        <row r="150">
          <cell r="A150">
            <v>9229</v>
          </cell>
          <cell r="B150">
            <v>191250</v>
          </cell>
          <cell r="C150">
            <v>856283</v>
          </cell>
          <cell r="D150">
            <v>543645</v>
          </cell>
          <cell r="E150">
            <v>9566174</v>
          </cell>
          <cell r="F150">
            <v>9238146</v>
          </cell>
          <cell r="G150">
            <v>6332501</v>
          </cell>
        </row>
        <row r="151">
          <cell r="A151">
            <v>9233</v>
          </cell>
          <cell r="B151">
            <v>0</v>
          </cell>
          <cell r="C151">
            <v>1008000</v>
          </cell>
          <cell r="D151">
            <v>680666</v>
          </cell>
          <cell r="E151">
            <v>11398495</v>
          </cell>
          <cell r="F151">
            <v>12096000</v>
          </cell>
          <cell r="G151">
            <v>8168000</v>
          </cell>
        </row>
        <row r="152">
          <cell r="A152">
            <v>9243</v>
          </cell>
          <cell r="B152">
            <v>268770</v>
          </cell>
          <cell r="C152">
            <v>896772</v>
          </cell>
          <cell r="D152">
            <v>563745</v>
          </cell>
          <cell r="E152">
            <v>9858489</v>
          </cell>
          <cell r="F152">
            <v>9887450</v>
          </cell>
          <cell r="G152">
            <v>6496176</v>
          </cell>
        </row>
        <row r="153">
          <cell r="A153">
            <v>9256</v>
          </cell>
          <cell r="B153">
            <v>0</v>
          </cell>
          <cell r="C153">
            <v>875503</v>
          </cell>
          <cell r="D153">
            <v>254666</v>
          </cell>
          <cell r="E153">
            <v>7440279</v>
          </cell>
          <cell r="F153">
            <v>10204982</v>
          </cell>
          <cell r="G153">
            <v>3056000</v>
          </cell>
        </row>
        <row r="154">
          <cell r="A154">
            <v>9260</v>
          </cell>
          <cell r="B154">
            <v>0</v>
          </cell>
          <cell r="C154">
            <v>705000</v>
          </cell>
          <cell r="D154">
            <v>491333</v>
          </cell>
          <cell r="E154">
            <v>7875858</v>
          </cell>
          <cell r="F154">
            <v>8460000</v>
          </cell>
          <cell r="G154">
            <v>5896000</v>
          </cell>
        </row>
        <row r="155">
          <cell r="A155">
            <v>9265</v>
          </cell>
          <cell r="B155">
            <v>0</v>
          </cell>
          <cell r="C155">
            <v>1118000</v>
          </cell>
          <cell r="D155">
            <v>779333</v>
          </cell>
          <cell r="E155">
            <v>12016442</v>
          </cell>
          <cell r="F155">
            <v>13416000</v>
          </cell>
          <cell r="G155">
            <v>9352000</v>
          </cell>
        </row>
        <row r="156">
          <cell r="A156">
            <v>9268</v>
          </cell>
          <cell r="B156">
            <v>451160</v>
          </cell>
          <cell r="C156">
            <v>863838</v>
          </cell>
          <cell r="D156">
            <v>544678</v>
          </cell>
          <cell r="E156">
            <v>8920601</v>
          </cell>
          <cell r="F156">
            <v>9291679</v>
          </cell>
          <cell r="G156">
            <v>6084981</v>
          </cell>
        </row>
        <row r="157">
          <cell r="A157">
            <v>9271</v>
          </cell>
          <cell r="B157">
            <v>0</v>
          </cell>
          <cell r="C157">
            <v>800000</v>
          </cell>
          <cell r="D157">
            <v>538000</v>
          </cell>
          <cell r="E157">
            <v>8362500</v>
          </cell>
          <cell r="F157">
            <v>9439000</v>
          </cell>
          <cell r="G157">
            <v>6456000</v>
          </cell>
        </row>
        <row r="158">
          <cell r="A158">
            <v>9272</v>
          </cell>
          <cell r="B158">
            <v>356220</v>
          </cell>
          <cell r="C158">
            <v>720129</v>
          </cell>
          <cell r="D158">
            <v>479821</v>
          </cell>
          <cell r="E158">
            <v>7499687</v>
          </cell>
          <cell r="F158">
            <v>7671026</v>
          </cell>
          <cell r="G158">
            <v>5401632</v>
          </cell>
        </row>
        <row r="159">
          <cell r="A159">
            <v>9277</v>
          </cell>
          <cell r="B159">
            <v>487000</v>
          </cell>
          <cell r="C159">
            <v>1191103</v>
          </cell>
          <cell r="D159">
            <v>588078</v>
          </cell>
          <cell r="E159">
            <v>10971616</v>
          </cell>
          <cell r="F159">
            <v>13969344</v>
          </cell>
          <cell r="G159">
            <v>6569937</v>
          </cell>
        </row>
        <row r="160">
          <cell r="A160">
            <v>9279</v>
          </cell>
          <cell r="B160">
            <v>0</v>
          </cell>
          <cell r="C160">
            <v>1084000</v>
          </cell>
          <cell r="D160">
            <v>756000</v>
          </cell>
          <cell r="E160">
            <v>11500000</v>
          </cell>
          <cell r="F160">
            <v>13018000</v>
          </cell>
          <cell r="G160">
            <v>9072000</v>
          </cell>
        </row>
        <row r="161">
          <cell r="A161">
            <v>9280</v>
          </cell>
          <cell r="B161">
            <v>0</v>
          </cell>
          <cell r="C161">
            <v>1084000</v>
          </cell>
          <cell r="D161">
            <v>756000</v>
          </cell>
          <cell r="E161">
            <v>11500000</v>
          </cell>
          <cell r="F161">
            <v>13008000</v>
          </cell>
          <cell r="G161">
            <v>9072000</v>
          </cell>
        </row>
        <row r="162">
          <cell r="A162">
            <v>9281</v>
          </cell>
          <cell r="B162">
            <v>0</v>
          </cell>
          <cell r="C162">
            <v>1061000</v>
          </cell>
          <cell r="D162">
            <v>739333</v>
          </cell>
          <cell r="E162">
            <v>11252081</v>
          </cell>
          <cell r="F162">
            <v>12732000</v>
          </cell>
          <cell r="G162">
            <v>8872000</v>
          </cell>
        </row>
        <row r="163">
          <cell r="A163">
            <v>9284</v>
          </cell>
          <cell r="B163">
            <v>201580</v>
          </cell>
          <cell r="C163">
            <v>765508</v>
          </cell>
          <cell r="D163">
            <v>526596</v>
          </cell>
          <cell r="E163">
            <v>7860299</v>
          </cell>
          <cell r="F163">
            <v>8721914</v>
          </cell>
          <cell r="G163">
            <v>6117575</v>
          </cell>
        </row>
        <row r="164">
          <cell r="A164">
            <v>9286</v>
          </cell>
          <cell r="B164">
            <v>75570</v>
          </cell>
          <cell r="C164">
            <v>958656</v>
          </cell>
          <cell r="D164">
            <v>579264</v>
          </cell>
          <cell r="E164">
            <v>9355680</v>
          </cell>
          <cell r="F164">
            <v>9714246</v>
          </cell>
          <cell r="G164">
            <v>6875606</v>
          </cell>
        </row>
        <row r="165">
          <cell r="A165">
            <v>9305</v>
          </cell>
          <cell r="B165">
            <v>29370</v>
          </cell>
          <cell r="C165">
            <v>676717</v>
          </cell>
          <cell r="D165">
            <v>447675</v>
          </cell>
          <cell r="E165">
            <v>6652652</v>
          </cell>
          <cell r="F165">
            <v>7663002</v>
          </cell>
          <cell r="G165">
            <v>5342732</v>
          </cell>
        </row>
        <row r="166">
          <cell r="A166">
            <v>9308</v>
          </cell>
          <cell r="B166">
            <v>0</v>
          </cell>
          <cell r="C166">
            <v>1079666</v>
          </cell>
          <cell r="D166">
            <v>703166</v>
          </cell>
          <cell r="E166">
            <v>10399853</v>
          </cell>
          <cell r="F166">
            <v>11986000</v>
          </cell>
          <cell r="G166">
            <v>8438000</v>
          </cell>
        </row>
        <row r="167">
          <cell r="A167">
            <v>9309</v>
          </cell>
          <cell r="B167">
            <v>0</v>
          </cell>
          <cell r="C167">
            <v>1082000</v>
          </cell>
          <cell r="D167">
            <v>708083</v>
          </cell>
          <cell r="E167">
            <v>10442150</v>
          </cell>
          <cell r="F167">
            <v>12132000</v>
          </cell>
          <cell r="G167">
            <v>8497000</v>
          </cell>
        </row>
        <row r="168">
          <cell r="A168">
            <v>9313</v>
          </cell>
          <cell r="B168">
            <v>149120</v>
          </cell>
          <cell r="C168">
            <v>914042</v>
          </cell>
          <cell r="D168">
            <v>514446</v>
          </cell>
          <cell r="E168">
            <v>8332846</v>
          </cell>
          <cell r="F168">
            <v>9202553</v>
          </cell>
          <cell r="G168">
            <v>6024239</v>
          </cell>
        </row>
        <row r="169">
          <cell r="A169">
            <v>9319</v>
          </cell>
          <cell r="B169">
            <v>440780</v>
          </cell>
          <cell r="C169">
            <v>1383187</v>
          </cell>
          <cell r="D169">
            <v>571082</v>
          </cell>
          <cell r="E169">
            <v>11399902</v>
          </cell>
          <cell r="F169">
            <v>13068430</v>
          </cell>
          <cell r="G169">
            <v>6412205</v>
          </cell>
        </row>
        <row r="170">
          <cell r="A170">
            <v>9320</v>
          </cell>
          <cell r="B170">
            <v>404550</v>
          </cell>
          <cell r="C170">
            <v>820922</v>
          </cell>
          <cell r="D170">
            <v>544498</v>
          </cell>
          <cell r="E170">
            <v>7964950</v>
          </cell>
          <cell r="F170">
            <v>9092257</v>
          </cell>
          <cell r="G170">
            <v>6129426</v>
          </cell>
        </row>
        <row r="171">
          <cell r="A171">
            <v>9323</v>
          </cell>
          <cell r="B171">
            <v>397660</v>
          </cell>
          <cell r="C171">
            <v>1237437</v>
          </cell>
          <cell r="D171">
            <v>535158</v>
          </cell>
          <cell r="E171">
            <v>10340137</v>
          </cell>
          <cell r="F171">
            <v>11975287</v>
          </cell>
          <cell r="G171">
            <v>6024239</v>
          </cell>
        </row>
        <row r="172">
          <cell r="A172">
            <v>9326</v>
          </cell>
          <cell r="B172">
            <v>176310</v>
          </cell>
          <cell r="C172">
            <v>1049458</v>
          </cell>
          <cell r="D172">
            <v>549042</v>
          </cell>
          <cell r="E172">
            <v>9191375</v>
          </cell>
          <cell r="F172">
            <v>11302987</v>
          </cell>
          <cell r="G172">
            <v>6412205</v>
          </cell>
        </row>
        <row r="173">
          <cell r="A173">
            <v>9331</v>
          </cell>
          <cell r="B173">
            <v>337860</v>
          </cell>
          <cell r="C173">
            <v>694182</v>
          </cell>
          <cell r="D173">
            <v>472372</v>
          </cell>
          <cell r="E173">
            <v>6610472</v>
          </cell>
          <cell r="F173">
            <v>7642286</v>
          </cell>
          <cell r="G173">
            <v>5330608</v>
          </cell>
        </row>
        <row r="174">
          <cell r="A174">
            <v>9336</v>
          </cell>
          <cell r="B174">
            <v>0</v>
          </cell>
          <cell r="C174">
            <v>1055000</v>
          </cell>
          <cell r="D174">
            <v>688916</v>
          </cell>
          <cell r="E174">
            <v>9882190</v>
          </cell>
          <cell r="F174">
            <v>11798000</v>
          </cell>
          <cell r="G174">
            <v>8267000</v>
          </cell>
        </row>
        <row r="175">
          <cell r="A175">
            <v>9337</v>
          </cell>
          <cell r="B175">
            <v>0</v>
          </cell>
          <cell r="C175">
            <v>1047000</v>
          </cell>
          <cell r="D175">
            <v>683583</v>
          </cell>
          <cell r="E175">
            <v>9806637</v>
          </cell>
          <cell r="F175">
            <v>11702000</v>
          </cell>
          <cell r="G175">
            <v>8203000</v>
          </cell>
        </row>
        <row r="176">
          <cell r="A176">
            <v>9346</v>
          </cell>
          <cell r="B176">
            <v>452600</v>
          </cell>
          <cell r="C176">
            <v>1014193</v>
          </cell>
          <cell r="D176">
            <v>585985</v>
          </cell>
          <cell r="E176">
            <v>8934327</v>
          </cell>
          <cell r="F176">
            <v>10944238</v>
          </cell>
          <cell r="G176">
            <v>6579226</v>
          </cell>
        </row>
        <row r="177">
          <cell r="A177">
            <v>9347</v>
          </cell>
          <cell r="B177">
            <v>36010</v>
          </cell>
          <cell r="C177">
            <v>925578</v>
          </cell>
          <cell r="D177">
            <v>547822</v>
          </cell>
          <cell r="E177">
            <v>8226483</v>
          </cell>
          <cell r="F177">
            <v>10031452</v>
          </cell>
          <cell r="G177">
            <v>6537857</v>
          </cell>
        </row>
        <row r="178">
          <cell r="A178">
            <v>9350</v>
          </cell>
          <cell r="B178">
            <v>445430</v>
          </cell>
          <cell r="C178">
            <v>994526</v>
          </cell>
          <cell r="D178">
            <v>571065</v>
          </cell>
          <cell r="E178">
            <v>8741216</v>
          </cell>
          <cell r="F178">
            <v>10520889</v>
          </cell>
          <cell r="G178">
            <v>6407357</v>
          </cell>
        </row>
        <row r="179">
          <cell r="A179">
            <v>9352</v>
          </cell>
          <cell r="B179">
            <v>0</v>
          </cell>
          <cell r="C179">
            <v>1082000</v>
          </cell>
          <cell r="D179">
            <v>707083</v>
          </cell>
          <cell r="E179">
            <v>9989046</v>
          </cell>
          <cell r="F179">
            <v>12108000</v>
          </cell>
          <cell r="G179">
            <v>8485000</v>
          </cell>
        </row>
        <row r="180">
          <cell r="A180">
            <v>9353</v>
          </cell>
          <cell r="B180">
            <v>0</v>
          </cell>
          <cell r="C180">
            <v>705000</v>
          </cell>
          <cell r="D180">
            <v>489833</v>
          </cell>
          <cell r="E180">
            <v>6671150</v>
          </cell>
          <cell r="F180">
            <v>8424000</v>
          </cell>
          <cell r="G180">
            <v>5878000</v>
          </cell>
        </row>
        <row r="181">
          <cell r="A181">
            <v>9354</v>
          </cell>
          <cell r="B181">
            <v>0</v>
          </cell>
          <cell r="C181">
            <v>698000</v>
          </cell>
          <cell r="D181">
            <v>485166</v>
          </cell>
          <cell r="E181">
            <v>6606010</v>
          </cell>
          <cell r="F181">
            <v>8340000</v>
          </cell>
          <cell r="G181">
            <v>5822000</v>
          </cell>
        </row>
        <row r="182">
          <cell r="A182">
            <v>9355</v>
          </cell>
          <cell r="B182">
            <v>0</v>
          </cell>
          <cell r="C182">
            <v>712666</v>
          </cell>
          <cell r="D182">
            <v>495833</v>
          </cell>
          <cell r="E182">
            <v>6747452</v>
          </cell>
          <cell r="F182">
            <v>8447000</v>
          </cell>
          <cell r="G182">
            <v>5950000</v>
          </cell>
        </row>
        <row r="183">
          <cell r="A183">
            <v>9358</v>
          </cell>
          <cell r="B183">
            <v>303410</v>
          </cell>
          <cell r="C183">
            <v>895312</v>
          </cell>
          <cell r="D183">
            <v>535059</v>
          </cell>
          <cell r="E183">
            <v>7867040</v>
          </cell>
          <cell r="F183">
            <v>9451566</v>
          </cell>
          <cell r="G183">
            <v>6117304</v>
          </cell>
        </row>
        <row r="184">
          <cell r="A184">
            <v>9359</v>
          </cell>
          <cell r="B184">
            <v>477290</v>
          </cell>
          <cell r="C184">
            <v>1152518</v>
          </cell>
          <cell r="D184">
            <v>616986</v>
          </cell>
          <cell r="E184">
            <v>9732272</v>
          </cell>
          <cell r="F184">
            <v>12077744</v>
          </cell>
          <cell r="G184">
            <v>6926547</v>
          </cell>
        </row>
        <row r="185">
          <cell r="A185">
            <v>9363</v>
          </cell>
          <cell r="B185">
            <v>150790</v>
          </cell>
          <cell r="C185">
            <v>1132510</v>
          </cell>
          <cell r="D185">
            <v>518525</v>
          </cell>
          <cell r="E185">
            <v>9080692</v>
          </cell>
          <cell r="F185">
            <v>10416139</v>
          </cell>
          <cell r="G185">
            <v>6071521</v>
          </cell>
        </row>
        <row r="186">
          <cell r="A186">
            <v>9371</v>
          </cell>
          <cell r="B186">
            <v>0</v>
          </cell>
          <cell r="C186">
            <v>707000</v>
          </cell>
          <cell r="D186">
            <v>483000</v>
          </cell>
          <cell r="E186">
            <v>6346666</v>
          </cell>
          <cell r="F186">
            <v>8246000</v>
          </cell>
          <cell r="G186">
            <v>5796000</v>
          </cell>
        </row>
        <row r="187">
          <cell r="A187">
            <v>9372</v>
          </cell>
          <cell r="B187">
            <v>410570</v>
          </cell>
          <cell r="C187">
            <v>1173844</v>
          </cell>
          <cell r="D187">
            <v>529751</v>
          </cell>
          <cell r="E187">
            <v>8943873</v>
          </cell>
          <cell r="F187">
            <v>13268844</v>
          </cell>
          <cell r="G187">
            <v>5946452</v>
          </cell>
        </row>
        <row r="188">
          <cell r="A188">
            <v>9374</v>
          </cell>
          <cell r="B188">
            <v>290730</v>
          </cell>
          <cell r="C188">
            <v>723088</v>
          </cell>
          <cell r="D188">
            <v>462273</v>
          </cell>
          <cell r="E188">
            <v>6223145</v>
          </cell>
          <cell r="F188">
            <v>7621691</v>
          </cell>
          <cell r="G188">
            <v>5256554</v>
          </cell>
        </row>
        <row r="189">
          <cell r="A189">
            <v>9377</v>
          </cell>
          <cell r="B189">
            <v>0</v>
          </cell>
          <cell r="C189">
            <v>768854</v>
          </cell>
          <cell r="D189">
            <v>541786</v>
          </cell>
          <cell r="E189">
            <v>6880860</v>
          </cell>
          <cell r="F189">
            <v>8928128</v>
          </cell>
          <cell r="G189">
            <v>6501434</v>
          </cell>
        </row>
        <row r="190">
          <cell r="A190">
            <v>9384</v>
          </cell>
          <cell r="B190">
            <v>350900</v>
          </cell>
          <cell r="C190">
            <v>936905</v>
          </cell>
          <cell r="D190">
            <v>533039</v>
          </cell>
          <cell r="E190">
            <v>7594710</v>
          </cell>
          <cell r="F190">
            <v>11849877</v>
          </cell>
          <cell r="G190">
            <v>6045577</v>
          </cell>
        </row>
        <row r="191">
          <cell r="A191">
            <v>9401</v>
          </cell>
          <cell r="B191">
            <v>0</v>
          </cell>
          <cell r="C191">
            <v>968000</v>
          </cell>
          <cell r="D191">
            <v>654000</v>
          </cell>
          <cell r="E191">
            <v>8110000</v>
          </cell>
          <cell r="F191">
            <v>11376000</v>
          </cell>
          <cell r="G191">
            <v>7848000</v>
          </cell>
        </row>
        <row r="192">
          <cell r="A192">
            <v>9403</v>
          </cell>
          <cell r="B192">
            <v>0</v>
          </cell>
          <cell r="C192">
            <v>955000</v>
          </cell>
          <cell r="D192">
            <v>666000</v>
          </cell>
          <cell r="E192">
            <v>8105000</v>
          </cell>
          <cell r="F192">
            <v>11460000</v>
          </cell>
          <cell r="G192">
            <v>7992000</v>
          </cell>
        </row>
        <row r="193">
          <cell r="A193">
            <v>9404</v>
          </cell>
          <cell r="B193">
            <v>0</v>
          </cell>
          <cell r="C193">
            <v>960000</v>
          </cell>
          <cell r="D193">
            <v>665333</v>
          </cell>
          <cell r="E193">
            <v>8126665</v>
          </cell>
          <cell r="F193">
            <v>11428000</v>
          </cell>
          <cell r="G193">
            <v>7984000</v>
          </cell>
        </row>
        <row r="194">
          <cell r="A194">
            <v>9405</v>
          </cell>
          <cell r="B194">
            <v>0</v>
          </cell>
          <cell r="C194">
            <v>920000</v>
          </cell>
          <cell r="D194">
            <v>642000</v>
          </cell>
          <cell r="E194">
            <v>7810000</v>
          </cell>
          <cell r="F194">
            <v>11040000</v>
          </cell>
          <cell r="G194">
            <v>7704000</v>
          </cell>
        </row>
        <row r="195">
          <cell r="A195">
            <v>9406</v>
          </cell>
          <cell r="B195">
            <v>0</v>
          </cell>
          <cell r="C195">
            <v>966000</v>
          </cell>
          <cell r="D195">
            <v>651333</v>
          </cell>
          <cell r="E195">
            <v>8086665</v>
          </cell>
          <cell r="F195">
            <v>11408000</v>
          </cell>
          <cell r="G195">
            <v>7816000</v>
          </cell>
        </row>
        <row r="196">
          <cell r="A196">
            <v>9407</v>
          </cell>
          <cell r="B196">
            <v>0</v>
          </cell>
          <cell r="C196">
            <v>961000</v>
          </cell>
          <cell r="D196">
            <v>667000</v>
          </cell>
          <cell r="E196">
            <v>8140000</v>
          </cell>
          <cell r="F196">
            <v>11448000</v>
          </cell>
          <cell r="G196">
            <v>8004000</v>
          </cell>
        </row>
        <row r="197">
          <cell r="A197">
            <v>9410</v>
          </cell>
          <cell r="B197">
            <v>343510</v>
          </cell>
          <cell r="C197">
            <v>721802</v>
          </cell>
          <cell r="D197">
            <v>481574</v>
          </cell>
          <cell r="E197">
            <v>6016880</v>
          </cell>
          <cell r="F197">
            <v>7942058</v>
          </cell>
          <cell r="G197">
            <v>5435385</v>
          </cell>
        </row>
        <row r="198">
          <cell r="A198">
            <v>9414</v>
          </cell>
          <cell r="B198">
            <v>146610</v>
          </cell>
          <cell r="C198">
            <v>1019690</v>
          </cell>
          <cell r="D198">
            <v>506492</v>
          </cell>
          <cell r="E198">
            <v>7630910</v>
          </cell>
          <cell r="F198">
            <v>11046694</v>
          </cell>
          <cell r="G198">
            <v>5931297</v>
          </cell>
        </row>
        <row r="199">
          <cell r="A199">
            <v>9418</v>
          </cell>
          <cell r="B199">
            <v>327780</v>
          </cell>
          <cell r="C199">
            <v>734437</v>
          </cell>
          <cell r="D199">
            <v>459443</v>
          </cell>
          <cell r="E199">
            <v>5869910</v>
          </cell>
          <cell r="F199">
            <v>8564053</v>
          </cell>
          <cell r="G199">
            <v>5185536</v>
          </cell>
        </row>
        <row r="200">
          <cell r="A200">
            <v>9420</v>
          </cell>
          <cell r="B200">
            <v>324650</v>
          </cell>
          <cell r="C200">
            <v>879466</v>
          </cell>
          <cell r="D200">
            <v>519583</v>
          </cell>
          <cell r="E200">
            <v>6878657</v>
          </cell>
          <cell r="F200">
            <v>9351062</v>
          </cell>
          <cell r="G200">
            <v>5910349</v>
          </cell>
        </row>
        <row r="201">
          <cell r="A201">
            <v>9424</v>
          </cell>
          <cell r="B201">
            <v>327780</v>
          </cell>
          <cell r="C201">
            <v>680610</v>
          </cell>
          <cell r="D201">
            <v>459443</v>
          </cell>
          <cell r="E201">
            <v>5510256</v>
          </cell>
          <cell r="F201">
            <v>7289390</v>
          </cell>
          <cell r="G201">
            <v>5185536</v>
          </cell>
        </row>
        <row r="202">
          <cell r="A202">
            <v>9428</v>
          </cell>
          <cell r="B202">
            <v>288740</v>
          </cell>
          <cell r="C202">
            <v>664640</v>
          </cell>
          <cell r="D202">
            <v>461847</v>
          </cell>
          <cell r="E202">
            <v>5444687</v>
          </cell>
          <cell r="F202">
            <v>7462446</v>
          </cell>
          <cell r="G202">
            <v>5253426</v>
          </cell>
        </row>
        <row r="203">
          <cell r="A203">
            <v>9433</v>
          </cell>
          <cell r="B203">
            <v>213370</v>
          </cell>
          <cell r="C203">
            <v>760608</v>
          </cell>
          <cell r="D203">
            <v>480040</v>
          </cell>
          <cell r="E203">
            <v>5996465</v>
          </cell>
          <cell r="F203">
            <v>8003342</v>
          </cell>
          <cell r="G203">
            <v>5547113</v>
          </cell>
        </row>
        <row r="204">
          <cell r="A204">
            <v>9438</v>
          </cell>
          <cell r="B204">
            <v>203280</v>
          </cell>
          <cell r="C204">
            <v>1050931</v>
          </cell>
          <cell r="D204">
            <v>530495</v>
          </cell>
          <cell r="E204">
            <v>7511773</v>
          </cell>
          <cell r="F204">
            <v>10886750</v>
          </cell>
          <cell r="G204">
            <v>6162671</v>
          </cell>
        </row>
        <row r="205">
          <cell r="A205">
            <v>9439</v>
          </cell>
          <cell r="B205">
            <v>32280</v>
          </cell>
          <cell r="C205">
            <v>871634</v>
          </cell>
          <cell r="D205">
            <v>492503</v>
          </cell>
          <cell r="E205">
            <v>6479650</v>
          </cell>
          <cell r="F205">
            <v>10575029</v>
          </cell>
          <cell r="G205">
            <v>5877761</v>
          </cell>
        </row>
        <row r="206">
          <cell r="A206">
            <v>9446</v>
          </cell>
          <cell r="B206">
            <v>340580</v>
          </cell>
          <cell r="C206">
            <v>900955</v>
          </cell>
          <cell r="D206">
            <v>545158</v>
          </cell>
          <cell r="E206">
            <v>6748527</v>
          </cell>
          <cell r="F206">
            <v>10124202</v>
          </cell>
          <cell r="G206">
            <v>6201321</v>
          </cell>
        </row>
        <row r="207">
          <cell r="A207">
            <v>9447</v>
          </cell>
          <cell r="B207">
            <v>234690</v>
          </cell>
          <cell r="C207">
            <v>832350</v>
          </cell>
          <cell r="D207">
            <v>523200</v>
          </cell>
          <cell r="E207">
            <v>6325900</v>
          </cell>
          <cell r="F207">
            <v>8850325</v>
          </cell>
          <cell r="G207">
            <v>6043711</v>
          </cell>
        </row>
        <row r="208">
          <cell r="A208">
            <v>9449</v>
          </cell>
          <cell r="B208">
            <v>61490</v>
          </cell>
          <cell r="C208">
            <v>1060773</v>
          </cell>
          <cell r="D208">
            <v>471320</v>
          </cell>
          <cell r="E208">
            <v>7022092</v>
          </cell>
          <cell r="F208">
            <v>11650889</v>
          </cell>
          <cell r="G208">
            <v>5594353</v>
          </cell>
        </row>
        <row r="209">
          <cell r="A209">
            <v>9452</v>
          </cell>
          <cell r="B209">
            <v>0</v>
          </cell>
          <cell r="C209">
            <v>685000</v>
          </cell>
          <cell r="D209">
            <v>478000</v>
          </cell>
          <cell r="E209">
            <v>5330416</v>
          </cell>
          <cell r="F209">
            <v>8220000</v>
          </cell>
          <cell r="G209">
            <v>5736000</v>
          </cell>
        </row>
        <row r="210">
          <cell r="A210">
            <v>9453</v>
          </cell>
          <cell r="B210">
            <v>327780</v>
          </cell>
          <cell r="C210">
            <v>727922</v>
          </cell>
          <cell r="D210">
            <v>459443</v>
          </cell>
          <cell r="E210">
            <v>5442089</v>
          </cell>
          <cell r="F210">
            <v>7899659</v>
          </cell>
          <cell r="G210">
            <v>5185536</v>
          </cell>
        </row>
        <row r="211">
          <cell r="A211">
            <v>9454</v>
          </cell>
          <cell r="B211">
            <v>294010</v>
          </cell>
          <cell r="C211">
            <v>807415</v>
          </cell>
          <cell r="D211">
            <v>549360</v>
          </cell>
          <cell r="E211">
            <v>6218552</v>
          </cell>
          <cell r="F211">
            <v>9026359</v>
          </cell>
          <cell r="G211">
            <v>6298314</v>
          </cell>
        </row>
        <row r="212">
          <cell r="A212">
            <v>9457</v>
          </cell>
          <cell r="B212">
            <v>327650</v>
          </cell>
          <cell r="C212">
            <v>919394</v>
          </cell>
          <cell r="D212">
            <v>550644</v>
          </cell>
          <cell r="E212">
            <v>6492667</v>
          </cell>
          <cell r="F212">
            <v>10402262</v>
          </cell>
          <cell r="G212">
            <v>6280081</v>
          </cell>
        </row>
        <row r="213">
          <cell r="A213">
            <v>9458</v>
          </cell>
          <cell r="B213">
            <v>362140</v>
          </cell>
          <cell r="C213">
            <v>881072</v>
          </cell>
          <cell r="D213">
            <v>553518</v>
          </cell>
          <cell r="E213">
            <v>6336105</v>
          </cell>
          <cell r="F213">
            <v>10033423</v>
          </cell>
          <cell r="G213">
            <v>6280081</v>
          </cell>
        </row>
        <row r="214">
          <cell r="A214">
            <v>9460</v>
          </cell>
          <cell r="B214">
            <v>0</v>
          </cell>
          <cell r="C214">
            <v>1936433</v>
          </cell>
          <cell r="D214">
            <v>944000</v>
          </cell>
          <cell r="E214">
            <v>12481876</v>
          </cell>
          <cell r="F214">
            <v>23299213</v>
          </cell>
          <cell r="G214">
            <v>11328000</v>
          </cell>
        </row>
        <row r="215">
          <cell r="A215">
            <v>9463</v>
          </cell>
          <cell r="B215">
            <v>436050</v>
          </cell>
          <cell r="C215">
            <v>1138145</v>
          </cell>
          <cell r="D215">
            <v>611276</v>
          </cell>
          <cell r="E215">
            <v>7580824</v>
          </cell>
          <cell r="F215">
            <v>12370807</v>
          </cell>
          <cell r="G215">
            <v>6899273</v>
          </cell>
        </row>
        <row r="216">
          <cell r="A216">
            <v>9464</v>
          </cell>
          <cell r="B216">
            <v>386250</v>
          </cell>
          <cell r="C216">
            <v>966985</v>
          </cell>
          <cell r="D216">
            <v>539261</v>
          </cell>
          <cell r="E216">
            <v>6527066</v>
          </cell>
          <cell r="F216">
            <v>10543909</v>
          </cell>
          <cell r="G216">
            <v>6084883</v>
          </cell>
        </row>
        <row r="217">
          <cell r="A217">
            <v>9467</v>
          </cell>
          <cell r="B217">
            <v>339840</v>
          </cell>
          <cell r="C217">
            <v>826703</v>
          </cell>
          <cell r="D217">
            <v>519329</v>
          </cell>
          <cell r="E217">
            <v>5720636</v>
          </cell>
          <cell r="F217">
            <v>9310784</v>
          </cell>
          <cell r="G217">
            <v>5892113</v>
          </cell>
        </row>
        <row r="218">
          <cell r="A218">
            <v>9468</v>
          </cell>
          <cell r="B218">
            <v>265870</v>
          </cell>
          <cell r="C218">
            <v>790897</v>
          </cell>
          <cell r="D218">
            <v>515274</v>
          </cell>
          <cell r="E218">
            <v>5551226</v>
          </cell>
          <cell r="F218">
            <v>8506746</v>
          </cell>
          <cell r="G218">
            <v>5917428</v>
          </cell>
        </row>
        <row r="219">
          <cell r="A219">
            <v>9472</v>
          </cell>
          <cell r="B219">
            <v>130320</v>
          </cell>
          <cell r="C219">
            <v>793615</v>
          </cell>
          <cell r="D219">
            <v>505134</v>
          </cell>
          <cell r="E219">
            <v>5411454</v>
          </cell>
          <cell r="F219">
            <v>8442229</v>
          </cell>
          <cell r="G219">
            <v>5931297</v>
          </cell>
        </row>
        <row r="220">
          <cell r="A220">
            <v>9473</v>
          </cell>
          <cell r="B220">
            <v>367930</v>
          </cell>
          <cell r="C220">
            <v>1103049</v>
          </cell>
          <cell r="D220">
            <v>516012</v>
          </cell>
          <cell r="E220">
            <v>6746087</v>
          </cell>
          <cell r="F220">
            <v>12886646</v>
          </cell>
          <cell r="G220">
            <v>5824221</v>
          </cell>
        </row>
        <row r="221">
          <cell r="A221">
            <v>9475</v>
          </cell>
          <cell r="B221">
            <v>331290</v>
          </cell>
          <cell r="C221">
            <v>668168</v>
          </cell>
          <cell r="D221">
            <v>464390</v>
          </cell>
          <cell r="E221">
            <v>4718991</v>
          </cell>
          <cell r="F221">
            <v>8149752</v>
          </cell>
          <cell r="G221">
            <v>5241399</v>
          </cell>
        </row>
        <row r="222">
          <cell r="A222">
            <v>9480</v>
          </cell>
          <cell r="B222">
            <v>0</v>
          </cell>
          <cell r="C222">
            <v>692000</v>
          </cell>
          <cell r="D222">
            <v>482666</v>
          </cell>
          <cell r="E222">
            <v>4796552</v>
          </cell>
          <cell r="F222">
            <v>8304000</v>
          </cell>
          <cell r="G222">
            <v>5792000</v>
          </cell>
        </row>
        <row r="223">
          <cell r="A223">
            <v>9481</v>
          </cell>
          <cell r="B223">
            <v>0</v>
          </cell>
          <cell r="C223">
            <v>715000</v>
          </cell>
          <cell r="D223">
            <v>498666</v>
          </cell>
          <cell r="E223">
            <v>4955802</v>
          </cell>
          <cell r="F223">
            <v>8580000</v>
          </cell>
          <cell r="G223">
            <v>5984000</v>
          </cell>
        </row>
        <row r="224">
          <cell r="A224">
            <v>9502</v>
          </cell>
          <cell r="B224">
            <v>110950</v>
          </cell>
          <cell r="C224">
            <v>912093</v>
          </cell>
          <cell r="D224">
            <v>489774</v>
          </cell>
          <cell r="E224">
            <v>5490645</v>
          </cell>
          <cell r="F224">
            <v>9163493</v>
          </cell>
          <cell r="G224">
            <v>5766341</v>
          </cell>
        </row>
        <row r="225">
          <cell r="A225">
            <v>9503</v>
          </cell>
          <cell r="B225">
            <v>292850</v>
          </cell>
          <cell r="C225">
            <v>832311</v>
          </cell>
          <cell r="D225">
            <v>446463</v>
          </cell>
          <cell r="E225">
            <v>5008531</v>
          </cell>
          <cell r="F225">
            <v>8536637</v>
          </cell>
          <cell r="G225">
            <v>5064707</v>
          </cell>
        </row>
        <row r="226">
          <cell r="A226">
            <v>9506</v>
          </cell>
          <cell r="B226">
            <v>0</v>
          </cell>
          <cell r="C226">
            <v>771707</v>
          </cell>
          <cell r="D226">
            <v>230083</v>
          </cell>
          <cell r="E226">
            <v>3923677</v>
          </cell>
          <cell r="F226">
            <v>9157158</v>
          </cell>
          <cell r="G226">
            <v>2761000</v>
          </cell>
        </row>
        <row r="227">
          <cell r="A227">
            <v>9507</v>
          </cell>
          <cell r="B227">
            <v>0</v>
          </cell>
          <cell r="C227">
            <v>924000</v>
          </cell>
          <cell r="D227">
            <v>643500</v>
          </cell>
          <cell r="E227">
            <v>6008750</v>
          </cell>
          <cell r="F227">
            <v>11076000</v>
          </cell>
          <cell r="G227">
            <v>7722000</v>
          </cell>
        </row>
        <row r="228">
          <cell r="A228">
            <v>9509</v>
          </cell>
          <cell r="B228">
            <v>0</v>
          </cell>
          <cell r="C228">
            <v>928000</v>
          </cell>
          <cell r="D228">
            <v>646500</v>
          </cell>
          <cell r="E228">
            <v>6035583</v>
          </cell>
          <cell r="F228">
            <v>11088000</v>
          </cell>
          <cell r="G228">
            <v>7758000</v>
          </cell>
        </row>
        <row r="229">
          <cell r="A229">
            <v>9516</v>
          </cell>
          <cell r="B229">
            <v>0</v>
          </cell>
          <cell r="C229">
            <v>795388</v>
          </cell>
          <cell r="D229">
            <v>233833</v>
          </cell>
          <cell r="E229">
            <v>3773810</v>
          </cell>
          <cell r="F229">
            <v>9364820</v>
          </cell>
          <cell r="G229">
            <v>2806000</v>
          </cell>
        </row>
        <row r="230">
          <cell r="A230">
            <v>9517</v>
          </cell>
          <cell r="B230">
            <v>233050</v>
          </cell>
          <cell r="C230">
            <v>905611</v>
          </cell>
          <cell r="D230">
            <v>523186</v>
          </cell>
          <cell r="E230">
            <v>5238922</v>
          </cell>
          <cell r="F230">
            <v>9745939</v>
          </cell>
          <cell r="G230">
            <v>6045191</v>
          </cell>
        </row>
        <row r="231">
          <cell r="A231">
            <v>9522</v>
          </cell>
          <cell r="B231">
            <v>0</v>
          </cell>
          <cell r="C231">
            <v>678000</v>
          </cell>
          <cell r="D231">
            <v>471666</v>
          </cell>
          <cell r="E231">
            <v>4119636</v>
          </cell>
          <cell r="F231">
            <v>8136000</v>
          </cell>
          <cell r="G231">
            <v>5660000</v>
          </cell>
        </row>
        <row r="232">
          <cell r="A232">
            <v>9523</v>
          </cell>
          <cell r="B232">
            <v>0</v>
          </cell>
          <cell r="C232">
            <v>674000</v>
          </cell>
          <cell r="D232">
            <v>462333</v>
          </cell>
          <cell r="E232">
            <v>4071859</v>
          </cell>
          <cell r="F232">
            <v>8058000</v>
          </cell>
          <cell r="G232">
            <v>5548000</v>
          </cell>
        </row>
        <row r="233">
          <cell r="A233">
            <v>9527</v>
          </cell>
          <cell r="B233">
            <v>143450</v>
          </cell>
          <cell r="C233">
            <v>834846</v>
          </cell>
          <cell r="D233">
            <v>493683</v>
          </cell>
          <cell r="E233">
            <v>4760562</v>
          </cell>
          <cell r="F233">
            <v>8637980</v>
          </cell>
          <cell r="G233">
            <v>5780747</v>
          </cell>
        </row>
        <row r="234">
          <cell r="A234">
            <v>9528</v>
          </cell>
          <cell r="B234">
            <v>0</v>
          </cell>
          <cell r="C234">
            <v>944000</v>
          </cell>
          <cell r="D234">
            <v>656500</v>
          </cell>
          <cell r="E234">
            <v>5601750</v>
          </cell>
          <cell r="F234">
            <v>11292000</v>
          </cell>
          <cell r="G234">
            <v>7878000</v>
          </cell>
        </row>
        <row r="235">
          <cell r="A235">
            <v>9530</v>
          </cell>
          <cell r="B235">
            <v>0</v>
          </cell>
          <cell r="C235">
            <v>924000</v>
          </cell>
          <cell r="D235">
            <v>642500</v>
          </cell>
          <cell r="E235">
            <v>5482750</v>
          </cell>
          <cell r="F235">
            <v>11052000</v>
          </cell>
          <cell r="G235">
            <v>7710000</v>
          </cell>
        </row>
        <row r="236">
          <cell r="A236">
            <v>9531</v>
          </cell>
          <cell r="B236">
            <v>0</v>
          </cell>
          <cell r="C236">
            <v>893000</v>
          </cell>
          <cell r="D236">
            <v>620916</v>
          </cell>
          <cell r="E236">
            <v>5298706</v>
          </cell>
          <cell r="F236">
            <v>10680000</v>
          </cell>
          <cell r="G236">
            <v>7451000</v>
          </cell>
        </row>
        <row r="237">
          <cell r="A237">
            <v>9532</v>
          </cell>
          <cell r="B237">
            <v>269460</v>
          </cell>
          <cell r="C237">
            <v>802365</v>
          </cell>
          <cell r="D237">
            <v>501467</v>
          </cell>
          <cell r="E237">
            <v>4563412</v>
          </cell>
          <cell r="F237">
            <v>10855177</v>
          </cell>
          <cell r="G237">
            <v>5748155</v>
          </cell>
        </row>
        <row r="238">
          <cell r="A238">
            <v>9536</v>
          </cell>
          <cell r="B238">
            <v>289640</v>
          </cell>
          <cell r="C238">
            <v>749234</v>
          </cell>
          <cell r="D238">
            <v>439772</v>
          </cell>
          <cell r="E238">
            <v>4062437</v>
          </cell>
          <cell r="F238">
            <v>8289168</v>
          </cell>
          <cell r="G238">
            <v>4987625</v>
          </cell>
        </row>
        <row r="239">
          <cell r="A239">
            <v>9540</v>
          </cell>
          <cell r="B239">
            <v>0</v>
          </cell>
          <cell r="C239">
            <v>1260866</v>
          </cell>
          <cell r="D239">
            <v>723000</v>
          </cell>
          <cell r="E239">
            <v>31080567</v>
          </cell>
          <cell r="F239">
            <v>15198630</v>
          </cell>
          <cell r="G239">
            <v>8676000</v>
          </cell>
        </row>
        <row r="240">
          <cell r="A240">
            <v>9605</v>
          </cell>
          <cell r="B240">
            <v>256630</v>
          </cell>
          <cell r="C240">
            <v>729804</v>
          </cell>
          <cell r="D240">
            <v>430886</v>
          </cell>
          <cell r="E240">
            <v>3288621</v>
          </cell>
          <cell r="F240">
            <v>7850634</v>
          </cell>
          <cell r="G240">
            <v>4914005</v>
          </cell>
        </row>
        <row r="241">
          <cell r="A241">
            <v>9608</v>
          </cell>
          <cell r="B241">
            <v>0</v>
          </cell>
          <cell r="C241">
            <v>932000</v>
          </cell>
          <cell r="D241">
            <v>629333</v>
          </cell>
          <cell r="E241">
            <v>4163554</v>
          </cell>
          <cell r="F241">
            <v>11184000</v>
          </cell>
          <cell r="G241">
            <v>7552000</v>
          </cell>
        </row>
        <row r="242">
          <cell r="A242">
            <v>9616</v>
          </cell>
          <cell r="B242">
            <v>0</v>
          </cell>
          <cell r="C242">
            <v>682000</v>
          </cell>
          <cell r="D242">
            <v>468666</v>
          </cell>
          <cell r="E242">
            <v>2588998</v>
          </cell>
          <cell r="F242">
            <v>8184000</v>
          </cell>
          <cell r="G242">
            <v>5624000</v>
          </cell>
        </row>
        <row r="243">
          <cell r="A243">
            <v>9617</v>
          </cell>
          <cell r="B243">
            <v>0</v>
          </cell>
          <cell r="C243">
            <v>966000</v>
          </cell>
          <cell r="D243">
            <v>623583</v>
          </cell>
          <cell r="E243">
            <v>3444096</v>
          </cell>
          <cell r="F243">
            <v>11502000</v>
          </cell>
          <cell r="G243">
            <v>7483000</v>
          </cell>
        </row>
        <row r="244">
          <cell r="A244">
            <v>9618</v>
          </cell>
          <cell r="B244">
            <v>250940</v>
          </cell>
          <cell r="C244">
            <v>618377</v>
          </cell>
          <cell r="D244">
            <v>421367</v>
          </cell>
          <cell r="E244">
            <v>2252778</v>
          </cell>
          <cell r="F244">
            <v>6845802</v>
          </cell>
          <cell r="G244">
            <v>4805473</v>
          </cell>
        </row>
        <row r="245">
          <cell r="A245">
            <v>97002</v>
          </cell>
          <cell r="B245">
            <v>0</v>
          </cell>
          <cell r="C245">
            <v>1421000</v>
          </cell>
          <cell r="D245">
            <v>930166</v>
          </cell>
          <cell r="E245">
            <v>3722679</v>
          </cell>
          <cell r="F245">
            <v>16907000</v>
          </cell>
          <cell r="G245">
            <v>11162000</v>
          </cell>
        </row>
        <row r="246">
          <cell r="A246">
            <v>97003</v>
          </cell>
          <cell r="B246">
            <v>0</v>
          </cell>
          <cell r="C246">
            <v>893916</v>
          </cell>
          <cell r="D246">
            <v>536666</v>
          </cell>
          <cell r="E246">
            <v>2265088</v>
          </cell>
          <cell r="F246">
            <v>10069031</v>
          </cell>
          <cell r="G246">
            <v>6440000</v>
          </cell>
        </row>
        <row r="247">
          <cell r="A247">
            <v>97004</v>
          </cell>
          <cell r="B247">
            <v>0</v>
          </cell>
          <cell r="C247">
            <v>941668</v>
          </cell>
          <cell r="D247">
            <v>570666</v>
          </cell>
          <cell r="E247">
            <v>2394528</v>
          </cell>
          <cell r="F247">
            <v>11441189</v>
          </cell>
          <cell r="G247">
            <v>6848000</v>
          </cell>
        </row>
        <row r="248">
          <cell r="A248">
            <v>97005</v>
          </cell>
          <cell r="B248">
            <v>0</v>
          </cell>
          <cell r="C248">
            <v>936651</v>
          </cell>
          <cell r="D248">
            <v>527416</v>
          </cell>
          <cell r="E248">
            <v>2318106</v>
          </cell>
          <cell r="F248">
            <v>9877811</v>
          </cell>
          <cell r="G248">
            <v>6329000</v>
          </cell>
        </row>
        <row r="249">
          <cell r="A249">
            <v>97007</v>
          </cell>
          <cell r="B249">
            <v>0</v>
          </cell>
          <cell r="C249">
            <v>818370</v>
          </cell>
          <cell r="D249">
            <v>483000</v>
          </cell>
          <cell r="E249">
            <v>2060502</v>
          </cell>
          <cell r="F249">
            <v>9534419</v>
          </cell>
          <cell r="G249">
            <v>5796000</v>
          </cell>
        </row>
        <row r="250">
          <cell r="A250">
            <v>97008</v>
          </cell>
          <cell r="B250">
            <v>0</v>
          </cell>
          <cell r="C250">
            <v>1165374</v>
          </cell>
          <cell r="D250">
            <v>483000</v>
          </cell>
          <cell r="E250">
            <v>2609925</v>
          </cell>
          <cell r="F250">
            <v>13202162</v>
          </cell>
          <cell r="G250">
            <v>5796000</v>
          </cell>
        </row>
        <row r="251">
          <cell r="A251">
            <v>97009</v>
          </cell>
          <cell r="B251">
            <v>0</v>
          </cell>
          <cell r="C251">
            <v>681954</v>
          </cell>
          <cell r="D251">
            <v>468333</v>
          </cell>
          <cell r="E251">
            <v>1821287</v>
          </cell>
          <cell r="F251">
            <v>8713861</v>
          </cell>
          <cell r="G251">
            <v>5620000</v>
          </cell>
        </row>
        <row r="252">
          <cell r="A252">
            <v>97010</v>
          </cell>
          <cell r="B252">
            <v>0</v>
          </cell>
          <cell r="C252">
            <v>720486</v>
          </cell>
          <cell r="D252">
            <v>468333</v>
          </cell>
          <cell r="E252">
            <v>1882296</v>
          </cell>
          <cell r="F252">
            <v>8220805</v>
          </cell>
          <cell r="G252">
            <v>5620000</v>
          </cell>
        </row>
        <row r="253">
          <cell r="A253">
            <v>97011</v>
          </cell>
          <cell r="B253">
            <v>0</v>
          </cell>
          <cell r="C253">
            <v>1071943</v>
          </cell>
          <cell r="D253">
            <v>459000</v>
          </cell>
          <cell r="E253">
            <v>2423993</v>
          </cell>
          <cell r="F253">
            <v>12227064</v>
          </cell>
          <cell r="G253">
            <v>5508000</v>
          </cell>
        </row>
        <row r="254">
          <cell r="A254">
            <v>97014</v>
          </cell>
          <cell r="B254">
            <v>0</v>
          </cell>
          <cell r="C254">
            <v>0</v>
          </cell>
          <cell r="D254">
            <v>64400</v>
          </cell>
          <cell r="E254">
            <v>80500</v>
          </cell>
          <cell r="F254">
            <v>3613085</v>
          </cell>
          <cell r="G254">
            <v>772800</v>
          </cell>
        </row>
        <row r="255">
          <cell r="A255">
            <v>97015</v>
          </cell>
          <cell r="B255">
            <v>0</v>
          </cell>
          <cell r="C255">
            <v>1122128</v>
          </cell>
          <cell r="D255">
            <v>465750</v>
          </cell>
          <cell r="E255">
            <v>1852524</v>
          </cell>
          <cell r="F255">
            <v>12612379</v>
          </cell>
          <cell r="G255">
            <v>5589000</v>
          </cell>
        </row>
        <row r="256">
          <cell r="A256">
            <v>97016</v>
          </cell>
          <cell r="B256">
            <v>0</v>
          </cell>
          <cell r="C256">
            <v>1085234</v>
          </cell>
          <cell r="D256">
            <v>465750</v>
          </cell>
          <cell r="E256">
            <v>1809481</v>
          </cell>
          <cell r="F256">
            <v>12722537</v>
          </cell>
          <cell r="G256">
            <v>5589000</v>
          </cell>
        </row>
        <row r="257">
          <cell r="A257">
            <v>97017</v>
          </cell>
          <cell r="B257">
            <v>0</v>
          </cell>
          <cell r="C257">
            <v>625666</v>
          </cell>
          <cell r="D257">
            <v>436833</v>
          </cell>
          <cell r="E257">
            <v>1239582</v>
          </cell>
          <cell r="F257">
            <v>7297800</v>
          </cell>
          <cell r="G257">
            <v>5242000</v>
          </cell>
        </row>
        <row r="258">
          <cell r="A258">
            <v>97018</v>
          </cell>
          <cell r="B258">
            <v>0</v>
          </cell>
          <cell r="C258">
            <v>1038395</v>
          </cell>
          <cell r="D258">
            <v>456166</v>
          </cell>
          <cell r="E258">
            <v>1619107</v>
          </cell>
          <cell r="F258">
            <v>11839507</v>
          </cell>
          <cell r="G258">
            <v>5474000</v>
          </cell>
        </row>
        <row r="259">
          <cell r="A259">
            <v>97019</v>
          </cell>
          <cell r="B259">
            <v>0</v>
          </cell>
          <cell r="C259">
            <v>1047375</v>
          </cell>
          <cell r="D259">
            <v>460833</v>
          </cell>
          <cell r="E259">
            <v>1633892</v>
          </cell>
          <cell r="F259">
            <v>11628382</v>
          </cell>
          <cell r="G259">
            <v>5530000</v>
          </cell>
        </row>
        <row r="260">
          <cell r="A260">
            <v>98002</v>
          </cell>
          <cell r="B260">
            <v>0</v>
          </cell>
          <cell r="C260">
            <v>1947000</v>
          </cell>
          <cell r="D260">
            <v>1095416</v>
          </cell>
          <cell r="E260">
            <v>2535347</v>
          </cell>
          <cell r="F260">
            <v>18630000</v>
          </cell>
          <cell r="G260">
            <v>13145000</v>
          </cell>
        </row>
        <row r="261">
          <cell r="A261">
            <v>98003</v>
          </cell>
          <cell r="B261">
            <v>0</v>
          </cell>
          <cell r="C261">
            <v>700000</v>
          </cell>
          <cell r="D261">
            <v>384350</v>
          </cell>
          <cell r="E261">
            <v>0</v>
          </cell>
          <cell r="F261">
            <v>6165094</v>
          </cell>
          <cell r="G261">
            <v>4612200</v>
          </cell>
        </row>
        <row r="262">
          <cell r="A262">
            <v>98004</v>
          </cell>
          <cell r="B262">
            <v>0</v>
          </cell>
          <cell r="C262">
            <v>629000</v>
          </cell>
          <cell r="D262">
            <v>219333</v>
          </cell>
          <cell r="E262">
            <v>0</v>
          </cell>
          <cell r="F262">
            <v>3774000</v>
          </cell>
          <cell r="G262">
            <v>2632000</v>
          </cell>
        </row>
        <row r="263">
          <cell r="A263">
            <v>98006</v>
          </cell>
          <cell r="B263">
            <v>0</v>
          </cell>
          <cell r="C263">
            <v>888410</v>
          </cell>
          <cell r="D263">
            <v>204833</v>
          </cell>
          <cell r="E263">
            <v>0</v>
          </cell>
          <cell r="F263">
            <v>2938186</v>
          </cell>
          <cell r="G263">
            <v>2457999</v>
          </cell>
        </row>
        <row r="264">
          <cell r="A264">
            <v>98008</v>
          </cell>
          <cell r="B264">
            <v>0</v>
          </cell>
          <cell r="C264">
            <v>729082</v>
          </cell>
          <cell r="D264">
            <v>85000</v>
          </cell>
          <cell r="E264">
            <v>0</v>
          </cell>
          <cell r="F264">
            <v>2187248</v>
          </cell>
          <cell r="G264">
            <v>1020000</v>
          </cell>
        </row>
        <row r="265">
          <cell r="A265" t="str">
            <v xml:space="preserve">88A0 </v>
          </cell>
          <cell r="B265">
            <v>0</v>
          </cell>
          <cell r="C265">
            <v>761333</v>
          </cell>
          <cell r="D265">
            <v>528333</v>
          </cell>
          <cell r="E265">
            <v>13111604</v>
          </cell>
          <cell r="F265">
            <v>9070000</v>
          </cell>
          <cell r="G265">
            <v>6340000</v>
          </cell>
        </row>
        <row r="266">
          <cell r="A266" t="str">
            <v xml:space="preserve">88A1 </v>
          </cell>
          <cell r="B266">
            <v>529140</v>
          </cell>
          <cell r="C266">
            <v>1238110</v>
          </cell>
          <cell r="D266">
            <v>679540</v>
          </cell>
          <cell r="E266">
            <v>19496108</v>
          </cell>
          <cell r="F266">
            <v>14315478</v>
          </cell>
          <cell r="G266">
            <v>7625345</v>
          </cell>
        </row>
        <row r="267">
          <cell r="A267" t="str">
            <v xml:space="preserve">88A2 </v>
          </cell>
          <cell r="B267">
            <v>582270</v>
          </cell>
          <cell r="C267">
            <v>826801</v>
          </cell>
          <cell r="D267">
            <v>546624</v>
          </cell>
          <cell r="E267">
            <v>13963154</v>
          </cell>
          <cell r="F267">
            <v>8716734</v>
          </cell>
          <cell r="G267">
            <v>5977224</v>
          </cell>
        </row>
        <row r="268">
          <cell r="A268" t="str">
            <v xml:space="preserve">88A8 </v>
          </cell>
          <cell r="B268">
            <v>648380</v>
          </cell>
          <cell r="C268">
            <v>1012265</v>
          </cell>
          <cell r="D268">
            <v>649807</v>
          </cell>
          <cell r="E268">
            <v>16759226</v>
          </cell>
          <cell r="F268">
            <v>11278544</v>
          </cell>
          <cell r="G268">
            <v>7149314</v>
          </cell>
        </row>
        <row r="269">
          <cell r="A269" t="str">
            <v xml:space="preserve">91B0 </v>
          </cell>
          <cell r="B269">
            <v>0</v>
          </cell>
          <cell r="C269">
            <v>690000</v>
          </cell>
          <cell r="D269">
            <v>478666</v>
          </cell>
          <cell r="E269">
            <v>8472828</v>
          </cell>
          <cell r="F269">
            <v>8226000</v>
          </cell>
          <cell r="G269">
            <v>5744000</v>
          </cell>
        </row>
        <row r="270">
          <cell r="A270" t="str">
            <v xml:space="preserve">91C2 </v>
          </cell>
          <cell r="B270">
            <v>540660</v>
          </cell>
          <cell r="C270">
            <v>1044341</v>
          </cell>
          <cell r="D270">
            <v>607108</v>
          </cell>
          <cell r="E270">
            <v>11835384</v>
          </cell>
          <cell r="F270">
            <v>11265459</v>
          </cell>
          <cell r="G270">
            <v>6744641</v>
          </cell>
        </row>
        <row r="271">
          <cell r="A271" t="str">
            <v xml:space="preserve">91C3 </v>
          </cell>
          <cell r="B271">
            <v>202770</v>
          </cell>
          <cell r="C271">
            <v>929131</v>
          </cell>
          <cell r="D271">
            <v>572873</v>
          </cell>
          <cell r="E271">
            <v>10764362</v>
          </cell>
          <cell r="F271">
            <v>10296598</v>
          </cell>
          <cell r="G271">
            <v>6671706</v>
          </cell>
        </row>
        <row r="272">
          <cell r="A272" t="str">
            <v xml:space="preserve">91C5 </v>
          </cell>
          <cell r="B272">
            <v>443160</v>
          </cell>
          <cell r="C272">
            <v>752040</v>
          </cell>
          <cell r="D272">
            <v>497134</v>
          </cell>
          <cell r="E272">
            <v>8952413</v>
          </cell>
          <cell r="F272">
            <v>8267335</v>
          </cell>
          <cell r="G272">
            <v>5522458</v>
          </cell>
        </row>
        <row r="273">
          <cell r="A273" t="str">
            <v xml:space="preserve">91C9 </v>
          </cell>
          <cell r="B273">
            <v>0</v>
          </cell>
          <cell r="C273">
            <v>955000</v>
          </cell>
          <cell r="D273">
            <v>666000</v>
          </cell>
          <cell r="E273">
            <v>11482083</v>
          </cell>
          <cell r="F273">
            <v>11460000</v>
          </cell>
          <cell r="G273">
            <v>7992000</v>
          </cell>
        </row>
        <row r="274">
          <cell r="A274" t="str">
            <v xml:space="preserve">91D3 </v>
          </cell>
          <cell r="B274">
            <v>748380</v>
          </cell>
          <cell r="C274">
            <v>1719487</v>
          </cell>
          <cell r="D274">
            <v>901944</v>
          </cell>
          <cell r="E274">
            <v>19660732</v>
          </cell>
          <cell r="F274">
            <v>17224962</v>
          </cell>
          <cell r="G274">
            <v>10074955</v>
          </cell>
        </row>
      </sheetData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8실적"/>
      <sheetName val="명부"/>
      <sheetName val="급상여실적"/>
      <sheetName val="퇴직급여충당금"/>
      <sheetName val="1년미만"/>
      <sheetName val="퇴직자"/>
      <sheetName val="퇴충전입액"/>
      <sheetName val="퇴충98"/>
      <sheetName val="마감장"/>
      <sheetName val="업무분장 "/>
      <sheetName val="XREF"/>
      <sheetName val="99퇴직"/>
      <sheetName val="5131"/>
      <sheetName val="회수내역"/>
      <sheetName val="Macro1"/>
      <sheetName val="실적"/>
      <sheetName val="창원외상매출금(원)"/>
      <sheetName val="기획1"/>
      <sheetName val="#REF!"/>
      <sheetName val="수정시산표"/>
      <sheetName val="Menu_Link"/>
      <sheetName val="뒤차축소"/>
      <sheetName val="25.보증금(임차보증금외)"/>
      <sheetName val="대차합동"/>
      <sheetName val="Ctrl"/>
      <sheetName val="Sheet3"/>
      <sheetName val="여비"/>
      <sheetName val="여신보고용"/>
      <sheetName val="BS"/>
      <sheetName val="#REF"/>
      <sheetName val="붙임2-1  지급조서명세서(2001년분)"/>
      <sheetName val="신제품지원"/>
      <sheetName val="10월시간수당"/>
      <sheetName val="11월시간수당"/>
      <sheetName val="12월시간수당"/>
      <sheetName val="주민번호"/>
      <sheetName val="12월급여"/>
      <sheetName val="Data"/>
      <sheetName val="C.A"/>
      <sheetName val="5월경비_영업외비용"/>
      <sheetName val="재고현황(Unit)"/>
      <sheetName val="Cover"/>
      <sheetName val="대차대조표-공시형"/>
      <sheetName val="Index"/>
      <sheetName val="C"/>
      <sheetName val="BS(Don't Prt)"/>
      <sheetName val="SLa"/>
      <sheetName val="Working"/>
      <sheetName val="현금흐름표"/>
      <sheetName val="연체리스료"/>
      <sheetName val="대구파크쿨링타워"/>
      <sheetName val="실행철강하도"/>
      <sheetName val="A"/>
      <sheetName val="controll"/>
      <sheetName val="비교손익계산서"/>
      <sheetName val="FBP"/>
      <sheetName val="검산금액"/>
      <sheetName val="기초해지2"/>
      <sheetName val="기초해지"/>
      <sheetName val="35~37기추정손익계산서"/>
      <sheetName val="시뮬레이션정보"/>
      <sheetName val="확정예정신고서"/>
      <sheetName val="Library Procedures"/>
      <sheetName val="Accrual Final"/>
      <sheetName val="누계실적6"/>
      <sheetName val="Sheet2"/>
      <sheetName val="HB"/>
      <sheetName val="Final-本部-短期借款"/>
      <sheetName val="payroll-final"/>
      <sheetName val="Inventory_0331"/>
      <sheetName val="OP-YZ"/>
      <sheetName val="Cash&amp;Bank Group Reporting"/>
      <sheetName val="MacPro"/>
      <sheetName val="값목록(Do not touch)"/>
      <sheetName val="其他流动资产-长期应收款"/>
      <sheetName val="FS-Consol"/>
      <sheetName val="F1"/>
      <sheetName val="A6620 Detail"/>
      <sheetName val="TB"/>
      <sheetName val="5050 Bank HKD"/>
      <sheetName val="2008"/>
      <sheetName val="97년추정손익계산서"/>
      <sheetName val="선비명세2"/>
    </sheetNames>
    <sheetDataSet>
      <sheetData sheetId="0">
        <row r="3">
          <cell r="B3">
            <v>7606</v>
          </cell>
          <cell r="C3" t="str">
            <v>이희원</v>
          </cell>
          <cell r="D3">
            <v>54137429</v>
          </cell>
        </row>
        <row r="4">
          <cell r="B4">
            <v>7805</v>
          </cell>
          <cell r="C4" t="str">
            <v>임병만</v>
          </cell>
          <cell r="D4">
            <v>49329514</v>
          </cell>
        </row>
        <row r="5">
          <cell r="B5">
            <v>7807</v>
          </cell>
          <cell r="C5" t="str">
            <v>김세일</v>
          </cell>
          <cell r="D5">
            <v>44119403</v>
          </cell>
        </row>
        <row r="6">
          <cell r="B6">
            <v>7908</v>
          </cell>
          <cell r="C6" t="str">
            <v>안재관</v>
          </cell>
          <cell r="D6">
            <v>48471191</v>
          </cell>
        </row>
        <row r="7">
          <cell r="B7">
            <v>7918</v>
          </cell>
          <cell r="C7" t="str">
            <v>윤지용</v>
          </cell>
          <cell r="D7">
            <v>46597551</v>
          </cell>
        </row>
        <row r="8">
          <cell r="B8">
            <v>8007</v>
          </cell>
          <cell r="C8" t="str">
            <v>심복기</v>
          </cell>
          <cell r="D8">
            <v>41085333</v>
          </cell>
        </row>
        <row r="9">
          <cell r="B9">
            <v>8106</v>
          </cell>
          <cell r="C9" t="str">
            <v>황경발</v>
          </cell>
          <cell r="D9">
            <v>41887521</v>
          </cell>
        </row>
        <row r="10">
          <cell r="B10">
            <v>8111</v>
          </cell>
          <cell r="C10" t="str">
            <v>윤지한</v>
          </cell>
          <cell r="D10">
            <v>35083619</v>
          </cell>
        </row>
        <row r="11">
          <cell r="B11">
            <v>8206</v>
          </cell>
          <cell r="C11" t="str">
            <v>안석철</v>
          </cell>
          <cell r="D11">
            <v>39499313</v>
          </cell>
        </row>
        <row r="12">
          <cell r="B12">
            <v>8306</v>
          </cell>
          <cell r="C12" t="str">
            <v>신동열</v>
          </cell>
          <cell r="D12">
            <v>52167795</v>
          </cell>
        </row>
        <row r="13">
          <cell r="B13">
            <v>8321</v>
          </cell>
          <cell r="C13" t="str">
            <v>윤문용</v>
          </cell>
          <cell r="D13">
            <v>27169300</v>
          </cell>
        </row>
        <row r="14">
          <cell r="B14">
            <v>8325</v>
          </cell>
          <cell r="C14" t="str">
            <v>김국환</v>
          </cell>
          <cell r="D14">
            <v>32333740</v>
          </cell>
        </row>
        <row r="15">
          <cell r="B15">
            <v>8416</v>
          </cell>
          <cell r="C15" t="str">
            <v>김종부</v>
          </cell>
          <cell r="D15">
            <v>30037678</v>
          </cell>
        </row>
        <row r="16">
          <cell r="B16">
            <v>8445</v>
          </cell>
          <cell r="C16" t="str">
            <v>길성복</v>
          </cell>
          <cell r="D16">
            <v>27528728</v>
          </cell>
        </row>
        <row r="17">
          <cell r="B17">
            <v>8501</v>
          </cell>
          <cell r="C17" t="str">
            <v>안두환</v>
          </cell>
          <cell r="D17">
            <v>24817828</v>
          </cell>
        </row>
        <row r="18">
          <cell r="B18">
            <v>8513</v>
          </cell>
          <cell r="C18" t="str">
            <v>우보엽</v>
          </cell>
          <cell r="D18">
            <v>30589013</v>
          </cell>
        </row>
        <row r="19">
          <cell r="B19">
            <v>8620</v>
          </cell>
          <cell r="C19" t="str">
            <v>인선춘</v>
          </cell>
          <cell r="D19">
            <v>26784129</v>
          </cell>
        </row>
        <row r="20">
          <cell r="B20">
            <v>8628</v>
          </cell>
          <cell r="C20" t="str">
            <v>박남철</v>
          </cell>
          <cell r="D20">
            <v>25866549</v>
          </cell>
        </row>
        <row r="21">
          <cell r="B21">
            <v>8650</v>
          </cell>
          <cell r="C21" t="str">
            <v>권정식</v>
          </cell>
          <cell r="D21">
            <v>28260465</v>
          </cell>
        </row>
        <row r="22">
          <cell r="B22">
            <v>8655</v>
          </cell>
          <cell r="C22" t="str">
            <v>김동식</v>
          </cell>
          <cell r="D22">
            <v>22059937</v>
          </cell>
        </row>
        <row r="23">
          <cell r="B23">
            <v>8710</v>
          </cell>
          <cell r="C23" t="str">
            <v>정창선</v>
          </cell>
          <cell r="D23">
            <v>30284218</v>
          </cell>
        </row>
        <row r="24">
          <cell r="B24">
            <v>8731</v>
          </cell>
          <cell r="C24" t="str">
            <v>김두란</v>
          </cell>
          <cell r="D24">
            <v>16008299</v>
          </cell>
        </row>
        <row r="25">
          <cell r="B25">
            <v>8737</v>
          </cell>
          <cell r="C25" t="str">
            <v>김상철</v>
          </cell>
          <cell r="D25">
            <v>19430576</v>
          </cell>
        </row>
        <row r="26">
          <cell r="B26">
            <v>8810</v>
          </cell>
          <cell r="C26" t="str">
            <v>최용철</v>
          </cell>
          <cell r="D26">
            <v>21281326</v>
          </cell>
        </row>
        <row r="27">
          <cell r="B27">
            <v>8830</v>
          </cell>
          <cell r="C27" t="str">
            <v>김진형</v>
          </cell>
          <cell r="D27">
            <v>17517669</v>
          </cell>
        </row>
        <row r="28">
          <cell r="B28">
            <v>8865</v>
          </cell>
          <cell r="C28" t="str">
            <v>정광채</v>
          </cell>
          <cell r="D28">
            <v>19912695</v>
          </cell>
        </row>
        <row r="29">
          <cell r="B29">
            <v>8866</v>
          </cell>
          <cell r="C29" t="str">
            <v>박종삼</v>
          </cell>
          <cell r="D29">
            <v>19286702</v>
          </cell>
        </row>
        <row r="30">
          <cell r="B30">
            <v>8872</v>
          </cell>
          <cell r="C30" t="str">
            <v>이선근</v>
          </cell>
          <cell r="D30">
            <v>16662360</v>
          </cell>
        </row>
        <row r="31">
          <cell r="B31">
            <v>8924</v>
          </cell>
          <cell r="C31" t="str">
            <v>이용선</v>
          </cell>
          <cell r="D31">
            <v>16298993</v>
          </cell>
        </row>
        <row r="32">
          <cell r="B32">
            <v>8940</v>
          </cell>
          <cell r="C32" t="str">
            <v>이동종</v>
          </cell>
          <cell r="D32">
            <v>17642720</v>
          </cell>
        </row>
        <row r="33">
          <cell r="B33">
            <v>8959</v>
          </cell>
          <cell r="C33" t="str">
            <v>차인석</v>
          </cell>
          <cell r="D33">
            <v>13675603</v>
          </cell>
        </row>
        <row r="34">
          <cell r="B34">
            <v>9112</v>
          </cell>
          <cell r="C34" t="str">
            <v>허석규</v>
          </cell>
          <cell r="D34">
            <v>12985833</v>
          </cell>
        </row>
        <row r="35">
          <cell r="B35">
            <v>9120</v>
          </cell>
          <cell r="C35" t="str">
            <v>이재인</v>
          </cell>
          <cell r="D35">
            <v>13929679</v>
          </cell>
        </row>
        <row r="36">
          <cell r="B36">
            <v>9137</v>
          </cell>
          <cell r="C36" t="str">
            <v>손형종</v>
          </cell>
          <cell r="D36">
            <v>12432890</v>
          </cell>
        </row>
        <row r="37">
          <cell r="B37">
            <v>9156</v>
          </cell>
          <cell r="C37" t="str">
            <v>김용세</v>
          </cell>
          <cell r="D37">
            <v>10677310</v>
          </cell>
        </row>
        <row r="38">
          <cell r="B38">
            <v>9159</v>
          </cell>
          <cell r="C38" t="str">
            <v>김성훈</v>
          </cell>
          <cell r="D38">
            <v>12557871</v>
          </cell>
        </row>
        <row r="39">
          <cell r="B39">
            <v>9191</v>
          </cell>
          <cell r="C39" t="str">
            <v>김기석</v>
          </cell>
          <cell r="D39">
            <v>11706984</v>
          </cell>
        </row>
        <row r="40">
          <cell r="B40">
            <v>9194</v>
          </cell>
          <cell r="C40" t="str">
            <v>안병섭</v>
          </cell>
          <cell r="D40">
            <v>11314812</v>
          </cell>
        </row>
        <row r="41">
          <cell r="B41">
            <v>9214</v>
          </cell>
          <cell r="C41" t="str">
            <v>손성식</v>
          </cell>
          <cell r="D41">
            <v>9630296</v>
          </cell>
        </row>
        <row r="42">
          <cell r="B42">
            <v>9229</v>
          </cell>
          <cell r="C42" t="str">
            <v>이병삼</v>
          </cell>
          <cell r="D42">
            <v>9566174</v>
          </cell>
        </row>
        <row r="43">
          <cell r="B43">
            <v>9268</v>
          </cell>
          <cell r="C43" t="str">
            <v>최재준</v>
          </cell>
          <cell r="D43">
            <v>8920601</v>
          </cell>
        </row>
        <row r="44">
          <cell r="B44">
            <v>9272</v>
          </cell>
          <cell r="C44" t="str">
            <v>전미옥</v>
          </cell>
          <cell r="D44">
            <v>7499687</v>
          </cell>
        </row>
        <row r="45">
          <cell r="B45">
            <v>9305</v>
          </cell>
          <cell r="C45" t="str">
            <v>함경아</v>
          </cell>
          <cell r="D45">
            <v>6652652</v>
          </cell>
        </row>
        <row r="46">
          <cell r="B46">
            <v>9313</v>
          </cell>
          <cell r="C46" t="str">
            <v>서동일</v>
          </cell>
          <cell r="D46">
            <v>8332846</v>
          </cell>
        </row>
        <row r="47">
          <cell r="B47">
            <v>9320</v>
          </cell>
          <cell r="C47" t="str">
            <v xml:space="preserve">우창  </v>
          </cell>
          <cell r="D47">
            <v>7964950</v>
          </cell>
        </row>
        <row r="48">
          <cell r="B48">
            <v>9323</v>
          </cell>
          <cell r="C48" t="str">
            <v>최강준</v>
          </cell>
          <cell r="D48">
            <v>10340137</v>
          </cell>
        </row>
        <row r="49">
          <cell r="B49">
            <v>9331</v>
          </cell>
          <cell r="C49" t="str">
            <v>박은숙</v>
          </cell>
          <cell r="D49">
            <v>6610472</v>
          </cell>
        </row>
        <row r="50">
          <cell r="B50">
            <v>9358</v>
          </cell>
          <cell r="C50" t="str">
            <v>김양운</v>
          </cell>
          <cell r="D50">
            <v>7867040</v>
          </cell>
        </row>
        <row r="51">
          <cell r="B51">
            <v>9363</v>
          </cell>
          <cell r="C51" t="str">
            <v>이영덕</v>
          </cell>
          <cell r="D51">
            <v>9080692</v>
          </cell>
        </row>
        <row r="52">
          <cell r="B52">
            <v>9372</v>
          </cell>
          <cell r="C52" t="str">
            <v>길성일</v>
          </cell>
          <cell r="D52">
            <v>8943873</v>
          </cell>
        </row>
        <row r="53">
          <cell r="B53">
            <v>9384</v>
          </cell>
          <cell r="C53" t="str">
            <v>김석진</v>
          </cell>
          <cell r="D53">
            <v>7594710</v>
          </cell>
        </row>
        <row r="54">
          <cell r="B54">
            <v>9418</v>
          </cell>
          <cell r="C54" t="str">
            <v>박종연</v>
          </cell>
          <cell r="D54">
            <v>5869910</v>
          </cell>
        </row>
        <row r="55">
          <cell r="B55">
            <v>9420</v>
          </cell>
          <cell r="C55" t="str">
            <v>최원영</v>
          </cell>
          <cell r="D55">
            <v>6878657</v>
          </cell>
        </row>
        <row r="56">
          <cell r="B56">
            <v>9424</v>
          </cell>
          <cell r="C56" t="str">
            <v>조혜련</v>
          </cell>
          <cell r="D56">
            <v>5510256</v>
          </cell>
        </row>
        <row r="57">
          <cell r="B57">
            <v>9433</v>
          </cell>
          <cell r="C57" t="str">
            <v>한경자</v>
          </cell>
          <cell r="D57">
            <v>5996465</v>
          </cell>
        </row>
        <row r="58">
          <cell r="B58">
            <v>9439</v>
          </cell>
          <cell r="C58" t="str">
            <v>이성백</v>
          </cell>
          <cell r="D58">
            <v>6479650</v>
          </cell>
        </row>
        <row r="59">
          <cell r="B59">
            <v>9449</v>
          </cell>
          <cell r="C59" t="str">
            <v>박광선</v>
          </cell>
          <cell r="D59">
            <v>7022092</v>
          </cell>
        </row>
        <row r="60">
          <cell r="B60">
            <v>9453</v>
          </cell>
          <cell r="C60" t="str">
            <v>반정자</v>
          </cell>
          <cell r="D60">
            <v>5442089</v>
          </cell>
        </row>
        <row r="61">
          <cell r="B61">
            <v>9464</v>
          </cell>
          <cell r="C61" t="str">
            <v>우상명</v>
          </cell>
          <cell r="D61">
            <v>6527066</v>
          </cell>
        </row>
        <row r="62">
          <cell r="B62">
            <v>9468</v>
          </cell>
          <cell r="C62" t="str">
            <v>정태구</v>
          </cell>
          <cell r="D62">
            <v>5551226</v>
          </cell>
        </row>
        <row r="63">
          <cell r="B63">
            <v>9473</v>
          </cell>
          <cell r="C63" t="str">
            <v>최용운</v>
          </cell>
          <cell r="D63">
            <v>6746087</v>
          </cell>
        </row>
        <row r="64">
          <cell r="B64">
            <v>9475</v>
          </cell>
          <cell r="C64" t="str">
            <v>이순옥</v>
          </cell>
          <cell r="D64">
            <v>4718991</v>
          </cell>
        </row>
        <row r="65">
          <cell r="B65">
            <v>9502</v>
          </cell>
          <cell r="C65" t="str">
            <v>임효성</v>
          </cell>
          <cell r="D65">
            <v>5490645</v>
          </cell>
        </row>
        <row r="66">
          <cell r="B66">
            <v>9503</v>
          </cell>
          <cell r="C66" t="str">
            <v>김연옥</v>
          </cell>
          <cell r="D66">
            <v>5008531</v>
          </cell>
        </row>
        <row r="67">
          <cell r="B67">
            <v>9517</v>
          </cell>
          <cell r="C67" t="str">
            <v>신재만</v>
          </cell>
          <cell r="D67">
            <v>5238922</v>
          </cell>
        </row>
        <row r="68">
          <cell r="B68">
            <v>9527</v>
          </cell>
          <cell r="C68" t="str">
            <v>김종필</v>
          </cell>
          <cell r="D68">
            <v>4760562</v>
          </cell>
        </row>
        <row r="69">
          <cell r="B69">
            <v>9532</v>
          </cell>
          <cell r="C69" t="str">
            <v>박용수</v>
          </cell>
          <cell r="D69">
            <v>4563412</v>
          </cell>
        </row>
        <row r="70">
          <cell r="B70">
            <v>9536</v>
          </cell>
          <cell r="C70" t="str">
            <v>전미자</v>
          </cell>
          <cell r="D70">
            <v>4062437</v>
          </cell>
        </row>
        <row r="71">
          <cell r="B71">
            <v>9617</v>
          </cell>
          <cell r="C71" t="str">
            <v>지재구</v>
          </cell>
          <cell r="D71">
            <v>3444096</v>
          </cell>
        </row>
        <row r="72">
          <cell r="B72" t="str">
            <v xml:space="preserve">88A2 </v>
          </cell>
          <cell r="C72" t="str">
            <v>이현숙</v>
          </cell>
          <cell r="D72">
            <v>13963154</v>
          </cell>
        </row>
        <row r="73">
          <cell r="B73" t="str">
            <v xml:space="preserve">91C3 </v>
          </cell>
          <cell r="C73" t="str">
            <v>이재성</v>
          </cell>
          <cell r="D73">
            <v>10764362</v>
          </cell>
        </row>
        <row r="74">
          <cell r="B74">
            <v>7903</v>
          </cell>
          <cell r="C74" t="str">
            <v>박사옥</v>
          </cell>
          <cell r="D74">
            <v>71598292</v>
          </cell>
        </row>
        <row r="75">
          <cell r="B75">
            <v>8002</v>
          </cell>
          <cell r="C75" t="str">
            <v>유천종</v>
          </cell>
          <cell r="D75">
            <v>44025478</v>
          </cell>
        </row>
        <row r="76">
          <cell r="B76">
            <v>8104</v>
          </cell>
          <cell r="C76" t="str">
            <v>조언준</v>
          </cell>
          <cell r="D76">
            <v>57883116</v>
          </cell>
        </row>
        <row r="77">
          <cell r="B77">
            <v>8213</v>
          </cell>
          <cell r="C77" t="str">
            <v>정홍근</v>
          </cell>
          <cell r="D77">
            <v>48580833</v>
          </cell>
        </row>
        <row r="78">
          <cell r="B78">
            <v>8401</v>
          </cell>
          <cell r="C78" t="str">
            <v>윤자상</v>
          </cell>
          <cell r="D78">
            <v>44640000</v>
          </cell>
        </row>
        <row r="79">
          <cell r="B79">
            <v>8404</v>
          </cell>
          <cell r="C79" t="str">
            <v>양준호</v>
          </cell>
          <cell r="D79">
            <v>44764995</v>
          </cell>
        </row>
        <row r="80">
          <cell r="B80">
            <v>8432</v>
          </cell>
          <cell r="C80" t="str">
            <v>오용섭</v>
          </cell>
          <cell r="D80">
            <v>43448606</v>
          </cell>
        </row>
        <row r="81">
          <cell r="B81">
            <v>8437</v>
          </cell>
          <cell r="C81" t="str">
            <v>김성근</v>
          </cell>
          <cell r="D81">
            <v>42235754</v>
          </cell>
        </row>
        <row r="82">
          <cell r="B82">
            <v>8508</v>
          </cell>
          <cell r="C82" t="str">
            <v>조성현</v>
          </cell>
          <cell r="D82">
            <v>37677050</v>
          </cell>
        </row>
        <row r="83">
          <cell r="B83">
            <v>8616</v>
          </cell>
          <cell r="C83" t="str">
            <v>최정식</v>
          </cell>
          <cell r="D83">
            <v>32736755</v>
          </cell>
        </row>
        <row r="84">
          <cell r="B84">
            <v>8658</v>
          </cell>
          <cell r="C84" t="str">
            <v>이인호</v>
          </cell>
          <cell r="D84">
            <v>22684440</v>
          </cell>
        </row>
        <row r="85">
          <cell r="B85">
            <v>8712</v>
          </cell>
          <cell r="C85" t="str">
            <v>유전희</v>
          </cell>
          <cell r="D85">
            <v>32016103</v>
          </cell>
        </row>
        <row r="86">
          <cell r="B86">
            <v>8715</v>
          </cell>
          <cell r="C86" t="str">
            <v>이주동</v>
          </cell>
          <cell r="D86">
            <v>30780750</v>
          </cell>
        </row>
        <row r="87">
          <cell r="B87">
            <v>8719</v>
          </cell>
          <cell r="C87" t="str">
            <v>이남민</v>
          </cell>
          <cell r="D87">
            <v>29791666</v>
          </cell>
        </row>
        <row r="88">
          <cell r="B88">
            <v>8750</v>
          </cell>
          <cell r="C88" t="str">
            <v>김정학</v>
          </cell>
          <cell r="D88">
            <v>30973329</v>
          </cell>
        </row>
        <row r="89">
          <cell r="B89">
            <v>8806</v>
          </cell>
          <cell r="C89" t="str">
            <v>김원기</v>
          </cell>
          <cell r="D89">
            <v>28413000</v>
          </cell>
        </row>
        <row r="90">
          <cell r="B90">
            <v>8818</v>
          </cell>
          <cell r="C90" t="str">
            <v>남승오</v>
          </cell>
          <cell r="D90">
            <v>18205000</v>
          </cell>
        </row>
        <row r="91">
          <cell r="B91">
            <v>8854</v>
          </cell>
          <cell r="C91" t="str">
            <v>정해남</v>
          </cell>
          <cell r="D91">
            <v>26281666</v>
          </cell>
        </row>
        <row r="92">
          <cell r="B92">
            <v>8855</v>
          </cell>
          <cell r="C92" t="str">
            <v>박찬흥</v>
          </cell>
          <cell r="D92">
            <v>21182774</v>
          </cell>
        </row>
        <row r="93">
          <cell r="B93">
            <v>8901</v>
          </cell>
          <cell r="C93" t="str">
            <v>황의재</v>
          </cell>
          <cell r="D93">
            <v>24270000</v>
          </cell>
        </row>
        <row r="94">
          <cell r="B94">
            <v>8905</v>
          </cell>
          <cell r="C94" t="str">
            <v>윤찬영</v>
          </cell>
          <cell r="D94">
            <v>24426660</v>
          </cell>
        </row>
        <row r="95">
          <cell r="B95">
            <v>8906</v>
          </cell>
          <cell r="C95" t="str">
            <v>이상만</v>
          </cell>
          <cell r="D95">
            <v>24236660</v>
          </cell>
        </row>
        <row r="96">
          <cell r="B96">
            <v>8908</v>
          </cell>
          <cell r="C96" t="str">
            <v>김윤식</v>
          </cell>
          <cell r="D96">
            <v>24726660</v>
          </cell>
        </row>
        <row r="97">
          <cell r="B97">
            <v>8921</v>
          </cell>
          <cell r="C97" t="str">
            <v>나영숙</v>
          </cell>
          <cell r="D97">
            <v>12974302</v>
          </cell>
        </row>
        <row r="98">
          <cell r="B98">
            <v>9018</v>
          </cell>
          <cell r="C98" t="str">
            <v>이기준</v>
          </cell>
          <cell r="D98">
            <v>15927136</v>
          </cell>
        </row>
        <row r="99">
          <cell r="B99">
            <v>9020</v>
          </cell>
          <cell r="C99" t="str">
            <v>이종훈</v>
          </cell>
          <cell r="D99">
            <v>15598886</v>
          </cell>
        </row>
        <row r="100">
          <cell r="B100">
            <v>9104</v>
          </cell>
          <cell r="C100" t="str">
            <v>박상용</v>
          </cell>
          <cell r="D100">
            <v>15193397</v>
          </cell>
        </row>
        <row r="101">
          <cell r="B101">
            <v>9114</v>
          </cell>
          <cell r="C101" t="str">
            <v>박해학</v>
          </cell>
          <cell r="D101">
            <v>14929025</v>
          </cell>
        </row>
        <row r="102">
          <cell r="B102">
            <v>9115</v>
          </cell>
          <cell r="C102" t="str">
            <v>양영석</v>
          </cell>
          <cell r="D102">
            <v>15150967</v>
          </cell>
        </row>
        <row r="103">
          <cell r="B103">
            <v>9116</v>
          </cell>
          <cell r="C103" t="str">
            <v>민경진</v>
          </cell>
          <cell r="D103">
            <v>14929025</v>
          </cell>
        </row>
        <row r="104">
          <cell r="B104">
            <v>9203</v>
          </cell>
          <cell r="C104" t="str">
            <v>강영묵</v>
          </cell>
          <cell r="D104">
            <v>13323331</v>
          </cell>
        </row>
        <row r="105">
          <cell r="B105">
            <v>9260</v>
          </cell>
          <cell r="C105" t="str">
            <v>김선미</v>
          </cell>
          <cell r="D105">
            <v>7875858</v>
          </cell>
        </row>
        <row r="106">
          <cell r="B106">
            <v>9265</v>
          </cell>
          <cell r="C106" t="str">
            <v>김태헌</v>
          </cell>
          <cell r="D106">
            <v>12016442</v>
          </cell>
        </row>
        <row r="107">
          <cell r="B107">
            <v>9281</v>
          </cell>
          <cell r="C107" t="str">
            <v>유근웅</v>
          </cell>
          <cell r="D107">
            <v>11252081</v>
          </cell>
        </row>
        <row r="108">
          <cell r="B108">
            <v>9308</v>
          </cell>
          <cell r="C108" t="str">
            <v>이종래</v>
          </cell>
          <cell r="D108">
            <v>10399853</v>
          </cell>
        </row>
        <row r="109">
          <cell r="B109">
            <v>9309</v>
          </cell>
          <cell r="C109" t="str">
            <v>이호원</v>
          </cell>
          <cell r="D109">
            <v>10442150</v>
          </cell>
        </row>
        <row r="110">
          <cell r="B110">
            <v>9352</v>
          </cell>
          <cell r="C110" t="str">
            <v>양동준</v>
          </cell>
          <cell r="D110">
            <v>9989046</v>
          </cell>
        </row>
        <row r="111">
          <cell r="B111">
            <v>9353</v>
          </cell>
          <cell r="C111" t="str">
            <v>고은배</v>
          </cell>
          <cell r="D111">
            <v>6671150</v>
          </cell>
        </row>
        <row r="112">
          <cell r="B112">
            <v>9354</v>
          </cell>
          <cell r="C112" t="str">
            <v>김현미</v>
          </cell>
          <cell r="D112">
            <v>6606010</v>
          </cell>
        </row>
        <row r="113">
          <cell r="B113">
            <v>9355</v>
          </cell>
          <cell r="C113" t="str">
            <v>허승진</v>
          </cell>
          <cell r="D113">
            <v>6747452</v>
          </cell>
        </row>
        <row r="114">
          <cell r="B114">
            <v>9401</v>
          </cell>
          <cell r="C114" t="str">
            <v>이림수</v>
          </cell>
          <cell r="D114">
            <v>8110000</v>
          </cell>
        </row>
        <row r="115">
          <cell r="B115">
            <v>9403</v>
          </cell>
          <cell r="C115" t="str">
            <v>유용재</v>
          </cell>
          <cell r="D115">
            <v>8105000</v>
          </cell>
        </row>
        <row r="116">
          <cell r="B116">
            <v>9404</v>
          </cell>
          <cell r="C116" t="str">
            <v>송재현</v>
          </cell>
          <cell r="D116">
            <v>8126665</v>
          </cell>
        </row>
        <row r="117">
          <cell r="B117">
            <v>9407</v>
          </cell>
          <cell r="C117" t="str">
            <v>문동근</v>
          </cell>
          <cell r="D117">
            <v>8140000</v>
          </cell>
        </row>
        <row r="118">
          <cell r="B118">
            <v>9452</v>
          </cell>
          <cell r="C118" t="str">
            <v>이은영</v>
          </cell>
          <cell r="D118">
            <v>5330416</v>
          </cell>
        </row>
        <row r="119">
          <cell r="B119">
            <v>9460</v>
          </cell>
          <cell r="C119" t="str">
            <v>이경병</v>
          </cell>
          <cell r="D119">
            <v>12481876</v>
          </cell>
        </row>
        <row r="120">
          <cell r="B120">
            <v>9480</v>
          </cell>
          <cell r="C120" t="str">
            <v>이숙</v>
          </cell>
          <cell r="D120">
            <v>4796552</v>
          </cell>
        </row>
        <row r="121">
          <cell r="B121">
            <v>9481</v>
          </cell>
          <cell r="C121" t="str">
            <v>김진순</v>
          </cell>
          <cell r="D121">
            <v>4955802</v>
          </cell>
        </row>
        <row r="122">
          <cell r="B122">
            <v>9522</v>
          </cell>
          <cell r="C122" t="str">
            <v>이정휘</v>
          </cell>
          <cell r="D122">
            <v>4119636</v>
          </cell>
        </row>
        <row r="123">
          <cell r="B123">
            <v>9528</v>
          </cell>
          <cell r="C123" t="str">
            <v>박용재</v>
          </cell>
          <cell r="D123">
            <v>5601750</v>
          </cell>
        </row>
        <row r="124">
          <cell r="B124">
            <v>9531</v>
          </cell>
          <cell r="C124" t="str">
            <v>김학원</v>
          </cell>
          <cell r="D124">
            <v>5298706</v>
          </cell>
        </row>
        <row r="125">
          <cell r="B125">
            <v>9540</v>
          </cell>
          <cell r="C125" t="str">
            <v>현병원</v>
          </cell>
          <cell r="D125">
            <v>31080567</v>
          </cell>
        </row>
        <row r="126">
          <cell r="B126">
            <v>9608</v>
          </cell>
          <cell r="C126" t="str">
            <v>정승문</v>
          </cell>
          <cell r="D126">
            <v>4163554</v>
          </cell>
        </row>
        <row r="127">
          <cell r="B127">
            <v>9616</v>
          </cell>
          <cell r="C127" t="str">
            <v>임은주</v>
          </cell>
          <cell r="D127">
            <v>2588998</v>
          </cell>
        </row>
        <row r="128">
          <cell r="B128">
            <v>97017</v>
          </cell>
          <cell r="C128" t="str">
            <v>김정옥</v>
          </cell>
          <cell r="D128">
            <v>1239582</v>
          </cell>
        </row>
        <row r="129">
          <cell r="B129">
            <v>98002</v>
          </cell>
          <cell r="C129" t="str">
            <v>박철우</v>
          </cell>
          <cell r="D129">
            <v>2535347</v>
          </cell>
        </row>
        <row r="130">
          <cell r="B130">
            <v>98003</v>
          </cell>
          <cell r="C130" t="str">
            <v>성윤정</v>
          </cell>
          <cell r="D130">
            <v>0</v>
          </cell>
        </row>
        <row r="131">
          <cell r="B131">
            <v>98004</v>
          </cell>
          <cell r="C131" t="str">
            <v>이현주</v>
          </cell>
          <cell r="D131">
            <v>0</v>
          </cell>
        </row>
        <row r="132">
          <cell r="B132" t="str">
            <v xml:space="preserve">91C9 </v>
          </cell>
          <cell r="C132" t="str">
            <v>이항희</v>
          </cell>
          <cell r="D132">
            <v>11482083</v>
          </cell>
        </row>
        <row r="133">
          <cell r="B133">
            <v>7512</v>
          </cell>
          <cell r="C133" t="str">
            <v>박덕원</v>
          </cell>
          <cell r="D133">
            <v>57036291</v>
          </cell>
        </row>
        <row r="134">
          <cell r="B134">
            <v>7909</v>
          </cell>
          <cell r="C134" t="str">
            <v>이두성</v>
          </cell>
          <cell r="D134">
            <v>43239083</v>
          </cell>
        </row>
        <row r="135">
          <cell r="B135">
            <v>8406</v>
          </cell>
          <cell r="C135" t="str">
            <v>윤원규</v>
          </cell>
          <cell r="D135">
            <v>48903750</v>
          </cell>
        </row>
        <row r="136">
          <cell r="B136">
            <v>8407</v>
          </cell>
          <cell r="C136" t="str">
            <v>이재용</v>
          </cell>
          <cell r="D136">
            <v>43211250</v>
          </cell>
        </row>
        <row r="137">
          <cell r="B137">
            <v>8615</v>
          </cell>
          <cell r="C137" t="str">
            <v>배순한</v>
          </cell>
          <cell r="D137">
            <v>35428547</v>
          </cell>
        </row>
        <row r="138">
          <cell r="B138">
            <v>8714</v>
          </cell>
          <cell r="C138" t="str">
            <v>이용선</v>
          </cell>
          <cell r="D138">
            <v>31896936</v>
          </cell>
        </row>
        <row r="139">
          <cell r="B139">
            <v>8803</v>
          </cell>
          <cell r="C139" t="str">
            <v>김진형</v>
          </cell>
          <cell r="D139">
            <v>27736500</v>
          </cell>
        </row>
        <row r="140">
          <cell r="B140">
            <v>8809</v>
          </cell>
          <cell r="C140" t="str">
            <v>박명하</v>
          </cell>
          <cell r="D140">
            <v>27808000</v>
          </cell>
        </row>
        <row r="141">
          <cell r="B141">
            <v>9022</v>
          </cell>
          <cell r="C141" t="str">
            <v>김기안</v>
          </cell>
          <cell r="D141">
            <v>19424261</v>
          </cell>
        </row>
        <row r="142">
          <cell r="B142">
            <v>9279</v>
          </cell>
          <cell r="C142" t="str">
            <v>김용희</v>
          </cell>
          <cell r="D142">
            <v>11500000</v>
          </cell>
        </row>
        <row r="143">
          <cell r="B143">
            <v>9280</v>
          </cell>
          <cell r="C143" t="str">
            <v>문현성</v>
          </cell>
          <cell r="D143">
            <v>11500000</v>
          </cell>
        </row>
        <row r="144">
          <cell r="B144">
            <v>9337</v>
          </cell>
          <cell r="C144" t="str">
            <v>구한욱</v>
          </cell>
          <cell r="D144">
            <v>9806637</v>
          </cell>
        </row>
        <row r="145">
          <cell r="B145">
            <v>9406</v>
          </cell>
          <cell r="C145" t="str">
            <v>황상혁</v>
          </cell>
          <cell r="D145">
            <v>8086665</v>
          </cell>
        </row>
        <row r="146">
          <cell r="B146">
            <v>9507</v>
          </cell>
          <cell r="C146" t="str">
            <v>배종선</v>
          </cell>
          <cell r="D146">
            <v>6008750</v>
          </cell>
        </row>
        <row r="147">
          <cell r="B147">
            <v>9509</v>
          </cell>
          <cell r="C147" t="str">
            <v>임규성</v>
          </cell>
          <cell r="D147">
            <v>6035583</v>
          </cell>
        </row>
        <row r="148">
          <cell r="B148">
            <v>9530</v>
          </cell>
          <cell r="C148" t="str">
            <v>김갑수</v>
          </cell>
          <cell r="D148">
            <v>5482750</v>
          </cell>
        </row>
        <row r="149">
          <cell r="B149" t="str">
            <v xml:space="preserve">91B0 </v>
          </cell>
          <cell r="C149" t="str">
            <v>손미정</v>
          </cell>
          <cell r="D149">
            <v>8472828</v>
          </cell>
        </row>
        <row r="150">
          <cell r="B150">
            <v>7501</v>
          </cell>
          <cell r="C150" t="str">
            <v>유원식</v>
          </cell>
          <cell r="D150">
            <v>51305519</v>
          </cell>
        </row>
        <row r="151">
          <cell r="B151">
            <v>7509</v>
          </cell>
          <cell r="C151" t="str">
            <v>채종교</v>
          </cell>
          <cell r="D151">
            <v>80545547</v>
          </cell>
        </row>
        <row r="152">
          <cell r="B152">
            <v>7516</v>
          </cell>
          <cell r="C152" t="str">
            <v>박경노</v>
          </cell>
          <cell r="D152">
            <v>55997047</v>
          </cell>
        </row>
        <row r="153">
          <cell r="B153">
            <v>7603</v>
          </cell>
          <cell r="C153" t="str">
            <v>김학연</v>
          </cell>
          <cell r="D153">
            <v>53938394</v>
          </cell>
        </row>
        <row r="154">
          <cell r="B154">
            <v>7609</v>
          </cell>
          <cell r="C154" t="str">
            <v>박용석</v>
          </cell>
          <cell r="D154">
            <v>54352929</v>
          </cell>
        </row>
        <row r="155">
          <cell r="B155">
            <v>7808</v>
          </cell>
          <cell r="C155" t="str">
            <v>이주훈</v>
          </cell>
          <cell r="D155">
            <v>51862355</v>
          </cell>
        </row>
        <row r="156">
          <cell r="B156">
            <v>7907</v>
          </cell>
          <cell r="C156" t="str">
            <v>김찬우</v>
          </cell>
          <cell r="D156">
            <v>64327416</v>
          </cell>
        </row>
        <row r="157">
          <cell r="B157">
            <v>7914</v>
          </cell>
          <cell r="C157" t="str">
            <v>이승의</v>
          </cell>
          <cell r="D157">
            <v>47078420</v>
          </cell>
        </row>
        <row r="158">
          <cell r="B158">
            <v>7915</v>
          </cell>
          <cell r="C158" t="str">
            <v>신승선</v>
          </cell>
          <cell r="D158">
            <v>37296958</v>
          </cell>
        </row>
        <row r="159">
          <cell r="B159">
            <v>7917</v>
          </cell>
          <cell r="C159" t="str">
            <v>김영준</v>
          </cell>
          <cell r="D159">
            <v>43264539</v>
          </cell>
        </row>
        <row r="160">
          <cell r="B160">
            <v>8005</v>
          </cell>
          <cell r="C160" t="str">
            <v>신수형</v>
          </cell>
          <cell r="D160">
            <v>39701582</v>
          </cell>
        </row>
        <row r="161">
          <cell r="B161">
            <v>8006</v>
          </cell>
          <cell r="C161" t="str">
            <v>최축성</v>
          </cell>
          <cell r="D161">
            <v>39526327</v>
          </cell>
        </row>
        <row r="162">
          <cell r="B162">
            <v>8109</v>
          </cell>
          <cell r="C162" t="str">
            <v>권상조</v>
          </cell>
          <cell r="D162">
            <v>39316760</v>
          </cell>
        </row>
        <row r="163">
          <cell r="B163">
            <v>8210</v>
          </cell>
          <cell r="C163" t="str">
            <v>이종국</v>
          </cell>
          <cell r="D163">
            <v>34561100</v>
          </cell>
        </row>
        <row r="164">
          <cell r="B164">
            <v>8211</v>
          </cell>
          <cell r="C164" t="str">
            <v>최규만</v>
          </cell>
          <cell r="D164">
            <v>37619995</v>
          </cell>
        </row>
        <row r="165">
          <cell r="B165">
            <v>8220</v>
          </cell>
          <cell r="C165" t="str">
            <v>임종규</v>
          </cell>
          <cell r="D165">
            <v>32982072</v>
          </cell>
        </row>
        <row r="166">
          <cell r="B166">
            <v>8303</v>
          </cell>
          <cell r="C166" t="str">
            <v>이재환</v>
          </cell>
          <cell r="D166">
            <v>48363000</v>
          </cell>
        </row>
        <row r="167">
          <cell r="B167">
            <v>8327</v>
          </cell>
          <cell r="C167" t="str">
            <v>배수홍</v>
          </cell>
          <cell r="D167">
            <v>30578625</v>
          </cell>
        </row>
        <row r="168">
          <cell r="B168">
            <v>8329</v>
          </cell>
          <cell r="C168" t="str">
            <v>강재만</v>
          </cell>
          <cell r="D168">
            <v>34379372</v>
          </cell>
        </row>
        <row r="169">
          <cell r="B169">
            <v>8412</v>
          </cell>
          <cell r="C169" t="str">
            <v>김국환</v>
          </cell>
          <cell r="D169">
            <v>28684995</v>
          </cell>
        </row>
        <row r="170">
          <cell r="B170">
            <v>8413</v>
          </cell>
          <cell r="C170" t="str">
            <v>장홍두</v>
          </cell>
          <cell r="D170">
            <v>31780957</v>
          </cell>
        </row>
        <row r="171">
          <cell r="B171">
            <v>8425</v>
          </cell>
          <cell r="C171" t="str">
            <v>노준우</v>
          </cell>
          <cell r="D171">
            <v>30875166</v>
          </cell>
        </row>
        <row r="172">
          <cell r="B172">
            <v>8426</v>
          </cell>
          <cell r="C172" t="str">
            <v>허규선</v>
          </cell>
          <cell r="D172">
            <v>32953404</v>
          </cell>
        </row>
        <row r="173">
          <cell r="B173">
            <v>8439</v>
          </cell>
          <cell r="C173" t="str">
            <v>이용광</v>
          </cell>
          <cell r="D173">
            <v>44007500</v>
          </cell>
        </row>
        <row r="174">
          <cell r="B174">
            <v>8450</v>
          </cell>
          <cell r="C174" t="str">
            <v>유호창</v>
          </cell>
          <cell r="D174">
            <v>26790967</v>
          </cell>
        </row>
        <row r="175">
          <cell r="B175">
            <v>8515</v>
          </cell>
          <cell r="C175" t="str">
            <v>손호식</v>
          </cell>
          <cell r="D175">
            <v>22520302</v>
          </cell>
        </row>
        <row r="176">
          <cell r="B176">
            <v>8605</v>
          </cell>
          <cell r="C176" t="str">
            <v>박재관</v>
          </cell>
          <cell r="D176">
            <v>24928365</v>
          </cell>
        </row>
        <row r="177">
          <cell r="B177">
            <v>8624</v>
          </cell>
          <cell r="C177" t="str">
            <v>이병섭</v>
          </cell>
          <cell r="D177">
            <v>23235416</v>
          </cell>
        </row>
        <row r="178">
          <cell r="B178">
            <v>8627</v>
          </cell>
          <cell r="C178" t="str">
            <v>우정국</v>
          </cell>
          <cell r="D178">
            <v>25530414</v>
          </cell>
        </row>
        <row r="179">
          <cell r="B179">
            <v>8634</v>
          </cell>
          <cell r="C179" t="str">
            <v>배규경</v>
          </cell>
          <cell r="D179">
            <v>20852785</v>
          </cell>
        </row>
        <row r="180">
          <cell r="B180">
            <v>8704</v>
          </cell>
          <cell r="C180" t="str">
            <v>김동주</v>
          </cell>
          <cell r="D180">
            <v>30048000</v>
          </cell>
        </row>
        <row r="181">
          <cell r="B181">
            <v>8742</v>
          </cell>
          <cell r="C181" t="str">
            <v>유충단</v>
          </cell>
          <cell r="D181">
            <v>19557473</v>
          </cell>
        </row>
        <row r="182">
          <cell r="B182">
            <v>8757</v>
          </cell>
          <cell r="C182" t="str">
            <v>공세욱</v>
          </cell>
          <cell r="D182">
            <v>23525742</v>
          </cell>
        </row>
        <row r="183">
          <cell r="B183">
            <v>8759</v>
          </cell>
          <cell r="C183" t="str">
            <v>김종경</v>
          </cell>
          <cell r="D183">
            <v>18354186</v>
          </cell>
        </row>
        <row r="184">
          <cell r="B184">
            <v>8768</v>
          </cell>
          <cell r="C184" t="str">
            <v>정해동</v>
          </cell>
          <cell r="D184">
            <v>21426457</v>
          </cell>
        </row>
        <row r="185">
          <cell r="B185">
            <v>8775</v>
          </cell>
          <cell r="C185" t="str">
            <v>한기룡</v>
          </cell>
          <cell r="D185">
            <v>18119870</v>
          </cell>
        </row>
        <row r="186">
          <cell r="B186">
            <v>8778</v>
          </cell>
          <cell r="C186" t="str">
            <v>한재은</v>
          </cell>
          <cell r="D186">
            <v>18891141</v>
          </cell>
        </row>
        <row r="187">
          <cell r="B187">
            <v>8816</v>
          </cell>
          <cell r="C187" t="str">
            <v>황규태</v>
          </cell>
          <cell r="D187">
            <v>28567000</v>
          </cell>
        </row>
        <row r="188">
          <cell r="B188">
            <v>8834</v>
          </cell>
          <cell r="C188" t="str">
            <v>정인경</v>
          </cell>
          <cell r="D188">
            <v>14208740</v>
          </cell>
        </row>
        <row r="189">
          <cell r="B189">
            <v>8841</v>
          </cell>
          <cell r="C189" t="str">
            <v>정해일</v>
          </cell>
          <cell r="D189">
            <v>20667084</v>
          </cell>
        </row>
        <row r="190">
          <cell r="B190">
            <v>8843</v>
          </cell>
          <cell r="C190" t="str">
            <v>유태경</v>
          </cell>
          <cell r="D190">
            <v>22322793</v>
          </cell>
        </row>
        <row r="191">
          <cell r="B191">
            <v>8845</v>
          </cell>
          <cell r="C191" t="str">
            <v>최승철</v>
          </cell>
          <cell r="D191">
            <v>26855833</v>
          </cell>
        </row>
        <row r="192">
          <cell r="B192">
            <v>8867</v>
          </cell>
          <cell r="C192" t="str">
            <v>조강석</v>
          </cell>
          <cell r="D192">
            <v>17748152</v>
          </cell>
        </row>
        <row r="193">
          <cell r="B193">
            <v>8870</v>
          </cell>
          <cell r="C193" t="str">
            <v xml:space="preserve">윤랑  </v>
          </cell>
          <cell r="D193">
            <v>15232804</v>
          </cell>
        </row>
        <row r="194">
          <cell r="B194">
            <v>8874</v>
          </cell>
          <cell r="C194" t="str">
            <v>이상균</v>
          </cell>
          <cell r="D194">
            <v>30575104</v>
          </cell>
        </row>
        <row r="195">
          <cell r="B195">
            <v>8875</v>
          </cell>
          <cell r="C195" t="str">
            <v>이종환</v>
          </cell>
          <cell r="D195">
            <v>16846048</v>
          </cell>
        </row>
        <row r="196">
          <cell r="B196">
            <v>8913</v>
          </cell>
          <cell r="C196" t="str">
            <v>황선욱</v>
          </cell>
          <cell r="D196">
            <v>15587700</v>
          </cell>
        </row>
        <row r="197">
          <cell r="B197">
            <v>8914</v>
          </cell>
          <cell r="C197" t="str">
            <v>조강훈</v>
          </cell>
          <cell r="D197">
            <v>14868700</v>
          </cell>
        </row>
        <row r="198">
          <cell r="B198">
            <v>8946</v>
          </cell>
          <cell r="C198" t="str">
            <v>배현수</v>
          </cell>
          <cell r="D198">
            <v>14397483</v>
          </cell>
        </row>
        <row r="199">
          <cell r="B199">
            <v>8950</v>
          </cell>
          <cell r="C199" t="str">
            <v>최혜진</v>
          </cell>
          <cell r="D199">
            <v>11860965</v>
          </cell>
        </row>
        <row r="200">
          <cell r="B200">
            <v>8951</v>
          </cell>
          <cell r="C200" t="str">
            <v>김성락</v>
          </cell>
          <cell r="D200">
            <v>14117256</v>
          </cell>
        </row>
        <row r="201">
          <cell r="B201">
            <v>9013</v>
          </cell>
          <cell r="C201" t="str">
            <v>나희광</v>
          </cell>
          <cell r="D201">
            <v>17900439</v>
          </cell>
        </row>
        <row r="202">
          <cell r="B202">
            <v>9017</v>
          </cell>
          <cell r="C202" t="str">
            <v>김경일</v>
          </cell>
          <cell r="D202">
            <v>19615041</v>
          </cell>
        </row>
        <row r="203">
          <cell r="B203">
            <v>9019</v>
          </cell>
          <cell r="C203" t="str">
            <v>이용호</v>
          </cell>
          <cell r="D203">
            <v>15885052</v>
          </cell>
        </row>
        <row r="204">
          <cell r="B204">
            <v>9107</v>
          </cell>
          <cell r="C204" t="str">
            <v>이탁규</v>
          </cell>
          <cell r="D204">
            <v>15312147</v>
          </cell>
        </row>
        <row r="205">
          <cell r="B205">
            <v>9110</v>
          </cell>
          <cell r="C205" t="str">
            <v>유영호</v>
          </cell>
          <cell r="D205">
            <v>12590696</v>
          </cell>
        </row>
        <row r="206">
          <cell r="B206">
            <v>9122</v>
          </cell>
          <cell r="C206" t="str">
            <v>임행춘</v>
          </cell>
          <cell r="D206">
            <v>13603265</v>
          </cell>
        </row>
        <row r="207">
          <cell r="B207">
            <v>9127</v>
          </cell>
          <cell r="C207" t="str">
            <v>최윤희</v>
          </cell>
          <cell r="D207">
            <v>9164219</v>
          </cell>
        </row>
        <row r="208">
          <cell r="B208">
            <v>9138</v>
          </cell>
          <cell r="C208" t="str">
            <v>홍경석</v>
          </cell>
          <cell r="D208">
            <v>13169353</v>
          </cell>
        </row>
        <row r="209">
          <cell r="B209">
            <v>9143</v>
          </cell>
          <cell r="C209" t="str">
            <v>이동훈</v>
          </cell>
          <cell r="D209">
            <v>12551171</v>
          </cell>
        </row>
        <row r="210">
          <cell r="B210">
            <v>9153</v>
          </cell>
          <cell r="C210" t="str">
            <v>이은숙</v>
          </cell>
          <cell r="D210">
            <v>9579501</v>
          </cell>
        </row>
        <row r="211">
          <cell r="B211">
            <v>9168</v>
          </cell>
          <cell r="C211" t="str">
            <v>장석현</v>
          </cell>
          <cell r="D211">
            <v>13572840</v>
          </cell>
        </row>
        <row r="212">
          <cell r="B212">
            <v>9199</v>
          </cell>
          <cell r="C212" t="str">
            <v>이명경</v>
          </cell>
          <cell r="D212">
            <v>10132166</v>
          </cell>
        </row>
        <row r="213">
          <cell r="B213">
            <v>9222</v>
          </cell>
          <cell r="C213" t="str">
            <v>김장성</v>
          </cell>
          <cell r="D213">
            <v>10138685</v>
          </cell>
        </row>
        <row r="214">
          <cell r="B214">
            <v>9228</v>
          </cell>
          <cell r="C214" t="str">
            <v>김미자</v>
          </cell>
          <cell r="D214">
            <v>8615166</v>
          </cell>
        </row>
        <row r="215">
          <cell r="B215">
            <v>9233</v>
          </cell>
          <cell r="C215" t="str">
            <v>조남석</v>
          </cell>
          <cell r="D215">
            <v>11398495</v>
          </cell>
        </row>
        <row r="216">
          <cell r="B216">
            <v>9243</v>
          </cell>
          <cell r="C216" t="str">
            <v>박인석</v>
          </cell>
          <cell r="D216">
            <v>9858489</v>
          </cell>
        </row>
        <row r="217">
          <cell r="B217">
            <v>9277</v>
          </cell>
          <cell r="C217" t="str">
            <v>김용기</v>
          </cell>
          <cell r="D217">
            <v>10971616</v>
          </cell>
        </row>
        <row r="218">
          <cell r="B218">
            <v>9284</v>
          </cell>
          <cell r="C218" t="str">
            <v>임희동</v>
          </cell>
          <cell r="D218">
            <v>7860299</v>
          </cell>
        </row>
        <row r="219">
          <cell r="B219">
            <v>9286</v>
          </cell>
          <cell r="C219" t="str">
            <v>임상혁</v>
          </cell>
          <cell r="D219">
            <v>9355680</v>
          </cell>
        </row>
        <row r="220">
          <cell r="B220">
            <v>9319</v>
          </cell>
          <cell r="C220" t="str">
            <v>임현상</v>
          </cell>
          <cell r="D220">
            <v>11399902</v>
          </cell>
        </row>
        <row r="221">
          <cell r="B221">
            <v>9326</v>
          </cell>
          <cell r="C221" t="str">
            <v>김영광</v>
          </cell>
          <cell r="D221">
            <v>9191375</v>
          </cell>
        </row>
        <row r="222">
          <cell r="B222">
            <v>9336</v>
          </cell>
          <cell r="C222" t="str">
            <v>장영수</v>
          </cell>
          <cell r="D222">
            <v>9882190</v>
          </cell>
        </row>
        <row r="223">
          <cell r="B223">
            <v>9346</v>
          </cell>
          <cell r="C223" t="str">
            <v>김희용</v>
          </cell>
          <cell r="D223">
            <v>8934327</v>
          </cell>
        </row>
        <row r="224">
          <cell r="B224">
            <v>9347</v>
          </cell>
          <cell r="C224" t="str">
            <v>안맹환</v>
          </cell>
          <cell r="D224">
            <v>8226483</v>
          </cell>
        </row>
        <row r="225">
          <cell r="B225">
            <v>9350</v>
          </cell>
          <cell r="C225" t="str">
            <v>신동원</v>
          </cell>
          <cell r="D225">
            <v>8741216</v>
          </cell>
        </row>
        <row r="226">
          <cell r="B226">
            <v>9359</v>
          </cell>
          <cell r="C226" t="str">
            <v>우광호</v>
          </cell>
          <cell r="D226">
            <v>9732272</v>
          </cell>
        </row>
        <row r="227">
          <cell r="B227">
            <v>9371</v>
          </cell>
          <cell r="C227" t="str">
            <v>유향숙</v>
          </cell>
          <cell r="D227">
            <v>6346666</v>
          </cell>
        </row>
        <row r="228">
          <cell r="B228">
            <v>9374</v>
          </cell>
          <cell r="C228" t="str">
            <v>한은선</v>
          </cell>
          <cell r="D228">
            <v>6223145</v>
          </cell>
        </row>
        <row r="229">
          <cell r="B229">
            <v>9377</v>
          </cell>
          <cell r="C229" t="str">
            <v>이동근</v>
          </cell>
          <cell r="D229">
            <v>6880860</v>
          </cell>
        </row>
        <row r="230">
          <cell r="B230">
            <v>9405</v>
          </cell>
          <cell r="C230" t="str">
            <v>정재훈</v>
          </cell>
          <cell r="D230">
            <v>7810000</v>
          </cell>
        </row>
        <row r="231">
          <cell r="B231">
            <v>9410</v>
          </cell>
          <cell r="C231" t="str">
            <v>윤혜진</v>
          </cell>
          <cell r="D231">
            <v>6016880</v>
          </cell>
        </row>
        <row r="232">
          <cell r="B232">
            <v>9414</v>
          </cell>
          <cell r="C232" t="str">
            <v>방광일</v>
          </cell>
          <cell r="D232">
            <v>7630910</v>
          </cell>
        </row>
        <row r="233">
          <cell r="B233">
            <v>9428</v>
          </cell>
          <cell r="C233" t="str">
            <v>이애숙</v>
          </cell>
          <cell r="D233">
            <v>5444687</v>
          </cell>
        </row>
        <row r="234">
          <cell r="B234">
            <v>9438</v>
          </cell>
          <cell r="C234" t="str">
            <v>박노중</v>
          </cell>
          <cell r="D234">
            <v>7511773</v>
          </cell>
        </row>
        <row r="235">
          <cell r="B235">
            <v>9446</v>
          </cell>
          <cell r="C235" t="str">
            <v>이상서</v>
          </cell>
          <cell r="D235">
            <v>6748527</v>
          </cell>
        </row>
        <row r="236">
          <cell r="B236">
            <v>9447</v>
          </cell>
          <cell r="C236" t="str">
            <v>임용술</v>
          </cell>
          <cell r="D236">
            <v>6325900</v>
          </cell>
        </row>
        <row r="237">
          <cell r="B237">
            <v>9454</v>
          </cell>
          <cell r="C237" t="str">
            <v>강성우</v>
          </cell>
          <cell r="D237">
            <v>6218552</v>
          </cell>
        </row>
        <row r="238">
          <cell r="B238">
            <v>9457</v>
          </cell>
          <cell r="C238" t="str">
            <v>권경호</v>
          </cell>
          <cell r="D238">
            <v>6492667</v>
          </cell>
        </row>
        <row r="239">
          <cell r="B239">
            <v>9458</v>
          </cell>
          <cell r="C239" t="str">
            <v>임익기</v>
          </cell>
          <cell r="D239">
            <v>6336105</v>
          </cell>
        </row>
        <row r="240">
          <cell r="B240">
            <v>9463</v>
          </cell>
          <cell r="C240" t="str">
            <v>송희영</v>
          </cell>
          <cell r="D240">
            <v>7580824</v>
          </cell>
        </row>
        <row r="241">
          <cell r="B241">
            <v>9467</v>
          </cell>
          <cell r="C241" t="str">
            <v>한상향</v>
          </cell>
          <cell r="D241">
            <v>5720636</v>
          </cell>
        </row>
        <row r="242">
          <cell r="B242">
            <v>9472</v>
          </cell>
          <cell r="C242" t="str">
            <v>강신갑</v>
          </cell>
          <cell r="D242">
            <v>5411454</v>
          </cell>
        </row>
        <row r="243">
          <cell r="B243">
            <v>9523</v>
          </cell>
          <cell r="C243" t="str">
            <v>오현양</v>
          </cell>
          <cell r="D243">
            <v>4071859</v>
          </cell>
        </row>
        <row r="244">
          <cell r="B244">
            <v>9605</v>
          </cell>
          <cell r="C244" t="str">
            <v>최수연</v>
          </cell>
          <cell r="D244">
            <v>3288621</v>
          </cell>
        </row>
        <row r="245">
          <cell r="B245">
            <v>9618</v>
          </cell>
          <cell r="C245" t="str">
            <v>계현주</v>
          </cell>
          <cell r="D245">
            <v>2252778</v>
          </cell>
        </row>
        <row r="246">
          <cell r="B246">
            <v>98006</v>
          </cell>
          <cell r="C246" t="str">
            <v>서상철</v>
          </cell>
          <cell r="D246">
            <v>0</v>
          </cell>
        </row>
        <row r="247">
          <cell r="B247">
            <v>98008</v>
          </cell>
          <cell r="C247" t="str">
            <v>백웅기</v>
          </cell>
          <cell r="D247">
            <v>0</v>
          </cell>
        </row>
        <row r="248">
          <cell r="B248" t="str">
            <v xml:space="preserve">88A0 </v>
          </cell>
          <cell r="C248" t="str">
            <v>천효숙</v>
          </cell>
          <cell r="D248">
            <v>13111604</v>
          </cell>
        </row>
        <row r="249">
          <cell r="B249" t="str">
            <v xml:space="preserve">88A1 </v>
          </cell>
          <cell r="C249" t="str">
            <v>이노성</v>
          </cell>
          <cell r="D249">
            <v>19496108</v>
          </cell>
        </row>
        <row r="250">
          <cell r="B250" t="str">
            <v xml:space="preserve">88A8 </v>
          </cell>
          <cell r="C250" t="str">
            <v>이상원</v>
          </cell>
          <cell r="D250">
            <v>16759226</v>
          </cell>
        </row>
        <row r="251">
          <cell r="B251" t="str">
            <v xml:space="preserve">91C2 </v>
          </cell>
          <cell r="C251" t="str">
            <v>서성관</v>
          </cell>
          <cell r="D251">
            <v>11835384</v>
          </cell>
        </row>
        <row r="252">
          <cell r="B252" t="str">
            <v xml:space="preserve">91C5 </v>
          </cell>
          <cell r="C252" t="str">
            <v>방애경</v>
          </cell>
          <cell r="D252">
            <v>8952413</v>
          </cell>
        </row>
        <row r="253">
          <cell r="B253" t="str">
            <v xml:space="preserve">91D3 </v>
          </cell>
          <cell r="C253" t="str">
            <v>김응권</v>
          </cell>
          <cell r="D253">
            <v>19660732</v>
          </cell>
        </row>
        <row r="254">
          <cell r="B254">
            <v>7504</v>
          </cell>
          <cell r="C254" t="str">
            <v>이근학</v>
          </cell>
          <cell r="D254">
            <v>91584880</v>
          </cell>
        </row>
        <row r="255">
          <cell r="B255">
            <v>8804</v>
          </cell>
          <cell r="C255" t="str">
            <v>육장용</v>
          </cell>
          <cell r="D255">
            <v>27959250</v>
          </cell>
        </row>
        <row r="256">
          <cell r="B256">
            <v>97002</v>
          </cell>
          <cell r="C256" t="str">
            <v>강석근</v>
          </cell>
          <cell r="D256">
            <v>3722679</v>
          </cell>
        </row>
        <row r="257">
          <cell r="B257">
            <v>97003</v>
          </cell>
          <cell r="C257" t="str">
            <v>황연익</v>
          </cell>
          <cell r="D257">
            <v>2265088</v>
          </cell>
        </row>
        <row r="258">
          <cell r="B258">
            <v>97004</v>
          </cell>
          <cell r="C258" t="str">
            <v>윤종석</v>
          </cell>
          <cell r="D258">
            <v>2394528</v>
          </cell>
        </row>
        <row r="259">
          <cell r="B259">
            <v>97005</v>
          </cell>
          <cell r="C259" t="str">
            <v>이인복</v>
          </cell>
          <cell r="D259">
            <v>2318106</v>
          </cell>
        </row>
        <row r="260">
          <cell r="B260">
            <v>97007</v>
          </cell>
          <cell r="C260" t="str">
            <v>최상철</v>
          </cell>
          <cell r="D260">
            <v>2060502</v>
          </cell>
        </row>
        <row r="261">
          <cell r="B261">
            <v>97008</v>
          </cell>
          <cell r="C261" t="str">
            <v>김현수</v>
          </cell>
          <cell r="D261">
            <v>2609925</v>
          </cell>
        </row>
        <row r="262">
          <cell r="B262">
            <v>97009</v>
          </cell>
          <cell r="C262" t="str">
            <v>진갑중</v>
          </cell>
          <cell r="D262">
            <v>1821287</v>
          </cell>
        </row>
        <row r="263">
          <cell r="B263">
            <v>97010</v>
          </cell>
          <cell r="C263" t="str">
            <v>전훈선</v>
          </cell>
          <cell r="D263">
            <v>1882296</v>
          </cell>
        </row>
        <row r="264">
          <cell r="B264">
            <v>97011</v>
          </cell>
          <cell r="C264" t="str">
            <v>김대훈</v>
          </cell>
          <cell r="D264">
            <v>2423993</v>
          </cell>
        </row>
        <row r="265">
          <cell r="B265">
            <v>97014</v>
          </cell>
          <cell r="C265" t="str">
            <v>박영복</v>
          </cell>
          <cell r="D265">
            <v>80500</v>
          </cell>
        </row>
        <row r="266">
          <cell r="B266">
            <v>97015</v>
          </cell>
          <cell r="C266" t="str">
            <v>유정훈</v>
          </cell>
          <cell r="D266">
            <v>1852524</v>
          </cell>
        </row>
        <row r="267">
          <cell r="B267">
            <v>97016</v>
          </cell>
          <cell r="C267" t="str">
            <v>김정규</v>
          </cell>
          <cell r="D267">
            <v>1809481</v>
          </cell>
        </row>
        <row r="268">
          <cell r="B268">
            <v>97018</v>
          </cell>
          <cell r="C268" t="str">
            <v>박정호</v>
          </cell>
          <cell r="D268">
            <v>1619107</v>
          </cell>
        </row>
        <row r="269">
          <cell r="B269">
            <v>97019</v>
          </cell>
          <cell r="C269" t="str">
            <v>박건수</v>
          </cell>
          <cell r="D269">
            <v>1633892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07904-A157-4B89-8155-14BAB40B1927}">
  <sheetPr>
    <tabColor theme="1"/>
    <pageSetUpPr fitToPage="1"/>
  </sheetPr>
  <dimension ref="A1:AS596"/>
  <sheetViews>
    <sheetView tabSelected="1" zoomScale="85" zoomScaleNormal="85" workbookViewId="0"/>
  </sheetViews>
  <sheetFormatPr defaultColWidth="9" defaultRowHeight="16.5" outlineLevelRow="1" outlineLevelCol="1" x14ac:dyDescent="0.3"/>
  <cols>
    <col min="1" max="1" width="5.625" style="307" customWidth="1"/>
    <col min="2" max="2" width="0.875" style="308" customWidth="1"/>
    <col min="3" max="3" width="22.625" style="309" customWidth="1"/>
    <col min="4" max="4" width="6.75" style="308" customWidth="1"/>
    <col min="5" max="5" width="15.75" style="309" hidden="1" customWidth="1"/>
    <col min="6" max="6" width="15.625" style="309" hidden="1" customWidth="1"/>
    <col min="7" max="7" width="16" style="309" bestFit="1" customWidth="1"/>
    <col min="8" max="8" width="7.875" style="310" customWidth="1"/>
    <col min="9" max="18" width="15.75" style="310" customWidth="1" outlineLevel="1"/>
    <col min="19" max="19" width="15.75" style="310" customWidth="1"/>
    <col min="20" max="20" width="14.875" style="310" customWidth="1"/>
    <col min="21" max="21" width="6" style="307" bestFit="1" customWidth="1"/>
    <col min="22" max="22" width="0.875" style="308" customWidth="1"/>
    <col min="23" max="23" width="21.125" style="308" customWidth="1" collapsed="1"/>
    <col min="24" max="24" width="0.875" style="308" customWidth="1"/>
    <col min="25" max="26" width="15.625" style="310" hidden="1" customWidth="1"/>
    <col min="27" max="27" width="15.625" style="310" customWidth="1"/>
    <col min="28" max="28" width="6.625" style="309" customWidth="1"/>
    <col min="29" max="40" width="15.625" style="310" customWidth="1"/>
    <col min="41" max="41" width="14.875" bestFit="1" customWidth="1"/>
    <col min="42" max="42" width="16.625" style="10" bestFit="1" customWidth="1"/>
    <col min="43" max="43" width="17.75" style="10" bestFit="1" customWidth="1"/>
  </cols>
  <sheetData>
    <row r="1" spans="1:45" ht="24" thickTop="1" thickBot="1" x14ac:dyDescent="0.35">
      <c r="A1" s="1">
        <v>12</v>
      </c>
      <c r="B1" s="2"/>
      <c r="C1" s="3" t="str">
        <f>IF(A3=1,"■ "&amp;AQ1&amp;" 재무상태표 ("&amp;AR1&amp;A1&amp;"월)",IF(A3=2,"■ "&amp;AQ1&amp;" 포괄손익계산서 ("&amp;AR1&amp;A1&amp;"월)",IF(A3=3,"■ "&amp;AQ1&amp;" 제조원가명세서 ("&amp;AR1&amp;A1&amp;"월)","■ "&amp;AQ1&amp;" 재무제표 ("&amp;AR1&amp;A1&amp;"월)")))</f>
        <v>■ 코스맥스BTI 재무상태표 (25년12월)</v>
      </c>
      <c r="D1" s="2"/>
      <c r="E1" s="4"/>
      <c r="F1" s="4"/>
      <c r="G1" s="4"/>
      <c r="H1" s="5"/>
      <c r="I1" s="5"/>
      <c r="J1" s="5"/>
      <c r="K1" s="5"/>
      <c r="L1" s="5"/>
      <c r="M1" s="5"/>
      <c r="N1" s="5"/>
      <c r="O1" s="6"/>
      <c r="P1" s="6"/>
      <c r="Q1" s="7"/>
      <c r="R1" s="5"/>
      <c r="S1" s="5"/>
      <c r="T1" s="5"/>
      <c r="U1" s="1">
        <v>12</v>
      </c>
      <c r="V1" s="8"/>
      <c r="W1" s="9" t="str">
        <f>IF(A3=1,"■ "&amp;AQ1&amp;" 재무상태표 ("&amp;AS1&amp;U1&amp;"월)",IF(A3=2,"■ "&amp;AQ1&amp;" 포괄손익계산서 ("&amp;AS1&amp;U1&amp;"월)",IF(A3=3,"■ "&amp;AQ1&amp;" 제조원가명세서 ("&amp;AS1&amp;U1&amp;"월)","■ "&amp;AQ1&amp;" 재무제표 ("&amp;AS1&amp;U1&amp;"월)")))</f>
        <v>■ 코스맥스BTI 재무상태표 (24년12월)</v>
      </c>
      <c r="X1" s="8"/>
      <c r="Y1" s="5"/>
      <c r="Z1" s="5"/>
      <c r="AA1" s="5"/>
      <c r="AB1" s="4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Q1" s="11" t="s">
        <v>0</v>
      </c>
      <c r="AR1" s="11" t="s">
        <v>1</v>
      </c>
      <c r="AS1" s="11" t="s">
        <v>2</v>
      </c>
    </row>
    <row r="2" spans="1:45" s="18" customFormat="1" ht="15" customHeight="1" thickTop="1" thickBot="1" x14ac:dyDescent="0.35">
      <c r="A2" s="12"/>
      <c r="B2" s="13"/>
      <c r="C2" s="14"/>
      <c r="D2" s="13"/>
      <c r="E2" s="15"/>
      <c r="F2" s="15"/>
      <c r="G2" s="16">
        <f>G193</f>
        <v>0</v>
      </c>
      <c r="H2" s="16"/>
      <c r="I2" s="16">
        <f t="shared" ref="I2:S2" si="0">I193</f>
        <v>0</v>
      </c>
      <c r="J2" s="16">
        <f t="shared" si="0"/>
        <v>0</v>
      </c>
      <c r="K2" s="16">
        <f t="shared" si="0"/>
        <v>0</v>
      </c>
      <c r="L2" s="16">
        <f t="shared" si="0"/>
        <v>0</v>
      </c>
      <c r="M2" s="16">
        <f t="shared" si="0"/>
        <v>0</v>
      </c>
      <c r="N2" s="16">
        <f t="shared" si="0"/>
        <v>0</v>
      </c>
      <c r="O2" s="16">
        <f t="shared" si="0"/>
        <v>0</v>
      </c>
      <c r="P2" s="16">
        <f t="shared" si="0"/>
        <v>0</v>
      </c>
      <c r="Q2" s="16">
        <f t="shared" si="0"/>
        <v>0</v>
      </c>
      <c r="R2" s="16">
        <f t="shared" si="0"/>
        <v>0</v>
      </c>
      <c r="S2" s="16">
        <f t="shared" si="0"/>
        <v>0</v>
      </c>
      <c r="T2" s="17" t="str">
        <f>IF(T193=0,"(단위 : 원)",T193)</f>
        <v>(단위 : 원)</v>
      </c>
      <c r="U2" s="12"/>
      <c r="V2" s="13"/>
      <c r="W2" s="14"/>
      <c r="X2" s="13"/>
      <c r="Y2" s="15"/>
      <c r="Z2" s="15"/>
      <c r="AA2" s="16">
        <f>AA193</f>
        <v>0</v>
      </c>
      <c r="AB2" s="16"/>
      <c r="AC2" s="16">
        <f t="shared" ref="AC2:AM2" si="1">AC193</f>
        <v>0</v>
      </c>
      <c r="AD2" s="16">
        <f t="shared" si="1"/>
        <v>0</v>
      </c>
      <c r="AE2" s="16">
        <f t="shared" si="1"/>
        <v>0</v>
      </c>
      <c r="AF2" s="16">
        <f t="shared" si="1"/>
        <v>0</v>
      </c>
      <c r="AG2" s="16">
        <f t="shared" si="1"/>
        <v>0</v>
      </c>
      <c r="AH2" s="16">
        <f t="shared" si="1"/>
        <v>0</v>
      </c>
      <c r="AI2" s="16">
        <f>AI193</f>
        <v>0</v>
      </c>
      <c r="AJ2" s="16">
        <f t="shared" si="1"/>
        <v>0</v>
      </c>
      <c r="AK2" s="16">
        <f t="shared" si="1"/>
        <v>0</v>
      </c>
      <c r="AL2" s="16">
        <f t="shared" si="1"/>
        <v>0</v>
      </c>
      <c r="AM2" s="16">
        <f t="shared" si="1"/>
        <v>0</v>
      </c>
      <c r="AN2" s="17" t="str">
        <f>IF(AN193=0,"(단위 : 원)",AN193)</f>
        <v>(단위 : 원)</v>
      </c>
      <c r="AP2" s="19"/>
      <c r="AQ2" s="19"/>
    </row>
    <row r="3" spans="1:45" s="32" customFormat="1" ht="13.5" x14ac:dyDescent="0.15">
      <c r="A3" s="20">
        <v>1</v>
      </c>
      <c r="B3" s="21"/>
      <c r="C3" s="22" t="s">
        <v>3</v>
      </c>
      <c r="D3" s="23"/>
      <c r="E3" s="24">
        <f>A1</f>
        <v>12</v>
      </c>
      <c r="F3" s="25">
        <f>E3-1</f>
        <v>11</v>
      </c>
      <c r="G3" s="26">
        <f>A1</f>
        <v>12</v>
      </c>
      <c r="H3" s="27" t="s">
        <v>4</v>
      </c>
      <c r="I3" s="28">
        <v>1</v>
      </c>
      <c r="J3" s="28">
        <v>2</v>
      </c>
      <c r="K3" s="28">
        <v>3</v>
      </c>
      <c r="L3" s="28">
        <v>4</v>
      </c>
      <c r="M3" s="28">
        <v>5</v>
      </c>
      <c r="N3" s="28">
        <v>6</v>
      </c>
      <c r="O3" s="28">
        <v>7</v>
      </c>
      <c r="P3" s="28">
        <v>8</v>
      </c>
      <c r="Q3" s="28">
        <v>9</v>
      </c>
      <c r="R3" s="28">
        <v>10</v>
      </c>
      <c r="S3" s="28">
        <v>11</v>
      </c>
      <c r="T3" s="28">
        <v>12</v>
      </c>
      <c r="U3" s="20">
        <f t="shared" ref="U3:V20" si="2">A3</f>
        <v>1</v>
      </c>
      <c r="V3" s="21"/>
      <c r="W3" s="22" t="s">
        <v>3</v>
      </c>
      <c r="X3" s="23"/>
      <c r="Y3" s="29">
        <f>U1</f>
        <v>12</v>
      </c>
      <c r="Z3" s="30">
        <f>U1-1</f>
        <v>11</v>
      </c>
      <c r="AA3" s="31">
        <f>U1</f>
        <v>12</v>
      </c>
      <c r="AB3" s="27" t="s">
        <v>4</v>
      </c>
      <c r="AC3" s="24">
        <v>1</v>
      </c>
      <c r="AD3" s="24">
        <v>2</v>
      </c>
      <c r="AE3" s="24">
        <v>3</v>
      </c>
      <c r="AF3" s="24">
        <v>4</v>
      </c>
      <c r="AG3" s="24">
        <v>5</v>
      </c>
      <c r="AH3" s="24">
        <v>6</v>
      </c>
      <c r="AI3" s="24">
        <v>7</v>
      </c>
      <c r="AJ3" s="24">
        <v>8</v>
      </c>
      <c r="AK3" s="24">
        <v>9</v>
      </c>
      <c r="AL3" s="24">
        <v>10</v>
      </c>
      <c r="AM3" s="24">
        <v>11</v>
      </c>
      <c r="AN3" s="24">
        <v>12</v>
      </c>
      <c r="AP3" s="33"/>
      <c r="AQ3" s="33"/>
    </row>
    <row r="4" spans="1:45" s="43" customFormat="1" ht="13.5" x14ac:dyDescent="0.15">
      <c r="A4" s="34">
        <v>1</v>
      </c>
      <c r="B4" s="35">
        <v>2</v>
      </c>
      <c r="C4" s="36" t="s">
        <v>5</v>
      </c>
      <c r="D4" s="37"/>
      <c r="E4" s="38"/>
      <c r="F4" s="39"/>
      <c r="G4" s="40"/>
      <c r="H4" s="41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34">
        <f t="shared" si="2"/>
        <v>1</v>
      </c>
      <c r="V4" s="35">
        <f t="shared" si="2"/>
        <v>2</v>
      </c>
      <c r="W4" s="36" t="s">
        <v>5</v>
      </c>
      <c r="X4" s="37"/>
      <c r="Y4" s="38"/>
      <c r="Z4" s="39"/>
      <c r="AA4" s="40"/>
      <c r="AB4" s="41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</row>
    <row r="5" spans="1:45" s="52" customFormat="1" ht="13.5" collapsed="1" x14ac:dyDescent="0.15">
      <c r="A5" s="44">
        <v>1</v>
      </c>
      <c r="B5" s="45">
        <f>B4+1</f>
        <v>3</v>
      </c>
      <c r="C5" s="46" t="s">
        <v>6</v>
      </c>
      <c r="D5" s="47"/>
      <c r="E5" s="48">
        <f>E6+E10+E15+E28+E40+E41</f>
        <v>102934294195</v>
      </c>
      <c r="F5" s="49"/>
      <c r="G5" s="50">
        <f>G6+G10+G15+G28+G40+G41</f>
        <v>102934294195</v>
      </c>
      <c r="H5" s="51"/>
      <c r="I5" s="48">
        <f>I6+I10+I15+I28+I40+I41</f>
        <v>63996723479</v>
      </c>
      <c r="J5" s="48">
        <f>J6+J10+J15+J28+J40+J41</f>
        <v>62832105650</v>
      </c>
      <c r="K5" s="48">
        <f t="shared" ref="K5:S5" si="3">K6+K10+K15+K28+K40+K41</f>
        <v>74866834240.651459</v>
      </c>
      <c r="L5" s="48">
        <f t="shared" si="3"/>
        <v>71191559497</v>
      </c>
      <c r="M5" s="48">
        <f t="shared" si="3"/>
        <v>80168277622</v>
      </c>
      <c r="N5" s="48">
        <f t="shared" si="3"/>
        <v>92909770218</v>
      </c>
      <c r="O5" s="48">
        <f t="shared" si="3"/>
        <v>103098791031</v>
      </c>
      <c r="P5" s="48">
        <f t="shared" si="3"/>
        <v>106298516320</v>
      </c>
      <c r="Q5" s="48">
        <f>Q6+Q10+Q15+Q28+Q40+Q41</f>
        <v>104368882061</v>
      </c>
      <c r="R5" s="48">
        <f t="shared" si="3"/>
        <v>108887833617</v>
      </c>
      <c r="S5" s="48">
        <f t="shared" si="3"/>
        <v>108682162877</v>
      </c>
      <c r="T5" s="48">
        <f>T6+T10+T15+T28+T40+T41</f>
        <v>102934294195</v>
      </c>
      <c r="U5" s="44">
        <f t="shared" si="2"/>
        <v>1</v>
      </c>
      <c r="V5" s="45">
        <f t="shared" si="2"/>
        <v>3</v>
      </c>
      <c r="W5" s="46" t="s">
        <v>6</v>
      </c>
      <c r="X5" s="47"/>
      <c r="Y5" s="48">
        <f>Y6+Y10+Y15+Y28+Y40+Y41</f>
        <v>65822706535</v>
      </c>
      <c r="Z5" s="49"/>
      <c r="AA5" s="50">
        <f>AA6+AA10+AA15+AA28+AA40+AA41</f>
        <v>65822706535</v>
      </c>
      <c r="AB5" s="51"/>
      <c r="AC5" s="48">
        <f>AC6+AC10+AC15+AC28+AC40+AC41</f>
        <v>51070128883</v>
      </c>
      <c r="AD5" s="48">
        <f t="shared" ref="AD5:AM5" si="4">AD6+AD10+AD15+AD28+AD40+AD41</f>
        <v>49840747981</v>
      </c>
      <c r="AE5" s="48">
        <f t="shared" si="4"/>
        <v>54193523751</v>
      </c>
      <c r="AF5" s="48">
        <f t="shared" si="4"/>
        <v>47302191581</v>
      </c>
      <c r="AG5" s="48">
        <f t="shared" si="4"/>
        <v>46922662787</v>
      </c>
      <c r="AH5" s="48">
        <f t="shared" si="4"/>
        <v>51413991370</v>
      </c>
      <c r="AI5" s="48">
        <f t="shared" si="4"/>
        <v>44974660834</v>
      </c>
      <c r="AJ5" s="48">
        <f t="shared" si="4"/>
        <v>69156269612</v>
      </c>
      <c r="AK5" s="48">
        <f t="shared" si="4"/>
        <v>73827751675</v>
      </c>
      <c r="AL5" s="48">
        <f t="shared" si="4"/>
        <v>73274211101</v>
      </c>
      <c r="AM5" s="48">
        <f t="shared" si="4"/>
        <v>72944277524</v>
      </c>
      <c r="AN5" s="48">
        <f>AN6+AN10+AN15+AN28+AN40+AN41</f>
        <v>65822706535</v>
      </c>
    </row>
    <row r="6" spans="1:45" s="43" customFormat="1" ht="13.5" x14ac:dyDescent="0.15">
      <c r="A6" s="34">
        <v>1</v>
      </c>
      <c r="B6" s="53">
        <f t="shared" ref="B6:B69" si="5">B5+1</f>
        <v>4</v>
      </c>
      <c r="C6" s="54" t="s">
        <v>7</v>
      </c>
      <c r="D6" s="55"/>
      <c r="E6" s="56">
        <f>SUM(E7:E9)</f>
        <v>33745037913</v>
      </c>
      <c r="F6" s="57"/>
      <c r="G6" s="58">
        <f>SUM(G7:G9)</f>
        <v>33745037913</v>
      </c>
      <c r="H6" s="59"/>
      <c r="I6" s="60">
        <f>SUM(I7:I9)</f>
        <v>18764730182</v>
      </c>
      <c r="J6" s="60">
        <f t="shared" ref="J6:T6" si="6">SUM(J7:J9)</f>
        <v>11344754995</v>
      </c>
      <c r="K6" s="60">
        <f t="shared" si="6"/>
        <v>5804462570</v>
      </c>
      <c r="L6" s="60">
        <f t="shared" si="6"/>
        <v>9620678042</v>
      </c>
      <c r="M6" s="60">
        <f t="shared" si="6"/>
        <v>7511043847</v>
      </c>
      <c r="N6" s="60">
        <f t="shared" si="6"/>
        <v>29865805422</v>
      </c>
      <c r="O6" s="60">
        <f t="shared" si="6"/>
        <v>35076794226</v>
      </c>
      <c r="P6" s="60">
        <f t="shared" si="6"/>
        <v>41397174861</v>
      </c>
      <c r="Q6" s="60">
        <f t="shared" si="6"/>
        <v>42075488862</v>
      </c>
      <c r="R6" s="60">
        <f t="shared" si="6"/>
        <v>53661809366</v>
      </c>
      <c r="S6" s="60">
        <f t="shared" si="6"/>
        <v>39486640834</v>
      </c>
      <c r="T6" s="60">
        <f t="shared" si="6"/>
        <v>33745037913</v>
      </c>
      <c r="U6" s="34">
        <f t="shared" si="2"/>
        <v>1</v>
      </c>
      <c r="V6" s="53">
        <f t="shared" si="2"/>
        <v>4</v>
      </c>
      <c r="W6" s="54" t="s">
        <v>7</v>
      </c>
      <c r="X6" s="55"/>
      <c r="Y6" s="56">
        <f>SUM(Y7:Y9)</f>
        <v>18033363286</v>
      </c>
      <c r="Z6" s="57"/>
      <c r="AA6" s="58">
        <f>SUM(AA7:AA9)</f>
        <v>18033363286</v>
      </c>
      <c r="AB6" s="59"/>
      <c r="AC6" s="60">
        <f>SUM(AC7:AC9)</f>
        <v>9858470381</v>
      </c>
      <c r="AD6" s="60">
        <f t="shared" ref="AD6:AN6" si="7">SUM(AD7:AD9)</f>
        <v>6126902645</v>
      </c>
      <c r="AE6" s="60">
        <f t="shared" si="7"/>
        <v>2876486638</v>
      </c>
      <c r="AF6" s="60">
        <f t="shared" si="7"/>
        <v>6700100895</v>
      </c>
      <c r="AG6" s="60">
        <f t="shared" si="7"/>
        <v>1529147029</v>
      </c>
      <c r="AH6" s="60">
        <f t="shared" si="7"/>
        <v>943855075</v>
      </c>
      <c r="AI6" s="60">
        <f t="shared" si="7"/>
        <v>322810060</v>
      </c>
      <c r="AJ6" s="60">
        <f t="shared" si="7"/>
        <v>24942311173</v>
      </c>
      <c r="AK6" s="60">
        <f t="shared" si="7"/>
        <v>30991700123</v>
      </c>
      <c r="AL6" s="60">
        <f t="shared" si="7"/>
        <v>34054324237</v>
      </c>
      <c r="AM6" s="60">
        <f t="shared" si="7"/>
        <v>28358269308</v>
      </c>
      <c r="AN6" s="60">
        <f t="shared" si="7"/>
        <v>18033363286</v>
      </c>
    </row>
    <row r="7" spans="1:45" s="43" customFormat="1" ht="13.5" outlineLevel="1" x14ac:dyDescent="0.15">
      <c r="A7" s="34">
        <v>1</v>
      </c>
      <c r="B7" s="61">
        <f t="shared" si="5"/>
        <v>5</v>
      </c>
      <c r="C7" s="62" t="s">
        <v>8</v>
      </c>
      <c r="D7" s="63"/>
      <c r="E7" s="64">
        <f>HLOOKUP($A$1,$I$3:$T$365,B7,0)</f>
        <v>0</v>
      </c>
      <c r="F7" s="65"/>
      <c r="G7" s="66">
        <f>E7</f>
        <v>0</v>
      </c>
      <c r="H7" s="67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34">
        <f t="shared" si="2"/>
        <v>1</v>
      </c>
      <c r="V7" s="61">
        <f t="shared" si="2"/>
        <v>5</v>
      </c>
      <c r="W7" s="62" t="s">
        <v>8</v>
      </c>
      <c r="X7" s="63"/>
      <c r="Y7" s="64">
        <f>HLOOKUP($U$1,$AC$3:$AN$365,V7,0)</f>
        <v>0</v>
      </c>
      <c r="Z7" s="65"/>
      <c r="AA7" s="66">
        <f>Y7</f>
        <v>0</v>
      </c>
      <c r="AB7" s="67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</row>
    <row r="8" spans="1:45" s="43" customFormat="1" ht="13.5" outlineLevel="1" x14ac:dyDescent="0.15">
      <c r="A8" s="34">
        <v>1</v>
      </c>
      <c r="B8" s="69">
        <f t="shared" si="5"/>
        <v>6</v>
      </c>
      <c r="C8" s="70" t="s">
        <v>9</v>
      </c>
      <c r="D8" s="71"/>
      <c r="E8" s="72">
        <f>HLOOKUP($A$1,$I$3:$T$365,B8,0)</f>
        <v>33745037913</v>
      </c>
      <c r="F8" s="73"/>
      <c r="G8" s="74">
        <f>E8</f>
        <v>33745037913</v>
      </c>
      <c r="H8" s="75"/>
      <c r="I8" s="76">
        <v>18764730182</v>
      </c>
      <c r="J8" s="76">
        <v>11344754995</v>
      </c>
      <c r="K8" s="76">
        <v>5804462570</v>
      </c>
      <c r="L8" s="76">
        <v>9620678042</v>
      </c>
      <c r="M8" s="76">
        <v>7511043847</v>
      </c>
      <c r="N8" s="76">
        <v>29865805422</v>
      </c>
      <c r="O8" s="76">
        <v>35076794226</v>
      </c>
      <c r="P8" s="76">
        <v>41397174861</v>
      </c>
      <c r="Q8" s="76">
        <v>42075488862</v>
      </c>
      <c r="R8" s="76">
        <v>53661809366</v>
      </c>
      <c r="S8" s="76">
        <v>39486640834</v>
      </c>
      <c r="T8" s="76">
        <v>33745037913</v>
      </c>
      <c r="U8" s="34">
        <f t="shared" si="2"/>
        <v>1</v>
      </c>
      <c r="V8" s="69">
        <f t="shared" si="2"/>
        <v>6</v>
      </c>
      <c r="W8" s="70" t="s">
        <v>9</v>
      </c>
      <c r="X8" s="71"/>
      <c r="Y8" s="72">
        <f>HLOOKUP($U$1,$AC$3:$AN$365,V8,0)</f>
        <v>18033363286</v>
      </c>
      <c r="Z8" s="73"/>
      <c r="AA8" s="74">
        <f>Y8</f>
        <v>18033363286</v>
      </c>
      <c r="AB8" s="75"/>
      <c r="AC8" s="76">
        <v>9858470381</v>
      </c>
      <c r="AD8" s="76">
        <v>6126902645</v>
      </c>
      <c r="AE8" s="76">
        <v>2876486638</v>
      </c>
      <c r="AF8" s="76">
        <v>6700100895</v>
      </c>
      <c r="AG8" s="76">
        <v>1529147029</v>
      </c>
      <c r="AH8" s="76">
        <v>943855075</v>
      </c>
      <c r="AI8" s="76">
        <v>322810060</v>
      </c>
      <c r="AJ8" s="76">
        <v>24942311173</v>
      </c>
      <c r="AK8" s="76">
        <v>30991700123</v>
      </c>
      <c r="AL8" s="76">
        <v>34054324237</v>
      </c>
      <c r="AM8" s="76">
        <v>28358269308</v>
      </c>
      <c r="AN8" s="76">
        <v>18033363286</v>
      </c>
    </row>
    <row r="9" spans="1:45" s="43" customFormat="1" ht="13.5" outlineLevel="1" x14ac:dyDescent="0.15">
      <c r="A9" s="34">
        <v>1</v>
      </c>
      <c r="B9" s="77">
        <f t="shared" si="5"/>
        <v>7</v>
      </c>
      <c r="C9" s="78" t="s">
        <v>10</v>
      </c>
      <c r="D9" s="79"/>
      <c r="E9" s="80">
        <f>HLOOKUP($A$1,$I$3:$T$365,B9,0)</f>
        <v>0</v>
      </c>
      <c r="F9" s="81"/>
      <c r="G9" s="82">
        <f>E9</f>
        <v>0</v>
      </c>
      <c r="H9" s="83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34">
        <f t="shared" si="2"/>
        <v>1</v>
      </c>
      <c r="V9" s="77">
        <f t="shared" si="2"/>
        <v>7</v>
      </c>
      <c r="W9" s="78" t="s">
        <v>10</v>
      </c>
      <c r="X9" s="79"/>
      <c r="Y9" s="80">
        <f>HLOOKUP($U$1,$AC$3:$AN$365,V9,0)</f>
        <v>0</v>
      </c>
      <c r="Z9" s="81"/>
      <c r="AA9" s="82">
        <f>Y9</f>
        <v>0</v>
      </c>
      <c r="AB9" s="83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</row>
    <row r="10" spans="1:45" s="43" customFormat="1" ht="13.5" x14ac:dyDescent="0.15">
      <c r="A10" s="34">
        <v>1</v>
      </c>
      <c r="B10" s="53">
        <f t="shared" si="5"/>
        <v>8</v>
      </c>
      <c r="C10" s="54" t="s">
        <v>11</v>
      </c>
      <c r="D10" s="55"/>
      <c r="E10" s="56">
        <f>SUM(E11:E14)</f>
        <v>47025832382</v>
      </c>
      <c r="F10" s="57"/>
      <c r="G10" s="58">
        <f>SUM(G11:G14)</f>
        <v>47025832382</v>
      </c>
      <c r="H10" s="59"/>
      <c r="I10" s="60">
        <f>SUM(I11:I14)</f>
        <v>25150751279</v>
      </c>
      <c r="J10" s="60">
        <f t="shared" ref="J10:T10" si="8">SUM(J11:J14)</f>
        <v>32799275938</v>
      </c>
      <c r="K10" s="60">
        <f>SUM(K11:K14)</f>
        <v>50786413373</v>
      </c>
      <c r="L10" s="60">
        <f t="shared" si="8"/>
        <v>42435717670</v>
      </c>
      <c r="M10" s="60">
        <f>SUM(M11:M14)</f>
        <v>52491803487</v>
      </c>
      <c r="N10" s="60">
        <f t="shared" si="8"/>
        <v>47501393348</v>
      </c>
      <c r="O10" s="60">
        <f t="shared" si="8"/>
        <v>38938227350</v>
      </c>
      <c r="P10" s="60">
        <f t="shared" si="8"/>
        <v>46061969158</v>
      </c>
      <c r="Q10" s="60">
        <f t="shared" si="8"/>
        <v>41803813811</v>
      </c>
      <c r="R10" s="60">
        <f t="shared" si="8"/>
        <v>34500767745</v>
      </c>
      <c r="S10" s="60">
        <f t="shared" si="8"/>
        <v>48356690604</v>
      </c>
      <c r="T10" s="60">
        <f t="shared" si="8"/>
        <v>47025832382</v>
      </c>
      <c r="U10" s="34">
        <f t="shared" si="2"/>
        <v>1</v>
      </c>
      <c r="V10" s="53">
        <f t="shared" si="2"/>
        <v>8</v>
      </c>
      <c r="W10" s="54" t="s">
        <v>11</v>
      </c>
      <c r="X10" s="55"/>
      <c r="Y10" s="56">
        <f>SUM(Y11:Y14)</f>
        <v>32139592270</v>
      </c>
      <c r="Z10" s="57"/>
      <c r="AA10" s="58">
        <f>SUM(AA11:AA14)</f>
        <v>32139592270</v>
      </c>
      <c r="AB10" s="59"/>
      <c r="AC10" s="60">
        <f>SUM(AC11:AC14)</f>
        <v>23195501979</v>
      </c>
      <c r="AD10" s="60">
        <f t="shared" ref="AD10:AN10" si="9">SUM(AD11:AD14)</f>
        <v>26388966237</v>
      </c>
      <c r="AE10" s="60">
        <f t="shared" si="9"/>
        <v>33604053515</v>
      </c>
      <c r="AF10" s="60">
        <f t="shared" si="9"/>
        <v>24677513969</v>
      </c>
      <c r="AG10" s="60">
        <f>SUM(AG11:AG14)</f>
        <v>29359427909</v>
      </c>
      <c r="AH10" s="60">
        <f t="shared" si="9"/>
        <v>36352305262</v>
      </c>
      <c r="AI10" s="60">
        <f t="shared" si="9"/>
        <v>30808137852</v>
      </c>
      <c r="AJ10" s="60">
        <f t="shared" si="9"/>
        <v>30250683806</v>
      </c>
      <c r="AK10" s="60">
        <f t="shared" si="9"/>
        <v>29450147596</v>
      </c>
      <c r="AL10" s="60">
        <f t="shared" si="9"/>
        <v>24007175479</v>
      </c>
      <c r="AM10" s="60">
        <f t="shared" si="9"/>
        <v>33025714150</v>
      </c>
      <c r="AN10" s="60">
        <f t="shared" si="9"/>
        <v>32139592270</v>
      </c>
    </row>
    <row r="11" spans="1:45" s="43" customFormat="1" ht="13.5" outlineLevel="1" x14ac:dyDescent="0.15">
      <c r="A11" s="34">
        <v>1</v>
      </c>
      <c r="B11" s="85">
        <f t="shared" si="5"/>
        <v>9</v>
      </c>
      <c r="C11" s="86" t="s">
        <v>12</v>
      </c>
      <c r="D11" s="63"/>
      <c r="E11" s="64">
        <f>HLOOKUP($A$1,$I$3:$T$365,B11,0)</f>
        <v>34327474929</v>
      </c>
      <c r="F11" s="87"/>
      <c r="G11" s="74">
        <f>E11</f>
        <v>34327474929</v>
      </c>
      <c r="H11" s="88"/>
      <c r="I11" s="68">
        <v>19244521118</v>
      </c>
      <c r="J11" s="89">
        <f>26862124330-J12</f>
        <v>27000872970</v>
      </c>
      <c r="K11" s="89">
        <v>39917525503</v>
      </c>
      <c r="L11" s="89">
        <v>29320525337</v>
      </c>
      <c r="M11" s="89">
        <v>33698412103</v>
      </c>
      <c r="N11" s="90">
        <v>31446526706</v>
      </c>
      <c r="O11" s="89">
        <f>28262700053-1550194444</f>
        <v>26712505609</v>
      </c>
      <c r="P11" s="89">
        <v>26924173733</v>
      </c>
      <c r="Q11" s="89">
        <v>29166848460</v>
      </c>
      <c r="R11" s="89">
        <v>23588728627</v>
      </c>
      <c r="S11" s="89">
        <v>29436728702</v>
      </c>
      <c r="T11" s="89">
        <v>34327474929</v>
      </c>
      <c r="U11" s="34">
        <f t="shared" si="2"/>
        <v>1</v>
      </c>
      <c r="V11" s="91">
        <f t="shared" si="2"/>
        <v>9</v>
      </c>
      <c r="W11" s="92" t="s">
        <v>12</v>
      </c>
      <c r="X11" s="93"/>
      <c r="Y11" s="64">
        <f>HLOOKUP($U$1,$AC$3:$AN$365,V11,0)</f>
        <v>24149029911</v>
      </c>
      <c r="Z11" s="87"/>
      <c r="AA11" s="94">
        <f>Y11</f>
        <v>24149029911</v>
      </c>
      <c r="AB11" s="88"/>
      <c r="AC11" s="89">
        <v>17332625295</v>
      </c>
      <c r="AD11" s="89">
        <v>19432757863</v>
      </c>
      <c r="AE11" s="89">
        <v>23088233993</v>
      </c>
      <c r="AF11" s="89">
        <v>17308956292</v>
      </c>
      <c r="AG11" s="89">
        <v>21667391950</v>
      </c>
      <c r="AH11" s="89">
        <v>24638641146</v>
      </c>
      <c r="AI11" s="89">
        <v>22969770798</v>
      </c>
      <c r="AJ11" s="89">
        <v>17948118546</v>
      </c>
      <c r="AK11" s="89">
        <v>21151266313</v>
      </c>
      <c r="AL11" s="89">
        <v>16928897201</v>
      </c>
      <c r="AM11" s="89">
        <v>21692428104</v>
      </c>
      <c r="AN11" s="89">
        <v>24149029911</v>
      </c>
    </row>
    <row r="12" spans="1:45" s="43" customFormat="1" ht="13.5" outlineLevel="1" x14ac:dyDescent="0.15">
      <c r="A12" s="34">
        <v>1</v>
      </c>
      <c r="B12" s="85">
        <f t="shared" si="5"/>
        <v>10</v>
      </c>
      <c r="C12" s="86" t="s">
        <v>13</v>
      </c>
      <c r="D12" s="71"/>
      <c r="E12" s="72">
        <f>HLOOKUP($A$1,$I$3:$T$365,B12,0)</f>
        <v>-72086921</v>
      </c>
      <c r="F12" s="95"/>
      <c r="G12" s="74">
        <f>E12</f>
        <v>-72086921</v>
      </c>
      <c r="H12" s="96"/>
      <c r="I12" s="97">
        <v>-96262093</v>
      </c>
      <c r="J12" s="97">
        <v>-138748640</v>
      </c>
      <c r="K12" s="97">
        <v>-124077966</v>
      </c>
      <c r="L12" s="97">
        <v>-172725128</v>
      </c>
      <c r="M12" s="97">
        <v>-252082803</v>
      </c>
      <c r="N12" s="98">
        <v>-206769759</v>
      </c>
      <c r="O12" s="97">
        <v>-383199097</v>
      </c>
      <c r="P12" s="97">
        <v>-380193955</v>
      </c>
      <c r="Q12" s="97">
        <v>-319032183</v>
      </c>
      <c r="R12" s="97">
        <v>-406243281</v>
      </c>
      <c r="S12" s="97">
        <v>-637525948</v>
      </c>
      <c r="T12" s="97">
        <v>-72086921</v>
      </c>
      <c r="U12" s="34">
        <f t="shared" si="2"/>
        <v>1</v>
      </c>
      <c r="V12" s="99">
        <f t="shared" si="2"/>
        <v>10</v>
      </c>
      <c r="W12" s="100" t="s">
        <v>13</v>
      </c>
      <c r="X12" s="101"/>
      <c r="Y12" s="72">
        <f>HLOOKUP($U$1,$AC$3:$AN$365,V12,0)</f>
        <v>-73574226</v>
      </c>
      <c r="Z12" s="95"/>
      <c r="AA12" s="102">
        <f>Y12</f>
        <v>-73574226</v>
      </c>
      <c r="AB12" s="96"/>
      <c r="AC12" s="97">
        <v>-216660932</v>
      </c>
      <c r="AD12" s="97">
        <v>-37422498</v>
      </c>
      <c r="AE12" s="97">
        <v>-46293032</v>
      </c>
      <c r="AF12" s="97">
        <v>-40297938</v>
      </c>
      <c r="AG12" s="97">
        <v>-39361603</v>
      </c>
      <c r="AH12" s="97">
        <v>-35943403</v>
      </c>
      <c r="AI12" s="97">
        <v>-56282784</v>
      </c>
      <c r="AJ12" s="97">
        <v>-56503689</v>
      </c>
      <c r="AK12" s="97">
        <v>-70852694</v>
      </c>
      <c r="AL12" s="97">
        <v>-73880453</v>
      </c>
      <c r="AM12" s="97">
        <v>-76385720</v>
      </c>
      <c r="AN12" s="97">
        <v>-73574226</v>
      </c>
    </row>
    <row r="13" spans="1:45" s="43" customFormat="1" ht="13.5" outlineLevel="1" x14ac:dyDescent="0.15">
      <c r="A13" s="34">
        <v>1</v>
      </c>
      <c r="B13" s="85">
        <f t="shared" si="5"/>
        <v>11</v>
      </c>
      <c r="C13" s="86" t="s">
        <v>14</v>
      </c>
      <c r="D13" s="71"/>
      <c r="E13" s="72">
        <f>HLOOKUP($A$1,$I$3:$T$365,B13,0)</f>
        <v>12770444374</v>
      </c>
      <c r="F13" s="95"/>
      <c r="G13" s="74">
        <f>E13</f>
        <v>12770444374</v>
      </c>
      <c r="H13" s="96"/>
      <c r="I13" s="97">
        <v>6002492254</v>
      </c>
      <c r="J13" s="97">
        <v>5937151608</v>
      </c>
      <c r="K13" s="97">
        <v>10992965836</v>
      </c>
      <c r="L13" s="97">
        <v>13287917461</v>
      </c>
      <c r="M13" s="97">
        <v>19045474187</v>
      </c>
      <c r="N13" s="97">
        <v>16261636401</v>
      </c>
      <c r="O13" s="43">
        <v>12608920838</v>
      </c>
      <c r="P13" s="97">
        <v>19517989380</v>
      </c>
      <c r="Q13" s="97">
        <v>12955997534</v>
      </c>
      <c r="R13" s="97">
        <v>11318282399</v>
      </c>
      <c r="S13" s="97">
        <v>19557487850</v>
      </c>
      <c r="T13" s="97">
        <v>12770444374</v>
      </c>
      <c r="U13" s="34">
        <f t="shared" si="2"/>
        <v>1</v>
      </c>
      <c r="V13" s="99">
        <f t="shared" si="2"/>
        <v>11</v>
      </c>
      <c r="W13" s="100" t="s">
        <v>14</v>
      </c>
      <c r="X13" s="101"/>
      <c r="Y13" s="72">
        <f>HLOOKUP($U$1,$AC$3:$AN$365,V13,0)</f>
        <v>8064136585</v>
      </c>
      <c r="Z13" s="95"/>
      <c r="AA13" s="102">
        <f>Y13</f>
        <v>8064136585</v>
      </c>
      <c r="AB13" s="96"/>
      <c r="AC13" s="97">
        <v>6079537616</v>
      </c>
      <c r="AD13" s="97">
        <v>6993630872</v>
      </c>
      <c r="AE13" s="97">
        <v>10562112554</v>
      </c>
      <c r="AF13" s="97">
        <v>7408855615</v>
      </c>
      <c r="AG13" s="97">
        <v>7731397562</v>
      </c>
      <c r="AH13" s="97">
        <v>11749607519</v>
      </c>
      <c r="AI13" s="97">
        <v>7894649838</v>
      </c>
      <c r="AJ13" s="97">
        <v>12359068949</v>
      </c>
      <c r="AK13" s="97">
        <v>8369733977</v>
      </c>
      <c r="AL13" s="97">
        <v>7152158731</v>
      </c>
      <c r="AM13" s="97">
        <v>11409671766</v>
      </c>
      <c r="AN13" s="97">
        <v>8064136585</v>
      </c>
    </row>
    <row r="14" spans="1:45" s="43" customFormat="1" ht="13.5" outlineLevel="1" x14ac:dyDescent="0.15">
      <c r="A14" s="34">
        <v>1</v>
      </c>
      <c r="B14" s="85">
        <f t="shared" si="5"/>
        <v>12</v>
      </c>
      <c r="C14" s="86" t="s">
        <v>15</v>
      </c>
      <c r="D14" s="79"/>
      <c r="E14" s="80">
        <f>HLOOKUP($A$1,$I$3:$T$365,B14,0)</f>
        <v>0</v>
      </c>
      <c r="F14" s="103"/>
      <c r="G14" s="74">
        <f>E14</f>
        <v>0</v>
      </c>
      <c r="H14" s="104"/>
      <c r="I14" s="105"/>
      <c r="J14" s="105"/>
      <c r="K14" s="105"/>
      <c r="L14" s="105"/>
      <c r="M14" s="105"/>
      <c r="N14" s="105"/>
      <c r="O14" s="105"/>
      <c r="P14" s="105"/>
      <c r="Q14" s="105"/>
      <c r="R14" s="105"/>
      <c r="S14" s="105"/>
      <c r="T14" s="105"/>
      <c r="U14" s="34">
        <f t="shared" si="2"/>
        <v>1</v>
      </c>
      <c r="V14" s="106">
        <f t="shared" si="2"/>
        <v>12</v>
      </c>
      <c r="W14" s="107" t="s">
        <v>15</v>
      </c>
      <c r="X14" s="108"/>
      <c r="Y14" s="80">
        <f>HLOOKUP($U$1,$AC$3:$AN$365,V14,0)</f>
        <v>0</v>
      </c>
      <c r="Z14" s="103"/>
      <c r="AA14" s="109">
        <f>Y14</f>
        <v>0</v>
      </c>
      <c r="AB14" s="104"/>
      <c r="AC14" s="105"/>
      <c r="AD14" s="105"/>
      <c r="AE14" s="105"/>
      <c r="AF14" s="105"/>
      <c r="AG14" s="105"/>
      <c r="AH14" s="105"/>
      <c r="AI14" s="105"/>
      <c r="AJ14" s="105"/>
      <c r="AK14" s="105"/>
      <c r="AL14" s="105"/>
      <c r="AM14" s="105"/>
      <c r="AN14" s="105"/>
    </row>
    <row r="15" spans="1:45" s="43" customFormat="1" ht="13.5" x14ac:dyDescent="0.15">
      <c r="A15" s="34">
        <v>1</v>
      </c>
      <c r="B15" s="53">
        <f t="shared" si="5"/>
        <v>13</v>
      </c>
      <c r="C15" s="54" t="s">
        <v>16</v>
      </c>
      <c r="D15" s="55"/>
      <c r="E15" s="56">
        <f>SUM(E16:E27)</f>
        <v>2720624682</v>
      </c>
      <c r="F15" s="57"/>
      <c r="G15" s="58">
        <f>SUM(G16:G27)</f>
        <v>2720624682</v>
      </c>
      <c r="H15" s="59"/>
      <c r="I15" s="60">
        <f>SUM(I16:I27)</f>
        <v>5561284660</v>
      </c>
      <c r="J15" s="60">
        <f t="shared" ref="J15:T15" si="10">SUM(J16:J27)</f>
        <v>6273217959</v>
      </c>
      <c r="K15" s="60">
        <f t="shared" si="10"/>
        <v>5867436156</v>
      </c>
      <c r="L15" s="60">
        <f>SUM(L16:L27)</f>
        <v>5245259283</v>
      </c>
      <c r="M15" s="60">
        <f>SUM(M16:M27)</f>
        <v>4214633105</v>
      </c>
      <c r="N15" s="60">
        <f>SUM(N16:N27)</f>
        <v>1940129817</v>
      </c>
      <c r="O15" s="60">
        <f t="shared" si="10"/>
        <v>13904178065</v>
      </c>
      <c r="P15" s="60">
        <f t="shared" si="10"/>
        <v>2293660411</v>
      </c>
      <c r="Q15" s="60">
        <f t="shared" si="10"/>
        <v>4755243908</v>
      </c>
      <c r="R15" s="60">
        <f t="shared" si="10"/>
        <v>3420817101</v>
      </c>
      <c r="S15" s="60">
        <f t="shared" si="10"/>
        <v>3243635337</v>
      </c>
      <c r="T15" s="60">
        <f t="shared" si="10"/>
        <v>2720624682</v>
      </c>
      <c r="U15" s="34">
        <f t="shared" si="2"/>
        <v>1</v>
      </c>
      <c r="V15" s="53">
        <f t="shared" si="2"/>
        <v>13</v>
      </c>
      <c r="W15" s="54" t="s">
        <v>16</v>
      </c>
      <c r="X15" s="55"/>
      <c r="Y15" s="56">
        <f>SUM(Y16:Y27)</f>
        <v>5563296288</v>
      </c>
      <c r="Z15" s="57"/>
      <c r="AA15" s="58">
        <f>SUM(AA16:AA27)</f>
        <v>5563296288</v>
      </c>
      <c r="AB15" s="59"/>
      <c r="AC15" s="60">
        <f>SUM(AC16:AC27)</f>
        <v>5749516263</v>
      </c>
      <c r="AD15" s="60">
        <f t="shared" ref="AD15:AN15" si="11">SUM(AD16:AD27)</f>
        <v>6029497667</v>
      </c>
      <c r="AE15" s="60">
        <f t="shared" si="11"/>
        <v>7180385105</v>
      </c>
      <c r="AF15" s="60">
        <f>SUM(AF16:AF27)</f>
        <v>4519034877</v>
      </c>
      <c r="AG15" s="60">
        <f>SUM(AG16:AG27)</f>
        <v>4513485659</v>
      </c>
      <c r="AH15" s="60">
        <f>SUM(AH16:AH27)</f>
        <v>2829916339</v>
      </c>
      <c r="AI15" s="60">
        <f t="shared" si="11"/>
        <v>1847109337</v>
      </c>
      <c r="AJ15" s="60">
        <f t="shared" si="11"/>
        <v>1943441827</v>
      </c>
      <c r="AK15" s="60">
        <f t="shared" si="11"/>
        <v>1456061324</v>
      </c>
      <c r="AL15" s="60">
        <f t="shared" si="11"/>
        <v>278167952</v>
      </c>
      <c r="AM15" s="60">
        <f t="shared" si="11"/>
        <v>143346946</v>
      </c>
      <c r="AN15" s="60">
        <f t="shared" si="11"/>
        <v>5563296288</v>
      </c>
    </row>
    <row r="16" spans="1:45" s="43" customFormat="1" ht="13.5" outlineLevel="1" x14ac:dyDescent="0.15">
      <c r="A16" s="34">
        <v>1</v>
      </c>
      <c r="B16" s="61">
        <f t="shared" si="5"/>
        <v>14</v>
      </c>
      <c r="C16" s="62" t="s">
        <v>17</v>
      </c>
      <c r="D16" s="63"/>
      <c r="E16" s="64">
        <f t="shared" ref="E16:E27" si="12">HLOOKUP($A$1,$I$3:$T$365,B16,0)</f>
        <v>0</v>
      </c>
      <c r="F16" s="65"/>
      <c r="G16" s="66">
        <f t="shared" ref="G16:G27" si="13">E16</f>
        <v>0</v>
      </c>
      <c r="H16" s="67"/>
      <c r="I16" s="68"/>
      <c r="J16" s="68"/>
      <c r="K16" s="68"/>
      <c r="L16" s="76"/>
      <c r="M16" s="68"/>
      <c r="N16" s="68"/>
      <c r="O16" s="68"/>
      <c r="P16" s="68"/>
      <c r="Q16" s="68"/>
      <c r="R16" s="68"/>
      <c r="S16" s="68"/>
      <c r="T16" s="68"/>
      <c r="U16" s="34">
        <f t="shared" si="2"/>
        <v>1</v>
      </c>
      <c r="V16" s="61">
        <f t="shared" si="2"/>
        <v>14</v>
      </c>
      <c r="W16" s="62" t="s">
        <v>17</v>
      </c>
      <c r="X16" s="63"/>
      <c r="Y16" s="64">
        <f>HLOOKUP($U$1,$AC$3:$AN$365,V16,0)</f>
        <v>0</v>
      </c>
      <c r="Z16" s="65"/>
      <c r="AA16" s="66">
        <f t="shared" ref="AA16:AA26" si="14">Y16</f>
        <v>0</v>
      </c>
      <c r="AB16" s="67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</row>
    <row r="17" spans="1:40" s="43" customFormat="1" ht="13.5" outlineLevel="1" x14ac:dyDescent="0.15">
      <c r="A17" s="34">
        <v>1</v>
      </c>
      <c r="B17" s="69">
        <f t="shared" si="5"/>
        <v>15</v>
      </c>
      <c r="C17" s="70" t="s">
        <v>18</v>
      </c>
      <c r="D17" s="71"/>
      <c r="E17" s="72">
        <f t="shared" si="12"/>
        <v>0</v>
      </c>
      <c r="F17" s="73"/>
      <c r="G17" s="74">
        <f t="shared" si="13"/>
        <v>0</v>
      </c>
      <c r="H17" s="75"/>
      <c r="I17" s="76"/>
      <c r="J17" s="76"/>
      <c r="K17" s="76"/>
      <c r="M17" s="76"/>
      <c r="N17" s="76"/>
      <c r="O17" s="76"/>
      <c r="P17" s="76"/>
      <c r="Q17" s="76"/>
      <c r="R17" s="76"/>
      <c r="S17" s="76"/>
      <c r="T17" s="76"/>
      <c r="U17" s="34">
        <f t="shared" si="2"/>
        <v>1</v>
      </c>
      <c r="V17" s="69">
        <f t="shared" si="2"/>
        <v>15</v>
      </c>
      <c r="W17" s="70" t="s">
        <v>19</v>
      </c>
      <c r="X17" s="71"/>
      <c r="Y17" s="72">
        <f>HLOOKUP($U$1,$AC$3:$AN$365,V17,0)</f>
        <v>0</v>
      </c>
      <c r="Z17" s="73"/>
      <c r="AA17" s="74">
        <f t="shared" si="14"/>
        <v>0</v>
      </c>
      <c r="AB17" s="75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</row>
    <row r="18" spans="1:40" s="43" customFormat="1" ht="13.5" outlineLevel="1" x14ac:dyDescent="0.15">
      <c r="A18" s="34">
        <v>1</v>
      </c>
      <c r="B18" s="85">
        <f t="shared" si="5"/>
        <v>16</v>
      </c>
      <c r="C18" s="86" t="s">
        <v>20</v>
      </c>
      <c r="D18" s="110"/>
      <c r="E18" s="72">
        <f t="shared" si="12"/>
        <v>0</v>
      </c>
      <c r="F18" s="111"/>
      <c r="G18" s="112">
        <f>E18</f>
        <v>0</v>
      </c>
      <c r="H18" s="75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34">
        <f t="shared" si="2"/>
        <v>1</v>
      </c>
      <c r="V18" s="85">
        <f t="shared" si="2"/>
        <v>16</v>
      </c>
      <c r="W18" s="86" t="s">
        <v>20</v>
      </c>
      <c r="X18" s="110"/>
      <c r="Y18" s="72">
        <f>HLOOKUP($U$1,$AC$3:$AN$365,V18,0)</f>
        <v>0</v>
      </c>
      <c r="Z18" s="111"/>
      <c r="AA18" s="112">
        <f>Y18</f>
        <v>0</v>
      </c>
      <c r="AB18" s="75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  <c r="AN18" s="76"/>
    </row>
    <row r="19" spans="1:40" s="43" customFormat="1" ht="13.5" outlineLevel="1" x14ac:dyDescent="0.15">
      <c r="A19" s="34">
        <v>1</v>
      </c>
      <c r="B19" s="85">
        <f t="shared" si="5"/>
        <v>17</v>
      </c>
      <c r="C19" s="86" t="s">
        <v>21</v>
      </c>
      <c r="D19" s="110"/>
      <c r="E19" s="72">
        <f t="shared" si="12"/>
        <v>0</v>
      </c>
      <c r="F19" s="111"/>
      <c r="G19" s="112">
        <f>E19</f>
        <v>0</v>
      </c>
      <c r="H19" s="75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34">
        <v>1</v>
      </c>
      <c r="V19" s="85"/>
      <c r="W19" s="86" t="s">
        <v>21</v>
      </c>
      <c r="X19" s="110"/>
      <c r="Y19" s="72"/>
      <c r="Z19" s="111"/>
      <c r="AA19" s="112">
        <f>Y19</f>
        <v>0</v>
      </c>
      <c r="AB19" s="75"/>
      <c r="AC19" s="76"/>
      <c r="AD19" s="76"/>
      <c r="AE19" s="76"/>
      <c r="AF19" s="76"/>
      <c r="AG19" s="76"/>
      <c r="AH19" s="76"/>
      <c r="AI19" s="76"/>
      <c r="AJ19" s="76"/>
      <c r="AK19" s="76"/>
      <c r="AL19" s="76"/>
      <c r="AM19" s="76"/>
      <c r="AN19" s="76"/>
    </row>
    <row r="20" spans="1:40" s="43" customFormat="1" ht="13.5" outlineLevel="1" x14ac:dyDescent="0.15">
      <c r="A20" s="34">
        <v>1</v>
      </c>
      <c r="B20" s="85">
        <f t="shared" si="5"/>
        <v>18</v>
      </c>
      <c r="C20" s="70" t="s">
        <v>22</v>
      </c>
      <c r="D20" s="71"/>
      <c r="E20" s="72">
        <f t="shared" si="12"/>
        <v>0</v>
      </c>
      <c r="F20" s="73"/>
      <c r="G20" s="74">
        <f t="shared" si="13"/>
        <v>0</v>
      </c>
      <c r="H20" s="75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34">
        <f t="shared" si="2"/>
        <v>1</v>
      </c>
      <c r="V20" s="69">
        <f t="shared" si="2"/>
        <v>18</v>
      </c>
      <c r="W20" s="70" t="s">
        <v>22</v>
      </c>
      <c r="X20" s="71"/>
      <c r="Y20" s="72">
        <f t="shared" ref="Y20:Y27" si="15">HLOOKUP($U$1,$AC$3:$AN$365,V20,0)</f>
        <v>0</v>
      </c>
      <c r="Z20" s="73"/>
      <c r="AA20" s="74">
        <f t="shared" si="14"/>
        <v>0</v>
      </c>
      <c r="AB20" s="75"/>
      <c r="AC20" s="76"/>
      <c r="AD20" s="76"/>
      <c r="AE20" s="76"/>
      <c r="AF20" s="76"/>
      <c r="AG20" s="76"/>
      <c r="AH20" s="76"/>
      <c r="AI20" s="76"/>
      <c r="AJ20" s="76"/>
      <c r="AK20" s="76"/>
      <c r="AL20" s="76"/>
      <c r="AM20" s="76"/>
      <c r="AN20" s="76"/>
    </row>
    <row r="21" spans="1:40" s="43" customFormat="1" ht="13.5" outlineLevel="1" x14ac:dyDescent="0.15">
      <c r="A21" s="34">
        <v>1</v>
      </c>
      <c r="B21" s="85">
        <f t="shared" si="5"/>
        <v>19</v>
      </c>
      <c r="C21" s="70" t="s">
        <v>23</v>
      </c>
      <c r="D21" s="71"/>
      <c r="E21" s="72">
        <f t="shared" si="12"/>
        <v>0</v>
      </c>
      <c r="F21" s="73"/>
      <c r="G21" s="74">
        <f>E21</f>
        <v>0</v>
      </c>
      <c r="H21" s="75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34">
        <f>A22</f>
        <v>1</v>
      </c>
      <c r="V21" s="69">
        <f t="shared" ref="V21:V84" si="16">B21</f>
        <v>19</v>
      </c>
      <c r="W21" s="70" t="s">
        <v>24</v>
      </c>
      <c r="X21" s="71"/>
      <c r="Y21" s="72">
        <f t="shared" si="15"/>
        <v>0</v>
      </c>
      <c r="Z21" s="73"/>
      <c r="AA21" s="74">
        <f>Y21</f>
        <v>0</v>
      </c>
      <c r="AB21" s="75"/>
      <c r="AC21" s="76"/>
      <c r="AD21" s="76"/>
      <c r="AE21" s="76"/>
      <c r="AF21" s="76"/>
      <c r="AG21" s="76"/>
      <c r="AH21" s="76"/>
      <c r="AI21" s="76"/>
      <c r="AJ21" s="76"/>
      <c r="AK21" s="76"/>
      <c r="AL21" s="76"/>
      <c r="AM21" s="76"/>
      <c r="AN21" s="76"/>
    </row>
    <row r="22" spans="1:40" s="43" customFormat="1" ht="13.5" outlineLevel="1" x14ac:dyDescent="0.15">
      <c r="A22" s="34">
        <v>1</v>
      </c>
      <c r="B22" s="85">
        <f t="shared" si="5"/>
        <v>20</v>
      </c>
      <c r="C22" s="70" t="s">
        <v>25</v>
      </c>
      <c r="D22" s="71"/>
      <c r="E22" s="72">
        <f t="shared" si="12"/>
        <v>916292088</v>
      </c>
      <c r="F22" s="73"/>
      <c r="G22" s="74">
        <f>E22</f>
        <v>916292088</v>
      </c>
      <c r="H22" s="75"/>
      <c r="I22" s="76">
        <v>3260396817</v>
      </c>
      <c r="J22" s="76">
        <v>3260396817</v>
      </c>
      <c r="K22" s="76">
        <v>1964794139</v>
      </c>
      <c r="L22" s="76">
        <v>2020314217</v>
      </c>
      <c r="M22" s="76">
        <v>2020314217</v>
      </c>
      <c r="N22" s="76"/>
      <c r="O22" s="76"/>
      <c r="P22" s="76"/>
      <c r="Q22" s="76">
        <v>551675073</v>
      </c>
      <c r="R22" s="76">
        <v>1240082600</v>
      </c>
      <c r="S22" s="76">
        <v>1240082600</v>
      </c>
      <c r="T22" s="76">
        <v>916292088</v>
      </c>
      <c r="U22" s="34">
        <v>1</v>
      </c>
      <c r="V22" s="69">
        <f t="shared" si="16"/>
        <v>20</v>
      </c>
      <c r="W22" s="70" t="s">
        <v>25</v>
      </c>
      <c r="X22" s="71"/>
      <c r="Y22" s="72">
        <f t="shared" si="15"/>
        <v>3260396817</v>
      </c>
      <c r="Z22" s="73"/>
      <c r="AA22" s="74">
        <f>Y22</f>
        <v>3260396817</v>
      </c>
      <c r="AB22" s="75"/>
      <c r="AC22" s="76">
        <v>4478142177</v>
      </c>
      <c r="AD22" s="76">
        <v>4478142177</v>
      </c>
      <c r="AE22" s="76">
        <v>6032867762</v>
      </c>
      <c r="AF22" s="76">
        <v>4134523370</v>
      </c>
      <c r="AG22" s="76">
        <v>4134523370</v>
      </c>
      <c r="AH22" s="76">
        <v>2542762006</v>
      </c>
      <c r="AI22" s="76">
        <v>1548393031</v>
      </c>
      <c r="AJ22" s="76">
        <v>1548393031</v>
      </c>
      <c r="AK22" s="76"/>
      <c r="AL22" s="76"/>
      <c r="AM22" s="76"/>
      <c r="AN22" s="76">
        <v>3260396817</v>
      </c>
    </row>
    <row r="23" spans="1:40" s="43" customFormat="1" ht="13.5" outlineLevel="1" x14ac:dyDescent="0.15">
      <c r="A23" s="34">
        <v>1</v>
      </c>
      <c r="B23" s="85">
        <f t="shared" si="5"/>
        <v>21</v>
      </c>
      <c r="C23" s="70" t="s">
        <v>26</v>
      </c>
      <c r="D23" s="71"/>
      <c r="E23" s="72">
        <f t="shared" si="12"/>
        <v>0</v>
      </c>
      <c r="F23" s="73"/>
      <c r="G23" s="74">
        <f t="shared" si="13"/>
        <v>0</v>
      </c>
      <c r="H23" s="75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34">
        <f t="shared" ref="U23:V86" si="17">A23</f>
        <v>1</v>
      </c>
      <c r="V23" s="69">
        <f t="shared" si="16"/>
        <v>21</v>
      </c>
      <c r="W23" s="70" t="s">
        <v>26</v>
      </c>
      <c r="X23" s="71"/>
      <c r="Y23" s="72">
        <f t="shared" si="15"/>
        <v>0</v>
      </c>
      <c r="Z23" s="73"/>
      <c r="AA23" s="74">
        <f t="shared" si="14"/>
        <v>0</v>
      </c>
      <c r="AB23" s="75"/>
      <c r="AC23" s="76"/>
      <c r="AD23" s="76"/>
      <c r="AE23" s="76"/>
      <c r="AF23" s="76"/>
      <c r="AG23" s="76"/>
      <c r="AH23" s="76"/>
      <c r="AI23" s="76"/>
      <c r="AJ23" s="76"/>
      <c r="AK23" s="76"/>
      <c r="AL23" s="76"/>
      <c r="AM23" s="76"/>
      <c r="AN23" s="76"/>
    </row>
    <row r="24" spans="1:40" s="43" customFormat="1" ht="13.5" outlineLevel="1" x14ac:dyDescent="0.15">
      <c r="A24" s="34">
        <v>1</v>
      </c>
      <c r="B24" s="85">
        <f t="shared" si="5"/>
        <v>22</v>
      </c>
      <c r="C24" s="70" t="s">
        <v>27</v>
      </c>
      <c r="D24" s="71"/>
      <c r="E24" s="72">
        <f t="shared" si="12"/>
        <v>0</v>
      </c>
      <c r="F24" s="73"/>
      <c r="G24" s="74">
        <f t="shared" si="13"/>
        <v>0</v>
      </c>
      <c r="H24" s="75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34">
        <f t="shared" si="17"/>
        <v>1</v>
      </c>
      <c r="V24" s="69">
        <f t="shared" si="16"/>
        <v>22</v>
      </c>
      <c r="W24" s="70" t="s">
        <v>27</v>
      </c>
      <c r="X24" s="71"/>
      <c r="Y24" s="72">
        <f t="shared" si="15"/>
        <v>0</v>
      </c>
      <c r="Z24" s="73"/>
      <c r="AA24" s="74">
        <f t="shared" si="14"/>
        <v>0</v>
      </c>
      <c r="AB24" s="75"/>
      <c r="AC24" s="76"/>
      <c r="AD24" s="76"/>
      <c r="AE24" s="76"/>
      <c r="AF24" s="76"/>
      <c r="AG24" s="76"/>
      <c r="AH24" s="76"/>
      <c r="AI24" s="76"/>
      <c r="AJ24" s="76"/>
      <c r="AK24" s="76"/>
      <c r="AL24" s="76"/>
      <c r="AM24" s="76"/>
      <c r="AN24" s="76"/>
    </row>
    <row r="25" spans="1:40" s="43" customFormat="1" ht="13.5" outlineLevel="1" x14ac:dyDescent="0.15">
      <c r="A25" s="34">
        <v>1</v>
      </c>
      <c r="B25" s="85">
        <f t="shared" si="5"/>
        <v>23</v>
      </c>
      <c r="C25" s="70" t="s">
        <v>28</v>
      </c>
      <c r="D25" s="71"/>
      <c r="E25" s="72">
        <f t="shared" si="12"/>
        <v>1804332594</v>
      </c>
      <c r="F25" s="73"/>
      <c r="G25" s="74">
        <f t="shared" si="13"/>
        <v>1804332594</v>
      </c>
      <c r="H25" s="75"/>
      <c r="I25" s="76">
        <v>2300887843</v>
      </c>
      <c r="J25" s="76">
        <v>3012821142</v>
      </c>
      <c r="K25" s="76">
        <v>3902642017</v>
      </c>
      <c r="L25" s="76">
        <v>3224945066</v>
      </c>
      <c r="M25" s="76">
        <v>2194318888</v>
      </c>
      <c r="N25" s="76">
        <v>1940129817</v>
      </c>
      <c r="O25" s="76">
        <v>13652104179</v>
      </c>
      <c r="P25" s="76">
        <v>1789512639</v>
      </c>
      <c r="Q25" s="76">
        <v>4203568835</v>
      </c>
      <c r="R25" s="76">
        <v>2180734501</v>
      </c>
      <c r="S25" s="76">
        <v>2003552737</v>
      </c>
      <c r="T25" s="76">
        <v>1804332594</v>
      </c>
      <c r="U25" s="34">
        <f t="shared" si="17"/>
        <v>1</v>
      </c>
      <c r="V25" s="69">
        <f t="shared" si="16"/>
        <v>23</v>
      </c>
      <c r="W25" s="70" t="s">
        <v>28</v>
      </c>
      <c r="X25" s="71"/>
      <c r="Y25" s="72">
        <f t="shared" si="15"/>
        <v>2302899471</v>
      </c>
      <c r="Z25" s="73"/>
      <c r="AA25" s="74">
        <f t="shared" si="14"/>
        <v>2302899471</v>
      </c>
      <c r="AB25" s="75"/>
      <c r="AC25" s="76">
        <v>1271374086</v>
      </c>
      <c r="AD25" s="76">
        <v>1551355490</v>
      </c>
      <c r="AE25" s="76">
        <v>1147517343</v>
      </c>
      <c r="AF25" s="76">
        <v>384511507</v>
      </c>
      <c r="AG25" s="76">
        <v>378962289</v>
      </c>
      <c r="AH25" s="76">
        <v>287154333</v>
      </c>
      <c r="AI25" s="76">
        <v>164529257</v>
      </c>
      <c r="AJ25" s="76">
        <v>126674688</v>
      </c>
      <c r="AK25" s="76">
        <v>1444218005</v>
      </c>
      <c r="AL25" s="76">
        <v>278167952</v>
      </c>
      <c r="AM25" s="76">
        <v>143346946</v>
      </c>
      <c r="AN25" s="76">
        <v>2302899471</v>
      </c>
    </row>
    <row r="26" spans="1:40" s="43" customFormat="1" ht="13.5" outlineLevel="1" x14ac:dyDescent="0.15">
      <c r="A26" s="34">
        <v>1</v>
      </c>
      <c r="B26" s="85">
        <f t="shared" si="5"/>
        <v>24</v>
      </c>
      <c r="C26" s="70" t="s">
        <v>29</v>
      </c>
      <c r="D26" s="71"/>
      <c r="E26" s="72">
        <f t="shared" si="12"/>
        <v>0</v>
      </c>
      <c r="F26" s="73"/>
      <c r="G26" s="74">
        <f t="shared" si="13"/>
        <v>0</v>
      </c>
      <c r="H26" s="75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34">
        <f t="shared" si="17"/>
        <v>1</v>
      </c>
      <c r="V26" s="69">
        <f t="shared" si="16"/>
        <v>24</v>
      </c>
      <c r="W26" s="70" t="s">
        <v>29</v>
      </c>
      <c r="X26" s="71"/>
      <c r="Y26" s="72">
        <f t="shared" si="15"/>
        <v>0</v>
      </c>
      <c r="Z26" s="73"/>
      <c r="AA26" s="74">
        <f t="shared" si="14"/>
        <v>0</v>
      </c>
      <c r="AB26" s="75"/>
      <c r="AC26" s="76"/>
      <c r="AD26" s="76"/>
      <c r="AE26" s="76"/>
      <c r="AF26" s="76"/>
      <c r="AG26" s="76"/>
      <c r="AH26" s="76"/>
      <c r="AI26" s="76"/>
      <c r="AJ26" s="76"/>
      <c r="AK26" s="76"/>
      <c r="AL26" s="76"/>
      <c r="AM26" s="76"/>
      <c r="AN26" s="76"/>
    </row>
    <row r="27" spans="1:40" s="43" customFormat="1" ht="13.5" outlineLevel="1" x14ac:dyDescent="0.15">
      <c r="A27" s="34">
        <v>1</v>
      </c>
      <c r="B27" s="85">
        <f t="shared" si="5"/>
        <v>25</v>
      </c>
      <c r="C27" s="78" t="s">
        <v>30</v>
      </c>
      <c r="D27" s="79"/>
      <c r="E27" s="80">
        <f t="shared" si="12"/>
        <v>0</v>
      </c>
      <c r="F27" s="81"/>
      <c r="G27" s="82">
        <f t="shared" si="13"/>
        <v>0</v>
      </c>
      <c r="H27" s="83"/>
      <c r="I27" s="84"/>
      <c r="J27" s="84"/>
      <c r="K27" s="84"/>
      <c r="L27" s="84"/>
      <c r="M27" s="84"/>
      <c r="N27" s="84"/>
      <c r="O27" s="84">
        <v>252073886</v>
      </c>
      <c r="P27" s="84">
        <v>504147772</v>
      </c>
      <c r="Q27" s="84"/>
      <c r="R27" s="84"/>
      <c r="S27" s="84"/>
      <c r="T27" s="84"/>
      <c r="U27" s="34">
        <f t="shared" si="17"/>
        <v>1</v>
      </c>
      <c r="V27" s="77">
        <f t="shared" si="16"/>
        <v>25</v>
      </c>
      <c r="W27" s="78" t="s">
        <v>30</v>
      </c>
      <c r="X27" s="79"/>
      <c r="Y27" s="80">
        <f t="shared" si="15"/>
        <v>0</v>
      </c>
      <c r="Z27" s="81"/>
      <c r="AA27" s="82">
        <f>Y27</f>
        <v>0</v>
      </c>
      <c r="AB27" s="83"/>
      <c r="AC27" s="84"/>
      <c r="AD27" s="84"/>
      <c r="AE27" s="84"/>
      <c r="AF27" s="84"/>
      <c r="AG27" s="84"/>
      <c r="AH27" s="84"/>
      <c r="AI27" s="84">
        <v>134187049</v>
      </c>
      <c r="AJ27" s="84">
        <v>268374108</v>
      </c>
      <c r="AK27" s="84">
        <v>11843319</v>
      </c>
      <c r="AL27" s="84"/>
      <c r="AM27" s="84"/>
      <c r="AN27" s="84"/>
    </row>
    <row r="28" spans="1:40" s="43" customFormat="1" ht="13.5" x14ac:dyDescent="0.15">
      <c r="A28" s="34">
        <v>1</v>
      </c>
      <c r="B28" s="85">
        <f t="shared" si="5"/>
        <v>26</v>
      </c>
      <c r="C28" s="54" t="s">
        <v>31</v>
      </c>
      <c r="D28" s="55"/>
      <c r="E28" s="56">
        <f>SUM(E29:E39)</f>
        <v>15497625028</v>
      </c>
      <c r="F28" s="57"/>
      <c r="G28" s="58">
        <f>SUM(G29:G39)</f>
        <v>15497625028</v>
      </c>
      <c r="H28" s="59"/>
      <c r="I28" s="60">
        <f>SUM(I29:I39)</f>
        <v>9885083391</v>
      </c>
      <c r="J28" s="60">
        <f t="shared" ref="J28:T28" si="18">SUM(J29:J39)</f>
        <v>9562030965</v>
      </c>
      <c r="K28" s="60">
        <f t="shared" si="18"/>
        <v>11277886635.651455</v>
      </c>
      <c r="L28" s="60">
        <f>SUM(L29:L39)</f>
        <v>11439283683</v>
      </c>
      <c r="M28" s="60">
        <f>SUM(M29:M39)</f>
        <v>12015467038</v>
      </c>
      <c r="N28" s="60">
        <f t="shared" si="18"/>
        <v>12160037554</v>
      </c>
      <c r="O28" s="60">
        <f t="shared" si="18"/>
        <v>12867723682</v>
      </c>
      <c r="P28" s="60">
        <f t="shared" si="18"/>
        <v>12965007693</v>
      </c>
      <c r="Q28" s="60">
        <f t="shared" si="18"/>
        <v>13658423987</v>
      </c>
      <c r="R28" s="60">
        <f>SUM(R29:R39)</f>
        <v>13819881405</v>
      </c>
      <c r="S28" s="60">
        <f t="shared" si="18"/>
        <v>12917668911</v>
      </c>
      <c r="T28" s="60">
        <f t="shared" si="18"/>
        <v>15497625028</v>
      </c>
      <c r="U28" s="34">
        <f t="shared" si="17"/>
        <v>1</v>
      </c>
      <c r="V28" s="53">
        <f t="shared" si="16"/>
        <v>26</v>
      </c>
      <c r="W28" s="54" t="s">
        <v>31</v>
      </c>
      <c r="X28" s="55"/>
      <c r="Y28" s="56">
        <f>SUM(Y29:Y39)</f>
        <v>9026037917</v>
      </c>
      <c r="Z28" s="57"/>
      <c r="AA28" s="58">
        <f>SUM(AA29:AA39)</f>
        <v>9026037917</v>
      </c>
      <c r="AB28" s="59"/>
      <c r="AC28" s="60">
        <f>SUM(AC29:AC39)</f>
        <v>8828334077</v>
      </c>
      <c r="AD28" s="60">
        <f t="shared" ref="AD28:AN28" si="19">SUM(AD29:AD39)</f>
        <v>8665896060</v>
      </c>
      <c r="AE28" s="60">
        <f t="shared" si="19"/>
        <v>9168724445</v>
      </c>
      <c r="AF28" s="60">
        <f>SUM(AF29:AF39)</f>
        <v>9136007101</v>
      </c>
      <c r="AG28" s="60">
        <f>SUM(AG29:AG39)</f>
        <v>8756239376</v>
      </c>
      <c r="AH28" s="60">
        <f t="shared" si="19"/>
        <v>9704487264</v>
      </c>
      <c r="AI28" s="60">
        <f t="shared" si="19"/>
        <v>9947038839</v>
      </c>
      <c r="AJ28" s="60">
        <f t="shared" si="19"/>
        <v>9406117626</v>
      </c>
      <c r="AK28" s="60">
        <f t="shared" si="19"/>
        <v>10233854138</v>
      </c>
      <c r="AL28" s="60">
        <f t="shared" si="19"/>
        <v>9085312635</v>
      </c>
      <c r="AM28" s="60">
        <f t="shared" si="19"/>
        <v>9079604538</v>
      </c>
      <c r="AN28" s="60">
        <f t="shared" si="19"/>
        <v>9026037917</v>
      </c>
    </row>
    <row r="29" spans="1:40" s="43" customFormat="1" ht="13.5" outlineLevel="1" x14ac:dyDescent="0.15">
      <c r="A29" s="34">
        <v>1</v>
      </c>
      <c r="B29" s="85">
        <f t="shared" si="5"/>
        <v>27</v>
      </c>
      <c r="C29" s="62" t="s">
        <v>32</v>
      </c>
      <c r="D29" s="63"/>
      <c r="E29" s="113">
        <f t="shared" ref="E29:E40" si="20">HLOOKUP($A$1,$I$3:$T$365,B29,0)</f>
        <v>11294583370</v>
      </c>
      <c r="F29" s="65"/>
      <c r="G29" s="66">
        <f t="shared" ref="G29:G40" si="21">E29</f>
        <v>11294583370</v>
      </c>
      <c r="H29" s="67"/>
      <c r="I29" s="68">
        <v>7496923756</v>
      </c>
      <c r="J29" s="68">
        <v>6996101132</v>
      </c>
      <c r="K29" s="68">
        <v>7071554102</v>
      </c>
      <c r="L29" s="68">
        <v>7637232663</v>
      </c>
      <c r="M29" s="68">
        <v>8044349895</v>
      </c>
      <c r="N29" s="68">
        <v>8588582638</v>
      </c>
      <c r="O29" s="68">
        <v>9356950369</v>
      </c>
      <c r="P29" s="68">
        <v>9261539330</v>
      </c>
      <c r="Q29" s="68">
        <v>11100402593</v>
      </c>
      <c r="R29" s="68">
        <v>10715541962</v>
      </c>
      <c r="S29" s="68">
        <v>9946126398</v>
      </c>
      <c r="T29" s="68">
        <v>11294583370</v>
      </c>
      <c r="U29" s="34">
        <f t="shared" si="17"/>
        <v>1</v>
      </c>
      <c r="V29" s="61">
        <f t="shared" si="16"/>
        <v>27</v>
      </c>
      <c r="W29" s="62" t="s">
        <v>32</v>
      </c>
      <c r="X29" s="63"/>
      <c r="Y29" s="113">
        <f t="shared" ref="Y29:Y40" si="22">HLOOKUP($U$1,$AC$3:$AN$365,V29,0)</f>
        <v>6950783027</v>
      </c>
      <c r="Z29" s="65"/>
      <c r="AA29" s="66">
        <f t="shared" ref="AA29:AA39" si="23">Y29</f>
        <v>6950783027</v>
      </c>
      <c r="AB29" s="67"/>
      <c r="AC29" s="68">
        <v>7033634956</v>
      </c>
      <c r="AD29" s="68">
        <v>7034796289</v>
      </c>
      <c r="AE29" s="68">
        <v>6769990518</v>
      </c>
      <c r="AF29" s="68">
        <v>6871642250</v>
      </c>
      <c r="AG29" s="68">
        <v>6872349333</v>
      </c>
      <c r="AH29" s="68">
        <v>7388715757</v>
      </c>
      <c r="AI29" s="68">
        <v>7595665296</v>
      </c>
      <c r="AJ29" s="68">
        <v>8214379484</v>
      </c>
      <c r="AK29" s="68">
        <v>8098476597</v>
      </c>
      <c r="AL29" s="68">
        <v>7282180696</v>
      </c>
      <c r="AM29" s="68">
        <v>7287534572</v>
      </c>
      <c r="AN29" s="68">
        <v>6950783027</v>
      </c>
    </row>
    <row r="30" spans="1:40" s="43" customFormat="1" ht="13.5" outlineLevel="1" x14ac:dyDescent="0.15">
      <c r="A30" s="34">
        <v>1</v>
      </c>
      <c r="B30" s="85">
        <f t="shared" si="5"/>
        <v>28</v>
      </c>
      <c r="C30" s="86" t="s">
        <v>33</v>
      </c>
      <c r="D30" s="110"/>
      <c r="E30" s="114">
        <f t="shared" si="20"/>
        <v>-274306963</v>
      </c>
      <c r="F30" s="111"/>
      <c r="G30" s="112">
        <f t="shared" si="21"/>
        <v>-274306963</v>
      </c>
      <c r="H30" s="75"/>
      <c r="I30" s="76">
        <v>-316321363</v>
      </c>
      <c r="J30" s="76">
        <v>-308021194</v>
      </c>
      <c r="K30" s="76">
        <v>-290920329</v>
      </c>
      <c r="L30" s="76">
        <v>-314029730</v>
      </c>
      <c r="M30" s="76">
        <v>-288344484</v>
      </c>
      <c r="N30" s="115">
        <v>-368658387</v>
      </c>
      <c r="O30" s="76">
        <v>-425479851</v>
      </c>
      <c r="P30" s="76">
        <v>-482583169</v>
      </c>
      <c r="Q30" s="76">
        <v>-470619058</v>
      </c>
      <c r="R30" s="76">
        <v>-452549082</v>
      </c>
      <c r="S30" s="76">
        <v>-405040867</v>
      </c>
      <c r="T30" s="76">
        <v>-274306963</v>
      </c>
      <c r="U30" s="34">
        <f t="shared" si="17"/>
        <v>1</v>
      </c>
      <c r="V30" s="85">
        <f t="shared" si="16"/>
        <v>28</v>
      </c>
      <c r="W30" s="86" t="s">
        <v>33</v>
      </c>
      <c r="X30" s="110"/>
      <c r="Y30" s="114">
        <f t="shared" si="22"/>
        <v>-303417654</v>
      </c>
      <c r="Z30" s="111"/>
      <c r="AA30" s="112">
        <f t="shared" si="23"/>
        <v>-303417654</v>
      </c>
      <c r="AB30" s="75"/>
      <c r="AC30" s="76">
        <v>-314237064</v>
      </c>
      <c r="AD30" s="76">
        <v>-311929109</v>
      </c>
      <c r="AE30" s="76">
        <v>-309916344</v>
      </c>
      <c r="AF30" s="76">
        <v>-268222053</v>
      </c>
      <c r="AG30" s="76">
        <v>-263682007</v>
      </c>
      <c r="AH30" s="76">
        <v>-260737047</v>
      </c>
      <c r="AI30" s="76">
        <v>-256146297</v>
      </c>
      <c r="AJ30" s="76">
        <v>-536452202</v>
      </c>
      <c r="AK30" s="76">
        <v>-423604148</v>
      </c>
      <c r="AL30" s="76">
        <v>-420756556</v>
      </c>
      <c r="AM30" s="76">
        <v>-420115473</v>
      </c>
      <c r="AN30" s="76">
        <v>-303417654</v>
      </c>
    </row>
    <row r="31" spans="1:40" s="43" customFormat="1" ht="13.5" outlineLevel="1" x14ac:dyDescent="0.15">
      <c r="A31" s="34">
        <v>1</v>
      </c>
      <c r="B31" s="85">
        <f t="shared" si="5"/>
        <v>29</v>
      </c>
      <c r="C31" s="86" t="s">
        <v>34</v>
      </c>
      <c r="D31" s="110"/>
      <c r="E31" s="114">
        <f t="shared" si="20"/>
        <v>76414052</v>
      </c>
      <c r="F31" s="111"/>
      <c r="G31" s="112">
        <f t="shared" si="21"/>
        <v>76414052</v>
      </c>
      <c r="H31" s="75"/>
      <c r="I31" s="76"/>
      <c r="J31" s="76">
        <v>61782503</v>
      </c>
      <c r="K31" s="76"/>
      <c r="L31" s="76">
        <v>52346967</v>
      </c>
      <c r="M31" s="76">
        <v>0</v>
      </c>
      <c r="N31" s="76">
        <v>229199954</v>
      </c>
      <c r="O31" s="76">
        <v>134883557</v>
      </c>
      <c r="P31" s="76">
        <v>64925321</v>
      </c>
      <c r="Q31" s="76">
        <v>127073068</v>
      </c>
      <c r="R31" s="76"/>
      <c r="S31" s="76">
        <v>2491688</v>
      </c>
      <c r="T31" s="76">
        <v>76414052</v>
      </c>
      <c r="U31" s="34">
        <f t="shared" si="17"/>
        <v>1</v>
      </c>
      <c r="V31" s="85">
        <f t="shared" si="16"/>
        <v>29</v>
      </c>
      <c r="W31" s="86" t="s">
        <v>34</v>
      </c>
      <c r="X31" s="110"/>
      <c r="Y31" s="114">
        <f t="shared" si="22"/>
        <v>0</v>
      </c>
      <c r="Z31" s="111"/>
      <c r="AA31" s="112">
        <f t="shared" si="23"/>
        <v>0</v>
      </c>
      <c r="AB31" s="75"/>
      <c r="AC31" s="76"/>
      <c r="AD31" s="76"/>
      <c r="AE31" s="76"/>
      <c r="AF31" s="76"/>
      <c r="AG31" s="76"/>
      <c r="AH31" s="76"/>
      <c r="AI31" s="76"/>
      <c r="AJ31" s="76"/>
      <c r="AK31" s="76"/>
      <c r="AL31" s="76"/>
      <c r="AM31" s="76"/>
      <c r="AN31" s="76"/>
    </row>
    <row r="32" spans="1:40" s="43" customFormat="1" ht="13.5" outlineLevel="1" x14ac:dyDescent="0.15">
      <c r="A32" s="34">
        <v>1</v>
      </c>
      <c r="B32" s="85">
        <f t="shared" si="5"/>
        <v>30</v>
      </c>
      <c r="C32" s="86" t="s">
        <v>35</v>
      </c>
      <c r="D32" s="110"/>
      <c r="E32" s="114">
        <f t="shared" si="20"/>
        <v>0</v>
      </c>
      <c r="F32" s="111"/>
      <c r="G32" s="112">
        <f t="shared" si="21"/>
        <v>0</v>
      </c>
      <c r="H32" s="75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34">
        <f t="shared" si="17"/>
        <v>1</v>
      </c>
      <c r="V32" s="85">
        <f t="shared" si="16"/>
        <v>30</v>
      </c>
      <c r="W32" s="86" t="s">
        <v>35</v>
      </c>
      <c r="X32" s="110"/>
      <c r="Y32" s="114">
        <f t="shared" si="22"/>
        <v>0</v>
      </c>
      <c r="Z32" s="111"/>
      <c r="AA32" s="112">
        <f t="shared" si="23"/>
        <v>0</v>
      </c>
      <c r="AB32" s="75"/>
      <c r="AC32" s="76"/>
      <c r="AD32" s="76"/>
      <c r="AE32" s="76"/>
      <c r="AF32" s="76"/>
      <c r="AG32" s="76"/>
      <c r="AH32" s="76"/>
      <c r="AI32" s="76"/>
      <c r="AJ32" s="76"/>
      <c r="AK32" s="76"/>
      <c r="AL32" s="76"/>
      <c r="AM32" s="76"/>
      <c r="AN32" s="76"/>
    </row>
    <row r="33" spans="1:41" s="43" customFormat="1" ht="13.5" outlineLevel="1" x14ac:dyDescent="0.15">
      <c r="A33" s="34">
        <v>1</v>
      </c>
      <c r="B33" s="85">
        <f t="shared" si="5"/>
        <v>31</v>
      </c>
      <c r="C33" s="86" t="s">
        <v>36</v>
      </c>
      <c r="D33" s="110"/>
      <c r="E33" s="114">
        <f t="shared" si="20"/>
        <v>206900344</v>
      </c>
      <c r="F33" s="111"/>
      <c r="G33" s="112">
        <f t="shared" si="21"/>
        <v>206900344</v>
      </c>
      <c r="H33" s="75"/>
      <c r="I33" s="76"/>
      <c r="J33" s="76"/>
      <c r="K33" s="76"/>
      <c r="L33" s="76"/>
      <c r="M33" s="76"/>
      <c r="N33" s="116"/>
      <c r="O33" s="76"/>
      <c r="P33" s="76"/>
      <c r="Q33" s="76"/>
      <c r="R33" s="76"/>
      <c r="S33" s="76">
        <v>49253786</v>
      </c>
      <c r="T33" s="76">
        <v>206900344</v>
      </c>
      <c r="U33" s="34">
        <f t="shared" si="17"/>
        <v>1</v>
      </c>
      <c r="V33" s="85">
        <f t="shared" si="16"/>
        <v>31</v>
      </c>
      <c r="W33" s="86" t="s">
        <v>36</v>
      </c>
      <c r="X33" s="110"/>
      <c r="Y33" s="114">
        <f t="shared" si="22"/>
        <v>0</v>
      </c>
      <c r="Z33" s="111"/>
      <c r="AA33" s="112">
        <f t="shared" si="23"/>
        <v>0</v>
      </c>
      <c r="AB33" s="75"/>
      <c r="AC33" s="76"/>
      <c r="AD33" s="76"/>
      <c r="AE33" s="76"/>
      <c r="AF33" s="76"/>
      <c r="AG33" s="76"/>
      <c r="AH33" s="117"/>
      <c r="AI33" s="76"/>
      <c r="AJ33" s="76"/>
      <c r="AK33" s="76"/>
      <c r="AL33" s="76"/>
      <c r="AM33" s="76"/>
      <c r="AN33" s="76"/>
    </row>
    <row r="34" spans="1:41" s="43" customFormat="1" ht="13.5" outlineLevel="1" x14ac:dyDescent="0.15">
      <c r="A34" s="34">
        <v>1</v>
      </c>
      <c r="B34" s="85">
        <f t="shared" si="5"/>
        <v>32</v>
      </c>
      <c r="C34" s="86" t="s">
        <v>37</v>
      </c>
      <c r="D34" s="110"/>
      <c r="E34" s="114">
        <f t="shared" si="20"/>
        <v>0</v>
      </c>
      <c r="F34" s="111"/>
      <c r="G34" s="112">
        <f t="shared" si="21"/>
        <v>0</v>
      </c>
      <c r="H34" s="75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34">
        <f t="shared" si="17"/>
        <v>1</v>
      </c>
      <c r="V34" s="85">
        <f t="shared" si="16"/>
        <v>32</v>
      </c>
      <c r="W34" s="86" t="s">
        <v>37</v>
      </c>
      <c r="X34" s="110"/>
      <c r="Y34" s="114">
        <f t="shared" si="22"/>
        <v>0</v>
      </c>
      <c r="Z34" s="111"/>
      <c r="AA34" s="112">
        <f t="shared" si="23"/>
        <v>0</v>
      </c>
      <c r="AB34" s="75"/>
      <c r="AC34" s="76"/>
      <c r="AD34" s="76"/>
      <c r="AE34" s="76"/>
      <c r="AF34" s="76"/>
      <c r="AG34" s="76"/>
      <c r="AH34" s="76"/>
      <c r="AI34" s="76"/>
      <c r="AJ34" s="76"/>
      <c r="AK34" s="76"/>
      <c r="AL34" s="76"/>
      <c r="AM34" s="76"/>
      <c r="AN34" s="76"/>
    </row>
    <row r="35" spans="1:41" s="43" customFormat="1" ht="13.5" outlineLevel="1" x14ac:dyDescent="0.15">
      <c r="A35" s="34">
        <v>1</v>
      </c>
      <c r="B35" s="85">
        <f t="shared" si="5"/>
        <v>33</v>
      </c>
      <c r="C35" s="86" t="s">
        <v>38</v>
      </c>
      <c r="D35" s="110"/>
      <c r="E35" s="114">
        <f t="shared" si="20"/>
        <v>1644853287</v>
      </c>
      <c r="F35" s="111"/>
      <c r="G35" s="112">
        <f t="shared" si="21"/>
        <v>1644853287</v>
      </c>
      <c r="H35" s="75"/>
      <c r="I35" s="76"/>
      <c r="J35" s="76">
        <v>882939146</v>
      </c>
      <c r="K35" s="76">
        <v>1208829449.6514554</v>
      </c>
      <c r="L35" s="76">
        <v>1110344969</v>
      </c>
      <c r="M35" s="76">
        <v>961774433</v>
      </c>
      <c r="N35" s="98">
        <v>43800328</v>
      </c>
      <c r="O35" s="43">
        <v>50918673</v>
      </c>
      <c r="P35" s="76">
        <v>61911660</v>
      </c>
      <c r="Q35" s="76">
        <v>62204791</v>
      </c>
      <c r="R35" s="76">
        <v>1018818636</v>
      </c>
      <c r="S35" s="76">
        <v>1040864922</v>
      </c>
      <c r="T35" s="76">
        <v>1644853287</v>
      </c>
      <c r="U35" s="34">
        <f t="shared" si="17"/>
        <v>1</v>
      </c>
      <c r="V35" s="85">
        <f t="shared" si="16"/>
        <v>33</v>
      </c>
      <c r="W35" s="86" t="s">
        <v>38</v>
      </c>
      <c r="X35" s="110"/>
      <c r="Y35" s="114">
        <f t="shared" si="22"/>
        <v>0</v>
      </c>
      <c r="Z35" s="111"/>
      <c r="AA35" s="112">
        <f t="shared" si="23"/>
        <v>0</v>
      </c>
      <c r="AB35" s="75"/>
      <c r="AC35" s="76"/>
      <c r="AD35" s="76"/>
      <c r="AE35" s="76"/>
      <c r="AF35" s="76"/>
      <c r="AG35" s="76"/>
      <c r="AH35" s="76"/>
      <c r="AI35" s="76"/>
      <c r="AJ35" s="76"/>
      <c r="AK35" s="76"/>
      <c r="AL35" s="76"/>
      <c r="AM35" s="76"/>
      <c r="AN35" s="76"/>
    </row>
    <row r="36" spans="1:41" s="43" customFormat="1" ht="13.5" outlineLevel="1" x14ac:dyDescent="0.15">
      <c r="A36" s="34">
        <v>1</v>
      </c>
      <c r="B36" s="85">
        <f t="shared" si="5"/>
        <v>34</v>
      </c>
      <c r="C36" s="86" t="s">
        <v>39</v>
      </c>
      <c r="D36" s="110"/>
      <c r="E36" s="114">
        <f t="shared" si="20"/>
        <v>-41220712</v>
      </c>
      <c r="F36" s="111"/>
      <c r="G36" s="112">
        <f t="shared" si="21"/>
        <v>-41220712</v>
      </c>
      <c r="H36" s="75"/>
      <c r="I36" s="76"/>
      <c r="J36" s="76"/>
      <c r="K36" s="76">
        <v>-14160152</v>
      </c>
      <c r="L36" s="76">
        <v>-15455733</v>
      </c>
      <c r="M36" s="76">
        <v>-16095277</v>
      </c>
      <c r="N36" s="76">
        <v>-17218778</v>
      </c>
      <c r="O36" s="76">
        <v>-19130277</v>
      </c>
      <c r="P36" s="76">
        <v>-19627446</v>
      </c>
      <c r="Q36" s="76">
        <v>-20405013</v>
      </c>
      <c r="R36" s="76">
        <v>-25930356</v>
      </c>
      <c r="S36" s="76">
        <v>-36683480</v>
      </c>
      <c r="T36" s="76">
        <v>-41220712</v>
      </c>
      <c r="U36" s="34">
        <f t="shared" si="17"/>
        <v>1</v>
      </c>
      <c r="V36" s="85">
        <f t="shared" si="16"/>
        <v>34</v>
      </c>
      <c r="W36" s="86" t="s">
        <v>39</v>
      </c>
      <c r="X36" s="110"/>
      <c r="Y36" s="114">
        <f t="shared" si="22"/>
        <v>0</v>
      </c>
      <c r="Z36" s="111"/>
      <c r="AA36" s="112">
        <f t="shared" si="23"/>
        <v>0</v>
      </c>
      <c r="AB36" s="75"/>
      <c r="AC36" s="76"/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</row>
    <row r="37" spans="1:41" s="43" customFormat="1" ht="13.5" outlineLevel="1" x14ac:dyDescent="0.15">
      <c r="A37" s="34">
        <v>1</v>
      </c>
      <c r="B37" s="85">
        <f t="shared" si="5"/>
        <v>35</v>
      </c>
      <c r="C37" s="86" t="s">
        <v>40</v>
      </c>
      <c r="D37" s="110"/>
      <c r="E37" s="114">
        <f t="shared" si="20"/>
        <v>506329296</v>
      </c>
      <c r="F37" s="111"/>
      <c r="G37" s="112">
        <f t="shared" si="21"/>
        <v>506329296</v>
      </c>
      <c r="H37" s="75"/>
      <c r="I37" s="76"/>
      <c r="J37" s="76">
        <v>337237408</v>
      </c>
      <c r="K37" s="76">
        <v>233741557</v>
      </c>
      <c r="L37" s="76">
        <v>237902285</v>
      </c>
      <c r="M37" s="76">
        <v>192622697</v>
      </c>
      <c r="N37" s="76">
        <v>318253349</v>
      </c>
      <c r="O37" s="76">
        <v>196309832</v>
      </c>
      <c r="P37" s="76">
        <v>254220658</v>
      </c>
      <c r="Q37" s="76">
        <v>190275996</v>
      </c>
      <c r="R37" s="76">
        <v>338728214</v>
      </c>
      <c r="S37" s="76">
        <v>399028458</v>
      </c>
      <c r="T37" s="76">
        <v>506329296</v>
      </c>
      <c r="U37" s="34">
        <f t="shared" si="17"/>
        <v>1</v>
      </c>
      <c r="V37" s="85">
        <f t="shared" si="16"/>
        <v>35</v>
      </c>
      <c r="W37" s="86" t="s">
        <v>40</v>
      </c>
      <c r="X37" s="110"/>
      <c r="Y37" s="114">
        <f t="shared" si="22"/>
        <v>0</v>
      </c>
      <c r="Z37" s="111"/>
      <c r="AA37" s="112">
        <f t="shared" si="23"/>
        <v>0</v>
      </c>
      <c r="AB37" s="75"/>
      <c r="AC37" s="76"/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</row>
    <row r="38" spans="1:41" s="43" customFormat="1" ht="13.5" outlineLevel="1" x14ac:dyDescent="0.15">
      <c r="A38" s="34">
        <v>1</v>
      </c>
      <c r="B38" s="85">
        <f t="shared" si="5"/>
        <v>36</v>
      </c>
      <c r="C38" s="86" t="s">
        <v>41</v>
      </c>
      <c r="D38" s="110"/>
      <c r="E38" s="114">
        <f t="shared" si="20"/>
        <v>-3719757</v>
      </c>
      <c r="F38" s="111"/>
      <c r="G38" s="112">
        <f t="shared" si="21"/>
        <v>-3719757</v>
      </c>
      <c r="H38" s="75"/>
      <c r="I38" s="76"/>
      <c r="J38" s="76">
        <v>-38780949</v>
      </c>
      <c r="K38" s="76">
        <v>-34081272</v>
      </c>
      <c r="L38" s="76">
        <v>-14083300</v>
      </c>
      <c r="M38" s="76">
        <v>0</v>
      </c>
      <c r="N38" s="76">
        <v>-5926409</v>
      </c>
      <c r="O38" s="76">
        <v>-5926409</v>
      </c>
      <c r="P38" s="76">
        <v>-7039534</v>
      </c>
      <c r="Q38" s="76">
        <v>-7055734</v>
      </c>
      <c r="R38" s="76">
        <v>-7569786</v>
      </c>
      <c r="S38" s="76">
        <v>-8438666</v>
      </c>
      <c r="T38" s="76">
        <v>-3719757</v>
      </c>
      <c r="U38" s="34">
        <f t="shared" si="17"/>
        <v>1</v>
      </c>
      <c r="V38" s="85">
        <f t="shared" si="16"/>
        <v>36</v>
      </c>
      <c r="W38" s="86" t="s">
        <v>41</v>
      </c>
      <c r="X38" s="110"/>
      <c r="Y38" s="114">
        <f t="shared" si="22"/>
        <v>0</v>
      </c>
      <c r="Z38" s="111"/>
      <c r="AA38" s="112">
        <f t="shared" si="23"/>
        <v>0</v>
      </c>
      <c r="AB38" s="75"/>
      <c r="AC38" s="76"/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</row>
    <row r="39" spans="1:41" s="43" customFormat="1" ht="13.5" outlineLevel="1" x14ac:dyDescent="0.15">
      <c r="A39" s="34">
        <v>1</v>
      </c>
      <c r="B39" s="85">
        <f t="shared" si="5"/>
        <v>37</v>
      </c>
      <c r="C39" s="78" t="s">
        <v>42</v>
      </c>
      <c r="D39" s="79"/>
      <c r="E39" s="118">
        <f t="shared" si="20"/>
        <v>2087792111</v>
      </c>
      <c r="F39" s="81"/>
      <c r="G39" s="82">
        <f t="shared" si="21"/>
        <v>2087792111</v>
      </c>
      <c r="H39" s="83"/>
      <c r="I39" s="84">
        <v>2704480998</v>
      </c>
      <c r="J39" s="84">
        <v>1630772919</v>
      </c>
      <c r="K39" s="84">
        <v>3102923280</v>
      </c>
      <c r="L39" s="84">
        <v>2745025562</v>
      </c>
      <c r="M39" s="84">
        <v>3121159774</v>
      </c>
      <c r="N39" s="84">
        <v>3372004859</v>
      </c>
      <c r="O39" s="84">
        <v>3579197788</v>
      </c>
      <c r="P39" s="84">
        <v>3831660873</v>
      </c>
      <c r="Q39" s="84">
        <v>2676547344</v>
      </c>
      <c r="R39" s="84">
        <v>2232841817</v>
      </c>
      <c r="S39" s="84">
        <v>1930066672</v>
      </c>
      <c r="T39" s="119">
        <v>2087792111</v>
      </c>
      <c r="U39" s="34">
        <f t="shared" si="17"/>
        <v>1</v>
      </c>
      <c r="V39" s="77">
        <f t="shared" si="16"/>
        <v>37</v>
      </c>
      <c r="W39" s="78" t="s">
        <v>42</v>
      </c>
      <c r="X39" s="79"/>
      <c r="Y39" s="118">
        <f t="shared" si="22"/>
        <v>2378672544</v>
      </c>
      <c r="Z39" s="81"/>
      <c r="AA39" s="82">
        <f t="shared" si="23"/>
        <v>2378672544</v>
      </c>
      <c r="AB39" s="83"/>
      <c r="AC39" s="84">
        <v>2108936185</v>
      </c>
      <c r="AD39" s="84">
        <v>1943028880</v>
      </c>
      <c r="AE39" s="84">
        <v>2708650271</v>
      </c>
      <c r="AF39" s="84">
        <v>2532586904</v>
      </c>
      <c r="AG39" s="84">
        <v>2147572050</v>
      </c>
      <c r="AH39" s="84">
        <v>2576508554</v>
      </c>
      <c r="AI39" s="84">
        <v>2607519840</v>
      </c>
      <c r="AJ39" s="84">
        <v>1728190344</v>
      </c>
      <c r="AK39" s="84">
        <v>2558981689</v>
      </c>
      <c r="AL39" s="84">
        <v>2223888495</v>
      </c>
      <c r="AM39" s="84">
        <v>2212185439</v>
      </c>
      <c r="AN39" s="119">
        <v>2378672544</v>
      </c>
    </row>
    <row r="40" spans="1:41" s="43" customFormat="1" ht="13.5" x14ac:dyDescent="0.15">
      <c r="A40" s="34">
        <v>1</v>
      </c>
      <c r="B40" s="85">
        <f t="shared" si="5"/>
        <v>38</v>
      </c>
      <c r="C40" s="54" t="s">
        <v>43</v>
      </c>
      <c r="D40" s="55"/>
      <c r="E40" s="56">
        <f t="shared" si="20"/>
        <v>581726457</v>
      </c>
      <c r="F40" s="57"/>
      <c r="G40" s="58">
        <f t="shared" si="21"/>
        <v>581726457</v>
      </c>
      <c r="H40" s="59"/>
      <c r="I40" s="120">
        <v>60541240</v>
      </c>
      <c r="J40" s="120">
        <v>120426370</v>
      </c>
      <c r="K40" s="120">
        <v>183678280</v>
      </c>
      <c r="L40" s="120">
        <v>265141552</v>
      </c>
      <c r="M40" s="120">
        <v>328692616</v>
      </c>
      <c r="N40" s="120">
        <v>0</v>
      </c>
      <c r="O40" s="120">
        <v>76748581</v>
      </c>
      <c r="P40" s="120">
        <v>144568672</v>
      </c>
      <c r="Q40" s="120">
        <v>0</v>
      </c>
      <c r="R40" s="120">
        <v>110743318</v>
      </c>
      <c r="S40" s="120">
        <v>197485187</v>
      </c>
      <c r="T40" s="120">
        <v>581726457</v>
      </c>
      <c r="U40" s="34">
        <f t="shared" si="17"/>
        <v>1</v>
      </c>
      <c r="V40" s="53">
        <f t="shared" si="16"/>
        <v>38</v>
      </c>
      <c r="W40" s="54" t="s">
        <v>43</v>
      </c>
      <c r="X40" s="55"/>
      <c r="Y40" s="56">
        <f t="shared" si="22"/>
        <v>0</v>
      </c>
      <c r="Z40" s="57"/>
      <c r="AA40" s="58">
        <f>Y40</f>
        <v>0</v>
      </c>
      <c r="AB40" s="59"/>
      <c r="AC40" s="120">
        <v>45279760</v>
      </c>
      <c r="AD40" s="120">
        <v>83714360</v>
      </c>
      <c r="AE40" s="120">
        <v>124551330</v>
      </c>
      <c r="AF40" s="120">
        <v>164581720</v>
      </c>
      <c r="AG40" s="120">
        <v>206331530</v>
      </c>
      <c r="AH40" s="120">
        <v>0</v>
      </c>
      <c r="AI40" s="120">
        <v>46152290</v>
      </c>
      <c r="AJ40" s="120">
        <v>92489080</v>
      </c>
      <c r="AK40" s="120">
        <v>141284930</v>
      </c>
      <c r="AL40" s="120">
        <v>206421730</v>
      </c>
      <c r="AM40" s="120">
        <v>257913380</v>
      </c>
      <c r="AN40" s="120"/>
      <c r="AO40" s="73"/>
    </row>
    <row r="41" spans="1:41" s="43" customFormat="1" ht="13.5" x14ac:dyDescent="0.15">
      <c r="A41" s="34">
        <v>1</v>
      </c>
      <c r="B41" s="85">
        <f t="shared" si="5"/>
        <v>39</v>
      </c>
      <c r="C41" s="54" t="s">
        <v>44</v>
      </c>
      <c r="D41" s="55"/>
      <c r="E41" s="56">
        <f>SUM(E42:E45)</f>
        <v>3363447733</v>
      </c>
      <c r="F41" s="57"/>
      <c r="G41" s="58">
        <f>SUM(G42:G45)</f>
        <v>3363447733</v>
      </c>
      <c r="H41" s="59"/>
      <c r="I41" s="60">
        <f>SUM(I42:I45)</f>
        <v>4574332727</v>
      </c>
      <c r="J41" s="60">
        <f t="shared" ref="J41:T41" si="24">SUM(J42:J45)</f>
        <v>2732399423</v>
      </c>
      <c r="K41" s="60">
        <f t="shared" si="24"/>
        <v>946957226</v>
      </c>
      <c r="L41" s="60">
        <f t="shared" si="24"/>
        <v>2185479267</v>
      </c>
      <c r="M41" s="60">
        <f>SUM(M42:M45)</f>
        <v>3606637529</v>
      </c>
      <c r="N41" s="60">
        <f t="shared" si="24"/>
        <v>1442404077</v>
      </c>
      <c r="O41" s="60">
        <f>SUM(O42:O45)</f>
        <v>2235119127</v>
      </c>
      <c r="P41" s="60">
        <f t="shared" si="24"/>
        <v>3436135525</v>
      </c>
      <c r="Q41" s="60">
        <f t="shared" si="24"/>
        <v>2075911493</v>
      </c>
      <c r="R41" s="60">
        <f t="shared" si="24"/>
        <v>3373814682</v>
      </c>
      <c r="S41" s="60">
        <f>SUM(S42:S45)</f>
        <v>4480042004</v>
      </c>
      <c r="T41" s="60">
        <f t="shared" si="24"/>
        <v>3363447733</v>
      </c>
      <c r="U41" s="34">
        <f t="shared" si="17"/>
        <v>1</v>
      </c>
      <c r="V41" s="53">
        <f t="shared" si="16"/>
        <v>39</v>
      </c>
      <c r="W41" s="54" t="s">
        <v>44</v>
      </c>
      <c r="X41" s="55"/>
      <c r="Y41" s="56">
        <f>SUM(Y42:Y45)</f>
        <v>1060416774</v>
      </c>
      <c r="Z41" s="57"/>
      <c r="AA41" s="58">
        <f>SUM(AA42:AA45)</f>
        <v>1060416774</v>
      </c>
      <c r="AB41" s="59"/>
      <c r="AC41" s="60">
        <f>SUM(AC42:AC45)</f>
        <v>3393026423</v>
      </c>
      <c r="AD41" s="60">
        <f t="shared" ref="AD41:AN41" si="25">SUM(AD42:AD45)</f>
        <v>2545771012</v>
      </c>
      <c r="AE41" s="60">
        <f t="shared" si="25"/>
        <v>1239322718</v>
      </c>
      <c r="AF41" s="60">
        <f t="shared" si="25"/>
        <v>2104953019</v>
      </c>
      <c r="AG41" s="60">
        <f>SUM(AG42:AG45)</f>
        <v>2558031284</v>
      </c>
      <c r="AH41" s="60">
        <f t="shared" si="25"/>
        <v>1583427430</v>
      </c>
      <c r="AI41" s="60">
        <f>SUM(AI42:AI45)</f>
        <v>2003412456</v>
      </c>
      <c r="AJ41" s="60">
        <f t="shared" si="25"/>
        <v>2521226100</v>
      </c>
      <c r="AK41" s="60">
        <f t="shared" si="25"/>
        <v>1554703564</v>
      </c>
      <c r="AL41" s="60">
        <f t="shared" si="25"/>
        <v>5642809068</v>
      </c>
      <c r="AM41" s="60">
        <f t="shared" si="25"/>
        <v>2079429202</v>
      </c>
      <c r="AN41" s="60">
        <f t="shared" si="25"/>
        <v>1060416774</v>
      </c>
    </row>
    <row r="42" spans="1:41" s="43" customFormat="1" ht="13.5" outlineLevel="1" x14ac:dyDescent="0.15">
      <c r="A42" s="34">
        <v>1</v>
      </c>
      <c r="B42" s="85">
        <f t="shared" si="5"/>
        <v>40</v>
      </c>
      <c r="C42" s="62" t="s">
        <v>45</v>
      </c>
      <c r="D42" s="63"/>
      <c r="E42" s="64">
        <f>HLOOKUP($A$1,$I$3:$T$365,B42,0)</f>
        <v>2424082067</v>
      </c>
      <c r="F42" s="65"/>
      <c r="G42" s="66">
        <f>E42</f>
        <v>2424082067</v>
      </c>
      <c r="H42" s="67"/>
      <c r="I42" s="68">
        <v>3159015024</v>
      </c>
      <c r="J42" s="68">
        <v>69086607</v>
      </c>
      <c r="K42" s="68">
        <v>174653836</v>
      </c>
      <c r="L42" s="68">
        <v>94353722</v>
      </c>
      <c r="M42" s="68">
        <v>373418976</v>
      </c>
      <c r="N42" s="68">
        <v>754578670</v>
      </c>
      <c r="O42" s="68">
        <v>315539057</v>
      </c>
      <c r="P42" s="68">
        <v>552008832</v>
      </c>
      <c r="Q42" s="68">
        <v>1442952932</v>
      </c>
      <c r="R42" s="68">
        <v>1700655602</v>
      </c>
      <c r="S42" s="68">
        <v>1711480882</v>
      </c>
      <c r="T42" s="68">
        <v>2424082067</v>
      </c>
      <c r="U42" s="34">
        <f t="shared" si="17"/>
        <v>1</v>
      </c>
      <c r="V42" s="61">
        <f t="shared" si="16"/>
        <v>40</v>
      </c>
      <c r="W42" s="62" t="s">
        <v>45</v>
      </c>
      <c r="X42" s="63"/>
      <c r="Y42" s="64">
        <f>HLOOKUP($U$1,$AC$3:$AN$365,V42,0)</f>
        <v>216332118</v>
      </c>
      <c r="Z42" s="65"/>
      <c r="AA42" s="66">
        <f>Y42</f>
        <v>216332118</v>
      </c>
      <c r="AB42" s="67"/>
      <c r="AC42" s="68">
        <v>2286570472</v>
      </c>
      <c r="AD42" s="68">
        <v>874128156</v>
      </c>
      <c r="AE42" s="68">
        <v>627612209</v>
      </c>
      <c r="AF42" s="68">
        <v>952388743</v>
      </c>
      <c r="AG42" s="68">
        <v>910324387</v>
      </c>
      <c r="AH42" s="68">
        <v>930678081</v>
      </c>
      <c r="AI42" s="68">
        <v>890752031</v>
      </c>
      <c r="AJ42" s="68">
        <v>1150391701</v>
      </c>
      <c r="AK42" s="68">
        <v>883798399</v>
      </c>
      <c r="AL42" s="68">
        <v>4523521603</v>
      </c>
      <c r="AM42" s="68">
        <v>326349360</v>
      </c>
      <c r="AN42" s="68">
        <v>216332118</v>
      </c>
    </row>
    <row r="43" spans="1:41" s="43" customFormat="1" ht="13.5" outlineLevel="1" x14ac:dyDescent="0.15">
      <c r="A43" s="34">
        <v>1</v>
      </c>
      <c r="B43" s="85">
        <f t="shared" si="5"/>
        <v>41</v>
      </c>
      <c r="C43" s="70" t="s">
        <v>46</v>
      </c>
      <c r="D43" s="71"/>
      <c r="E43" s="72">
        <f>HLOOKUP($A$1,$I$3:$T$365,B43,0)</f>
        <v>0</v>
      </c>
      <c r="F43" s="73"/>
      <c r="G43" s="74">
        <f>E43</f>
        <v>0</v>
      </c>
      <c r="H43" s="75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34">
        <f t="shared" si="17"/>
        <v>1</v>
      </c>
      <c r="V43" s="69">
        <f t="shared" si="16"/>
        <v>41</v>
      </c>
      <c r="W43" s="70" t="s">
        <v>46</v>
      </c>
      <c r="X43" s="71"/>
      <c r="Y43" s="72">
        <f>HLOOKUP($U$1,$AC$3:$AN$365,V43,0)</f>
        <v>0</v>
      </c>
      <c r="Z43" s="73"/>
      <c r="AA43" s="74">
        <f>Y43</f>
        <v>0</v>
      </c>
      <c r="AB43" s="75"/>
      <c r="AC43" s="76"/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</row>
    <row r="44" spans="1:41" s="43" customFormat="1" ht="13.5" outlineLevel="1" x14ac:dyDescent="0.15">
      <c r="A44" s="34">
        <v>1</v>
      </c>
      <c r="B44" s="85">
        <f t="shared" si="5"/>
        <v>42</v>
      </c>
      <c r="C44" s="70" t="s">
        <v>47</v>
      </c>
      <c r="D44" s="71"/>
      <c r="E44" s="72">
        <f>HLOOKUP($A$1,$I$3:$T$365,B44,0)</f>
        <v>939365666</v>
      </c>
      <c r="F44" s="73"/>
      <c r="G44" s="74">
        <f>E44</f>
        <v>939365666</v>
      </c>
      <c r="H44" s="75"/>
      <c r="I44" s="76">
        <v>820448015</v>
      </c>
      <c r="J44" s="76">
        <v>803974269</v>
      </c>
      <c r="K44" s="76">
        <v>772303390</v>
      </c>
      <c r="L44" s="76">
        <v>747149503</v>
      </c>
      <c r="M44" s="76">
        <v>721973059</v>
      </c>
      <c r="N44" s="76">
        <v>687825407</v>
      </c>
      <c r="O44" s="76">
        <v>655009191</v>
      </c>
      <c r="P44" s="76">
        <v>633342225</v>
      </c>
      <c r="Q44" s="76">
        <v>632958561</v>
      </c>
      <c r="R44" s="76">
        <v>713246271</v>
      </c>
      <c r="S44" s="76">
        <v>575504455</v>
      </c>
      <c r="T44" s="76">
        <v>939365666</v>
      </c>
      <c r="U44" s="34">
        <f t="shared" si="17"/>
        <v>1</v>
      </c>
      <c r="V44" s="69">
        <f t="shared" si="16"/>
        <v>42</v>
      </c>
      <c r="W44" s="70" t="s">
        <v>47</v>
      </c>
      <c r="X44" s="71"/>
      <c r="Y44" s="72">
        <f>HLOOKUP($U$1,$AC$3:$AN$365,V44,0)</f>
        <v>844084656</v>
      </c>
      <c r="Z44" s="73"/>
      <c r="AA44" s="74">
        <f>Y44</f>
        <v>844084656</v>
      </c>
      <c r="AB44" s="75"/>
      <c r="AC44" s="76">
        <v>706793735</v>
      </c>
      <c r="AD44" s="76">
        <v>689571580</v>
      </c>
      <c r="AE44" s="76">
        <v>611710509</v>
      </c>
      <c r="AF44" s="76">
        <v>617900000</v>
      </c>
      <c r="AG44" s="76">
        <v>600256272</v>
      </c>
      <c r="AH44" s="76">
        <v>652749349</v>
      </c>
      <c r="AI44" s="76">
        <v>629304047</v>
      </c>
      <c r="AJ44" s="76">
        <v>629227761</v>
      </c>
      <c r="AK44" s="76">
        <v>670905165</v>
      </c>
      <c r="AL44" s="76">
        <v>650604050</v>
      </c>
      <c r="AM44" s="76">
        <v>636458254</v>
      </c>
      <c r="AN44" s="76">
        <v>844084656</v>
      </c>
    </row>
    <row r="45" spans="1:41" s="43" customFormat="1" ht="13.5" outlineLevel="1" x14ac:dyDescent="0.15">
      <c r="A45" s="34">
        <v>1</v>
      </c>
      <c r="B45" s="85">
        <f t="shared" si="5"/>
        <v>43</v>
      </c>
      <c r="C45" s="78" t="s">
        <v>48</v>
      </c>
      <c r="D45" s="79"/>
      <c r="E45" s="80">
        <f>HLOOKUP($A$1,$I$3:$T$365,B45,0)</f>
        <v>0</v>
      </c>
      <c r="F45" s="81"/>
      <c r="G45" s="82">
        <f>E45</f>
        <v>0</v>
      </c>
      <c r="H45" s="83"/>
      <c r="I45" s="84">
        <v>594869688</v>
      </c>
      <c r="J45" s="84">
        <v>1859338547</v>
      </c>
      <c r="K45" s="84"/>
      <c r="L45" s="84">
        <v>1343976042</v>
      </c>
      <c r="M45" s="84">
        <v>2511245494</v>
      </c>
      <c r="N45" s="76">
        <v>0</v>
      </c>
      <c r="O45" s="84">
        <v>1264570879</v>
      </c>
      <c r="P45" s="84">
        <v>2250784468</v>
      </c>
      <c r="Q45" s="84"/>
      <c r="R45" s="84">
        <v>959912809</v>
      </c>
      <c r="S45" s="43">
        <v>2193056667</v>
      </c>
      <c r="T45" s="76"/>
      <c r="U45" s="34">
        <f t="shared" si="17"/>
        <v>1</v>
      </c>
      <c r="V45" s="77">
        <f t="shared" si="16"/>
        <v>43</v>
      </c>
      <c r="W45" s="78" t="s">
        <v>48</v>
      </c>
      <c r="X45" s="79"/>
      <c r="Y45" s="80">
        <f>HLOOKUP($U$1,$AC$3:$AN$365,V45,0)</f>
        <v>0</v>
      </c>
      <c r="Z45" s="81"/>
      <c r="AA45" s="82">
        <f>Y45</f>
        <v>0</v>
      </c>
      <c r="AB45" s="83"/>
      <c r="AC45" s="84">
        <v>399662216</v>
      </c>
      <c r="AD45" s="84">
        <v>982071276</v>
      </c>
      <c r="AE45" s="84">
        <v>0</v>
      </c>
      <c r="AF45" s="84">
        <v>534664276</v>
      </c>
      <c r="AG45" s="84">
        <v>1047450625</v>
      </c>
      <c r="AH45" s="105">
        <v>0</v>
      </c>
      <c r="AI45" s="84">
        <v>483356378</v>
      </c>
      <c r="AJ45" s="84">
        <v>741606638</v>
      </c>
      <c r="AK45" s="84"/>
      <c r="AL45" s="84">
        <v>468683415</v>
      </c>
      <c r="AM45" s="84">
        <v>1116621588</v>
      </c>
      <c r="AN45" s="84"/>
    </row>
    <row r="46" spans="1:41" s="52" customFormat="1" ht="13.5" x14ac:dyDescent="0.15">
      <c r="A46" s="34">
        <v>1</v>
      </c>
      <c r="B46" s="85">
        <f t="shared" si="5"/>
        <v>44</v>
      </c>
      <c r="C46" s="121" t="s">
        <v>49</v>
      </c>
      <c r="D46" s="122"/>
      <c r="E46" s="123">
        <f>E47+E50+E60+E63+E87+E95+E96</f>
        <v>541332743289</v>
      </c>
      <c r="F46" s="124"/>
      <c r="G46" s="125">
        <f>G47+G50+G60+G63+G87+G95+G96</f>
        <v>541332743289</v>
      </c>
      <c r="H46" s="126"/>
      <c r="I46" s="123">
        <f t="shared" ref="I46:T46" si="26">I47+I50+I60+I63+I87+I95+I96</f>
        <v>493136879150</v>
      </c>
      <c r="J46" s="123">
        <f t="shared" si="26"/>
        <v>496935272847</v>
      </c>
      <c r="K46" s="123">
        <f t="shared" si="26"/>
        <v>498496850915</v>
      </c>
      <c r="L46" s="123">
        <f t="shared" si="26"/>
        <v>502574294977</v>
      </c>
      <c r="M46" s="123">
        <f t="shared" si="26"/>
        <v>502530699554</v>
      </c>
      <c r="N46" s="123">
        <f t="shared" si="26"/>
        <v>503143741471</v>
      </c>
      <c r="O46" s="123">
        <f t="shared" si="26"/>
        <v>495017327421</v>
      </c>
      <c r="P46" s="123">
        <f t="shared" si="26"/>
        <v>495116789065</v>
      </c>
      <c r="Q46" s="123">
        <f t="shared" si="26"/>
        <v>504604051683</v>
      </c>
      <c r="R46" s="123">
        <f t="shared" si="26"/>
        <v>509136979933</v>
      </c>
      <c r="S46" s="123">
        <f t="shared" si="26"/>
        <v>521165983072</v>
      </c>
      <c r="T46" s="123">
        <f t="shared" si="26"/>
        <v>541332743289</v>
      </c>
      <c r="U46" s="34">
        <f t="shared" si="17"/>
        <v>1</v>
      </c>
      <c r="V46" s="127">
        <f t="shared" si="16"/>
        <v>44</v>
      </c>
      <c r="W46" s="121" t="s">
        <v>49</v>
      </c>
      <c r="X46" s="122"/>
      <c r="Y46" s="123">
        <f>Y47+Y50+Y60+Y63+Y87+Y95+Y96</f>
        <v>489232862883</v>
      </c>
      <c r="Z46" s="124"/>
      <c r="AA46" s="125">
        <f>AA47+AA50+AA60+AA63+AA87+AA95+AA96</f>
        <v>489232862883</v>
      </c>
      <c r="AB46" s="126"/>
      <c r="AC46" s="123">
        <f t="shared" ref="AC46:AN46" si="27">AC47+AC50+AC60+AC63+AC87+AC95+AC96</f>
        <v>433083066640</v>
      </c>
      <c r="AD46" s="123">
        <f t="shared" si="27"/>
        <v>433079743346</v>
      </c>
      <c r="AE46" s="123">
        <f t="shared" si="27"/>
        <v>434738444966</v>
      </c>
      <c r="AF46" s="123">
        <f t="shared" si="27"/>
        <v>435882339373</v>
      </c>
      <c r="AG46" s="123">
        <f t="shared" si="27"/>
        <v>436688688356</v>
      </c>
      <c r="AH46" s="123">
        <f t="shared" si="27"/>
        <v>441742194037</v>
      </c>
      <c r="AI46" s="123">
        <f t="shared" si="27"/>
        <v>441540543012</v>
      </c>
      <c r="AJ46" s="123">
        <f t="shared" si="27"/>
        <v>463903506379</v>
      </c>
      <c r="AK46" s="123">
        <f t="shared" si="27"/>
        <v>466930377102</v>
      </c>
      <c r="AL46" s="123">
        <f t="shared" si="27"/>
        <v>466007023841</v>
      </c>
      <c r="AM46" s="123">
        <f t="shared" si="27"/>
        <v>472350093114</v>
      </c>
      <c r="AN46" s="123">
        <f t="shared" si="27"/>
        <v>489232862883</v>
      </c>
    </row>
    <row r="47" spans="1:41" s="43" customFormat="1" ht="13.5" outlineLevel="1" x14ac:dyDescent="0.15">
      <c r="A47" s="34">
        <v>1</v>
      </c>
      <c r="B47" s="85">
        <f t="shared" si="5"/>
        <v>45</v>
      </c>
      <c r="C47" s="54" t="s">
        <v>50</v>
      </c>
      <c r="D47" s="55"/>
      <c r="E47" s="56">
        <f>SUM(E48:E49)</f>
        <v>0</v>
      </c>
      <c r="F47" s="57"/>
      <c r="G47" s="58">
        <f>SUM(G48:G49)</f>
        <v>0</v>
      </c>
      <c r="H47" s="59"/>
      <c r="I47" s="60">
        <f t="shared" ref="I47:T47" si="28">SUM(I48:I49)</f>
        <v>0</v>
      </c>
      <c r="J47" s="60">
        <f t="shared" si="28"/>
        <v>0</v>
      </c>
      <c r="K47" s="60">
        <f t="shared" si="28"/>
        <v>0</v>
      </c>
      <c r="L47" s="60">
        <f t="shared" si="28"/>
        <v>0</v>
      </c>
      <c r="M47" s="60">
        <f t="shared" si="28"/>
        <v>0</v>
      </c>
      <c r="N47" s="60">
        <f t="shared" si="28"/>
        <v>0</v>
      </c>
      <c r="O47" s="60">
        <f t="shared" si="28"/>
        <v>0</v>
      </c>
      <c r="P47" s="60">
        <f t="shared" si="28"/>
        <v>0</v>
      </c>
      <c r="Q47" s="60">
        <f t="shared" si="28"/>
        <v>0</v>
      </c>
      <c r="R47" s="60">
        <f t="shared" si="28"/>
        <v>0</v>
      </c>
      <c r="S47" s="60">
        <f t="shared" si="28"/>
        <v>0</v>
      </c>
      <c r="T47" s="60">
        <f t="shared" si="28"/>
        <v>0</v>
      </c>
      <c r="U47" s="34">
        <f t="shared" si="17"/>
        <v>1</v>
      </c>
      <c r="V47" s="53">
        <f t="shared" si="16"/>
        <v>45</v>
      </c>
      <c r="W47" s="54" t="s">
        <v>50</v>
      </c>
      <c r="X47" s="55"/>
      <c r="Y47" s="56">
        <f>SUM(Y48:Y49)</f>
        <v>0</v>
      </c>
      <c r="Z47" s="57"/>
      <c r="AA47" s="58">
        <f>SUM(AA48:AA49)</f>
        <v>0</v>
      </c>
      <c r="AB47" s="59"/>
      <c r="AC47" s="60">
        <v>0</v>
      </c>
      <c r="AD47" s="60">
        <v>0</v>
      </c>
      <c r="AE47" s="60">
        <v>0</v>
      </c>
      <c r="AF47" s="60">
        <v>0</v>
      </c>
      <c r="AG47" s="60">
        <v>0</v>
      </c>
      <c r="AH47" s="60">
        <v>0</v>
      </c>
      <c r="AI47" s="60">
        <v>0</v>
      </c>
      <c r="AJ47" s="60">
        <v>0</v>
      </c>
      <c r="AK47" s="60">
        <v>0</v>
      </c>
      <c r="AL47" s="60">
        <v>0</v>
      </c>
      <c r="AM47" s="60">
        <v>0</v>
      </c>
      <c r="AN47" s="60">
        <f t="shared" ref="AN47" si="29">SUM(AN48:AN49)</f>
        <v>0</v>
      </c>
    </row>
    <row r="48" spans="1:41" s="43" customFormat="1" ht="13.5" outlineLevel="1" x14ac:dyDescent="0.15">
      <c r="A48" s="34">
        <v>1</v>
      </c>
      <c r="B48" s="85">
        <f t="shared" si="5"/>
        <v>46</v>
      </c>
      <c r="C48" s="62" t="s">
        <v>51</v>
      </c>
      <c r="D48" s="63"/>
      <c r="E48" s="64">
        <f>HLOOKUP($A$1,$I$3:$T$365,B48,0)</f>
        <v>0</v>
      </c>
      <c r="F48" s="65"/>
      <c r="G48" s="66">
        <f>E48</f>
        <v>0</v>
      </c>
      <c r="H48" s="67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34">
        <f t="shared" si="17"/>
        <v>1</v>
      </c>
      <c r="V48" s="61">
        <f t="shared" si="16"/>
        <v>46</v>
      </c>
      <c r="W48" s="62" t="s">
        <v>51</v>
      </c>
      <c r="X48" s="63"/>
      <c r="Y48" s="64">
        <f>HLOOKUP($U$1,$AC$3:$AN$365,V48,0)</f>
        <v>0</v>
      </c>
      <c r="Z48" s="65"/>
      <c r="AA48" s="66">
        <f>Y48</f>
        <v>0</v>
      </c>
      <c r="AB48" s="67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</row>
    <row r="49" spans="1:40" s="43" customFormat="1" ht="13.5" outlineLevel="1" x14ac:dyDescent="0.15">
      <c r="A49" s="34">
        <v>1</v>
      </c>
      <c r="B49" s="85">
        <f t="shared" si="5"/>
        <v>47</v>
      </c>
      <c r="C49" s="78" t="s">
        <v>52</v>
      </c>
      <c r="D49" s="79"/>
      <c r="E49" s="80">
        <f>HLOOKUP($A$1,$I$3:$T$365,B49,0)</f>
        <v>0</v>
      </c>
      <c r="F49" s="81"/>
      <c r="G49" s="82">
        <f>E49</f>
        <v>0</v>
      </c>
      <c r="H49" s="83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34">
        <f t="shared" si="17"/>
        <v>1</v>
      </c>
      <c r="V49" s="77">
        <f t="shared" si="16"/>
        <v>47</v>
      </c>
      <c r="W49" s="78" t="s">
        <v>52</v>
      </c>
      <c r="X49" s="79"/>
      <c r="Y49" s="80">
        <f>HLOOKUP($U$1,$AC$3:$AN$365,V49,0)</f>
        <v>0</v>
      </c>
      <c r="Z49" s="81"/>
      <c r="AA49" s="82">
        <f>Y49</f>
        <v>0</v>
      </c>
      <c r="AB49" s="83"/>
      <c r="AC49" s="76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</row>
    <row r="50" spans="1:40" s="43" customFormat="1" ht="13.5" x14ac:dyDescent="0.15">
      <c r="A50" s="34">
        <v>1</v>
      </c>
      <c r="B50" s="85">
        <f t="shared" si="5"/>
        <v>48</v>
      </c>
      <c r="C50" s="54" t="s">
        <v>53</v>
      </c>
      <c r="D50" s="55"/>
      <c r="E50" s="56">
        <f>SUM(E51:E59)</f>
        <v>110035713937</v>
      </c>
      <c r="F50" s="57"/>
      <c r="G50" s="58">
        <f>SUM(G51:G59)</f>
        <v>110035713937</v>
      </c>
      <c r="H50" s="59"/>
      <c r="I50" s="60">
        <f t="shared" ref="I50:T50" si="30">SUM(I51:I59)</f>
        <v>69361872055</v>
      </c>
      <c r="J50" s="60">
        <f>SUM(J51:J59)</f>
        <v>69827619055</v>
      </c>
      <c r="K50" s="60">
        <f t="shared" si="30"/>
        <v>69186243542</v>
      </c>
      <c r="L50" s="60">
        <f t="shared" si="30"/>
        <v>70792916769</v>
      </c>
      <c r="M50" s="60">
        <f t="shared" si="30"/>
        <v>70792916769</v>
      </c>
      <c r="N50" s="60">
        <f t="shared" si="30"/>
        <v>69427940921</v>
      </c>
      <c r="O50" s="60">
        <f t="shared" si="30"/>
        <v>71218090498</v>
      </c>
      <c r="P50" s="60">
        <f t="shared" si="30"/>
        <v>71218090498</v>
      </c>
      <c r="Q50" s="60">
        <f t="shared" si="30"/>
        <v>80735084338</v>
      </c>
      <c r="R50" s="60">
        <f t="shared" si="30"/>
        <v>85493374539</v>
      </c>
      <c r="S50" s="60">
        <f t="shared" si="30"/>
        <v>97139273539</v>
      </c>
      <c r="T50" s="60">
        <f t="shared" si="30"/>
        <v>110035713937</v>
      </c>
      <c r="U50" s="34">
        <f t="shared" si="17"/>
        <v>1</v>
      </c>
      <c r="V50" s="53">
        <f t="shared" si="16"/>
        <v>48</v>
      </c>
      <c r="W50" s="54" t="s">
        <v>53</v>
      </c>
      <c r="X50" s="55"/>
      <c r="Y50" s="56">
        <f>SUM(Y51:Y59)</f>
        <v>66747472055</v>
      </c>
      <c r="Z50" s="57"/>
      <c r="AA50" s="58">
        <f>SUM(AA51:AA59)</f>
        <v>66747472055</v>
      </c>
      <c r="AB50" s="59"/>
      <c r="AC50" s="60">
        <f t="shared" ref="AC50:AN50" si="31">SUM(AC51:AC59)</f>
        <v>47785779251</v>
      </c>
      <c r="AD50" s="60">
        <f t="shared" si="31"/>
        <v>47785779251</v>
      </c>
      <c r="AE50" s="60">
        <f t="shared" si="31"/>
        <v>49624374706</v>
      </c>
      <c r="AF50" s="60">
        <f t="shared" si="31"/>
        <v>50624374706</v>
      </c>
      <c r="AG50" s="60">
        <f t="shared" si="31"/>
        <v>51624374706</v>
      </c>
      <c r="AH50" s="60">
        <f t="shared" si="31"/>
        <v>56024054747</v>
      </c>
      <c r="AI50" s="60">
        <f t="shared" si="31"/>
        <v>56024054747</v>
      </c>
      <c r="AJ50" s="60">
        <f t="shared" si="31"/>
        <v>59024054747</v>
      </c>
      <c r="AK50" s="60">
        <f t="shared" si="31"/>
        <v>59793062747</v>
      </c>
      <c r="AL50" s="60">
        <f t="shared" si="31"/>
        <v>58193062747</v>
      </c>
      <c r="AM50" s="60">
        <f t="shared" si="31"/>
        <v>60393062747</v>
      </c>
      <c r="AN50" s="60">
        <f t="shared" si="31"/>
        <v>66747472055</v>
      </c>
    </row>
    <row r="51" spans="1:40" s="43" customFormat="1" ht="13.5" outlineLevel="1" x14ac:dyDescent="0.15">
      <c r="A51" s="34">
        <v>1</v>
      </c>
      <c r="B51" s="85">
        <f t="shared" si="5"/>
        <v>49</v>
      </c>
      <c r="C51" s="62" t="s">
        <v>54</v>
      </c>
      <c r="D51" s="63"/>
      <c r="E51" s="64">
        <f t="shared" ref="E51:E59" si="32">HLOOKUP($A$1,$I$3:$T$365,B51,0)</f>
        <v>108162000187</v>
      </c>
      <c r="F51" s="65"/>
      <c r="G51" s="66">
        <f t="shared" ref="G51:G59" si="33">E51</f>
        <v>108162000187</v>
      </c>
      <c r="H51" s="67"/>
      <c r="I51" s="68">
        <v>56800000187</v>
      </c>
      <c r="J51" s="68">
        <v>56800000187</v>
      </c>
      <c r="K51" s="68">
        <v>54872000187</v>
      </c>
      <c r="L51" s="68">
        <v>56372000187</v>
      </c>
      <c r="M51" s="68">
        <v>56372000187</v>
      </c>
      <c r="N51" s="68">
        <v>56372000187</v>
      </c>
      <c r="O51" s="68">
        <v>56962000187</v>
      </c>
      <c r="P51" s="68">
        <v>56962000187</v>
      </c>
      <c r="Q51" s="68">
        <v>67712000187</v>
      </c>
      <c r="R51" s="68">
        <v>72712000187</v>
      </c>
      <c r="S51" s="68">
        <v>84312000187</v>
      </c>
      <c r="T51" s="68">
        <v>108162000187</v>
      </c>
      <c r="U51" s="34">
        <f t="shared" si="17"/>
        <v>1</v>
      </c>
      <c r="V51" s="61">
        <f t="shared" si="16"/>
        <v>49</v>
      </c>
      <c r="W51" s="62" t="s">
        <v>54</v>
      </c>
      <c r="X51" s="63"/>
      <c r="Y51" s="64">
        <f t="shared" ref="Y51:Y59" si="34">HLOOKUP($U$1,$AC$3:$AN$365,V51,0)</f>
        <v>54200000187</v>
      </c>
      <c r="Z51" s="65"/>
      <c r="AA51" s="66">
        <f t="shared" ref="AA51:AA59" si="35">Y51</f>
        <v>54200000187</v>
      </c>
      <c r="AB51" s="67"/>
      <c r="AC51" s="68">
        <v>38600000187</v>
      </c>
      <c r="AD51" s="68">
        <v>38600000187</v>
      </c>
      <c r="AE51" s="68">
        <v>40600000187</v>
      </c>
      <c r="AF51" s="68">
        <v>41600000187</v>
      </c>
      <c r="AG51" s="68">
        <v>42600000187</v>
      </c>
      <c r="AH51" s="68">
        <v>46400000187</v>
      </c>
      <c r="AI51" s="68">
        <v>46400000187</v>
      </c>
      <c r="AJ51" s="68">
        <v>49400000187</v>
      </c>
      <c r="AK51" s="68">
        <v>50600000187</v>
      </c>
      <c r="AL51" s="68">
        <v>49000000187</v>
      </c>
      <c r="AM51" s="68">
        <v>51200000187</v>
      </c>
      <c r="AN51" s="68">
        <v>54200000187</v>
      </c>
    </row>
    <row r="52" spans="1:40" s="43" customFormat="1" ht="13.5" outlineLevel="1" x14ac:dyDescent="0.15">
      <c r="A52" s="34">
        <v>1</v>
      </c>
      <c r="B52" s="85">
        <f t="shared" si="5"/>
        <v>50</v>
      </c>
      <c r="C52" s="70" t="s">
        <v>55</v>
      </c>
      <c r="D52" s="71"/>
      <c r="E52" s="72">
        <f t="shared" si="32"/>
        <v>0</v>
      </c>
      <c r="F52" s="73"/>
      <c r="G52" s="74">
        <f t="shared" si="33"/>
        <v>0</v>
      </c>
      <c r="H52" s="75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34">
        <f t="shared" si="17"/>
        <v>1</v>
      </c>
      <c r="V52" s="69">
        <f t="shared" si="16"/>
        <v>50</v>
      </c>
      <c r="W52" s="70" t="s">
        <v>55</v>
      </c>
      <c r="X52" s="71"/>
      <c r="Y52" s="72">
        <f t="shared" si="34"/>
        <v>0</v>
      </c>
      <c r="Z52" s="73"/>
      <c r="AA52" s="74">
        <f t="shared" si="35"/>
        <v>0</v>
      </c>
      <c r="AB52" s="75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</row>
    <row r="53" spans="1:40" s="43" customFormat="1" ht="13.5" outlineLevel="1" x14ac:dyDescent="0.15">
      <c r="A53" s="34">
        <v>1</v>
      </c>
      <c r="B53" s="85">
        <f t="shared" si="5"/>
        <v>51</v>
      </c>
      <c r="C53" s="70" t="s">
        <v>56</v>
      </c>
      <c r="D53" s="71"/>
      <c r="E53" s="72">
        <f t="shared" si="32"/>
        <v>4493681</v>
      </c>
      <c r="F53" s="73"/>
      <c r="G53" s="74">
        <f t="shared" si="33"/>
        <v>4493681</v>
      </c>
      <c r="H53" s="75"/>
      <c r="I53" s="76">
        <v>4500480</v>
      </c>
      <c r="J53" s="76">
        <v>4500480</v>
      </c>
      <c r="K53" s="76">
        <v>4500480</v>
      </c>
      <c r="L53" s="76">
        <v>4500480</v>
      </c>
      <c r="M53" s="76">
        <v>4500480</v>
      </c>
      <c r="N53" s="76">
        <v>4500480</v>
      </c>
      <c r="O53" s="76">
        <v>4500480</v>
      </c>
      <c r="P53" s="76">
        <v>4500480</v>
      </c>
      <c r="Q53" s="76">
        <v>4500480</v>
      </c>
      <c r="R53" s="76">
        <v>4493681</v>
      </c>
      <c r="S53" s="76">
        <v>4493681</v>
      </c>
      <c r="T53" s="76">
        <v>4493681</v>
      </c>
      <c r="U53" s="34">
        <f t="shared" si="17"/>
        <v>1</v>
      </c>
      <c r="V53" s="69">
        <f t="shared" si="16"/>
        <v>51</v>
      </c>
      <c r="W53" s="70" t="s">
        <v>56</v>
      </c>
      <c r="X53" s="71"/>
      <c r="Y53" s="72">
        <f t="shared" si="34"/>
        <v>4500480</v>
      </c>
      <c r="Z53" s="73"/>
      <c r="AA53" s="74">
        <f t="shared" si="35"/>
        <v>4500480</v>
      </c>
      <c r="AB53" s="75"/>
      <c r="AC53" s="76">
        <v>4500480</v>
      </c>
      <c r="AD53" s="76">
        <v>4500480</v>
      </c>
      <c r="AE53" s="76">
        <v>4500480</v>
      </c>
      <c r="AF53" s="76">
        <v>4500480</v>
      </c>
      <c r="AG53" s="76">
        <v>4500480</v>
      </c>
      <c r="AH53" s="76">
        <v>4500480</v>
      </c>
      <c r="AI53" s="76">
        <v>4500480</v>
      </c>
      <c r="AJ53" s="76">
        <v>4500480</v>
      </c>
      <c r="AK53" s="76">
        <v>4500480</v>
      </c>
      <c r="AL53" s="76">
        <v>4500480</v>
      </c>
      <c r="AM53" s="76">
        <v>4500480</v>
      </c>
      <c r="AN53" s="76">
        <v>4500480</v>
      </c>
    </row>
    <row r="54" spans="1:40" s="43" customFormat="1" ht="13.5" outlineLevel="1" x14ac:dyDescent="0.15">
      <c r="A54" s="34">
        <v>1</v>
      </c>
      <c r="B54" s="85">
        <f t="shared" si="5"/>
        <v>52</v>
      </c>
      <c r="C54" s="70" t="s">
        <v>57</v>
      </c>
      <c r="D54" s="71"/>
      <c r="E54" s="72">
        <f t="shared" si="32"/>
        <v>1130747869</v>
      </c>
      <c r="F54" s="73"/>
      <c r="G54" s="74">
        <f>E54</f>
        <v>1130747869</v>
      </c>
      <c r="H54" s="75"/>
      <c r="I54" s="76">
        <v>12114124702</v>
      </c>
      <c r="J54" s="76">
        <v>12114124702</v>
      </c>
      <c r="K54" s="76">
        <v>12222497302</v>
      </c>
      <c r="L54" s="76">
        <v>12222497302</v>
      </c>
      <c r="M54" s="76">
        <v>12222497302</v>
      </c>
      <c r="N54" s="76">
        <v>12057671031</v>
      </c>
      <c r="O54" s="76">
        <v>12057671031</v>
      </c>
      <c r="P54" s="76">
        <v>12057671031</v>
      </c>
      <c r="Q54" s="76">
        <v>12038409471</v>
      </c>
      <c r="R54" s="76">
        <v>12038409471</v>
      </c>
      <c r="S54" s="76">
        <v>12038408471</v>
      </c>
      <c r="T54" s="76">
        <v>1130747869</v>
      </c>
      <c r="U54" s="34">
        <f t="shared" si="17"/>
        <v>1</v>
      </c>
      <c r="V54" s="69">
        <f t="shared" si="16"/>
        <v>52</v>
      </c>
      <c r="W54" s="70" t="s">
        <v>57</v>
      </c>
      <c r="X54" s="71"/>
      <c r="Y54" s="72">
        <f t="shared" si="34"/>
        <v>12114124702</v>
      </c>
      <c r="Z54" s="73"/>
      <c r="AA54" s="74">
        <f t="shared" si="35"/>
        <v>12114124702</v>
      </c>
      <c r="AB54" s="75"/>
      <c r="AC54" s="76">
        <v>8744955394</v>
      </c>
      <c r="AD54" s="76">
        <v>8744955394</v>
      </c>
      <c r="AE54" s="76">
        <v>8585547394</v>
      </c>
      <c r="AF54" s="76">
        <v>8585547394</v>
      </c>
      <c r="AG54" s="76">
        <v>8585547394</v>
      </c>
      <c r="AH54" s="76">
        <v>9190707394</v>
      </c>
      <c r="AI54" s="76">
        <v>9190707394</v>
      </c>
      <c r="AJ54" s="76">
        <v>9190707394</v>
      </c>
      <c r="AK54" s="76">
        <v>8759715394</v>
      </c>
      <c r="AL54" s="76">
        <v>8759715394</v>
      </c>
      <c r="AM54" s="76">
        <v>8759715394</v>
      </c>
      <c r="AN54" s="76">
        <v>12114124702</v>
      </c>
    </row>
    <row r="55" spans="1:40" s="43" customFormat="1" ht="27" outlineLevel="1" x14ac:dyDescent="0.15">
      <c r="A55" s="34">
        <v>1</v>
      </c>
      <c r="B55" s="85">
        <f t="shared" si="5"/>
        <v>53</v>
      </c>
      <c r="C55" s="128" t="s">
        <v>58</v>
      </c>
      <c r="D55" s="71"/>
      <c r="E55" s="72">
        <f t="shared" si="32"/>
        <v>1000</v>
      </c>
      <c r="F55" s="73"/>
      <c r="G55" s="74">
        <f t="shared" si="33"/>
        <v>1000</v>
      </c>
      <c r="H55" s="75"/>
      <c r="I55" s="76">
        <v>13914486</v>
      </c>
      <c r="J55" s="76">
        <v>13914486</v>
      </c>
      <c r="K55" s="76">
        <v>0</v>
      </c>
      <c r="L55" s="76"/>
      <c r="M55" s="76"/>
      <c r="N55" s="76"/>
      <c r="O55" s="76"/>
      <c r="P55" s="76"/>
      <c r="Q55" s="76"/>
      <c r="R55" s="76"/>
      <c r="S55" s="76">
        <v>45900000</v>
      </c>
      <c r="T55" s="76">
        <v>1000</v>
      </c>
      <c r="U55" s="34">
        <f t="shared" si="17"/>
        <v>1</v>
      </c>
      <c r="V55" s="69">
        <f t="shared" si="16"/>
        <v>53</v>
      </c>
      <c r="W55" s="128" t="s">
        <v>58</v>
      </c>
      <c r="X55" s="71"/>
      <c r="Y55" s="72">
        <f t="shared" si="34"/>
        <v>13914486</v>
      </c>
      <c r="Z55" s="73"/>
      <c r="AA55" s="74">
        <f t="shared" si="35"/>
        <v>13914486</v>
      </c>
      <c r="AB55" s="75"/>
      <c r="AC55" s="76">
        <v>21390990</v>
      </c>
      <c r="AD55" s="76">
        <v>21390990</v>
      </c>
      <c r="AE55" s="76">
        <v>19394445</v>
      </c>
      <c r="AF55" s="76">
        <v>19394445</v>
      </c>
      <c r="AG55" s="76">
        <v>19394445</v>
      </c>
      <c r="AH55" s="76">
        <v>13914486</v>
      </c>
      <c r="AI55" s="76">
        <v>13914486</v>
      </c>
      <c r="AJ55" s="76">
        <v>13914486</v>
      </c>
      <c r="AK55" s="76">
        <v>13914486</v>
      </c>
      <c r="AL55" s="76">
        <v>13914486</v>
      </c>
      <c r="AM55" s="76">
        <v>13914486</v>
      </c>
      <c r="AN55" s="76">
        <v>13914486</v>
      </c>
    </row>
    <row r="56" spans="1:40" s="43" customFormat="1" ht="13.5" outlineLevel="1" x14ac:dyDescent="0.15">
      <c r="A56" s="34">
        <v>1</v>
      </c>
      <c r="B56" s="85">
        <f t="shared" si="5"/>
        <v>54</v>
      </c>
      <c r="C56" s="70" t="s">
        <v>59</v>
      </c>
      <c r="D56" s="71"/>
      <c r="E56" s="72">
        <f t="shared" si="32"/>
        <v>0</v>
      </c>
      <c r="F56" s="73"/>
      <c r="G56" s="74">
        <f t="shared" si="33"/>
        <v>0</v>
      </c>
      <c r="H56" s="75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34">
        <f t="shared" si="17"/>
        <v>1</v>
      </c>
      <c r="V56" s="69">
        <f t="shared" si="16"/>
        <v>54</v>
      </c>
      <c r="W56" s="70" t="s">
        <v>59</v>
      </c>
      <c r="X56" s="71"/>
      <c r="Y56" s="72">
        <f t="shared" si="34"/>
        <v>0</v>
      </c>
      <c r="Z56" s="73"/>
      <c r="AA56" s="74">
        <f t="shared" si="35"/>
        <v>0</v>
      </c>
      <c r="AB56" s="75"/>
      <c r="AC56" s="76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</row>
    <row r="57" spans="1:40" s="43" customFormat="1" ht="13.5" outlineLevel="1" x14ac:dyDescent="0.15">
      <c r="A57" s="34">
        <v>1</v>
      </c>
      <c r="B57" s="85">
        <f t="shared" si="5"/>
        <v>55</v>
      </c>
      <c r="C57" s="70" t="s">
        <v>60</v>
      </c>
      <c r="D57" s="71"/>
      <c r="E57" s="72">
        <f t="shared" si="32"/>
        <v>0</v>
      </c>
      <c r="F57" s="73"/>
      <c r="G57" s="74">
        <f>E57</f>
        <v>0</v>
      </c>
      <c r="H57" s="75"/>
      <c r="I57" s="76"/>
      <c r="J57" s="76"/>
      <c r="K57" s="76">
        <v>1192166373</v>
      </c>
      <c r="L57" s="76">
        <v>1240082600</v>
      </c>
      <c r="M57" s="76">
        <v>1240082600</v>
      </c>
      <c r="N57" s="76">
        <v>39933023</v>
      </c>
      <c r="O57" s="76">
        <v>1240082600</v>
      </c>
      <c r="P57" s="76">
        <v>1240082600</v>
      </c>
      <c r="Q57" s="76">
        <v>0</v>
      </c>
      <c r="R57" s="76"/>
      <c r="S57" s="76">
        <v>0</v>
      </c>
      <c r="T57" s="76"/>
      <c r="U57" s="34">
        <f t="shared" si="17"/>
        <v>1</v>
      </c>
      <c r="V57" s="69">
        <f t="shared" si="16"/>
        <v>55</v>
      </c>
      <c r="W57" s="70" t="s">
        <v>60</v>
      </c>
      <c r="X57" s="71"/>
      <c r="Y57" s="72">
        <f t="shared" si="34"/>
        <v>0</v>
      </c>
      <c r="Z57" s="73"/>
      <c r="AA57" s="74">
        <f>Y57</f>
        <v>0</v>
      </c>
      <c r="AB57" s="75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</row>
    <row r="58" spans="1:40" s="43" customFormat="1" ht="13.5" outlineLevel="1" x14ac:dyDescent="0.15">
      <c r="A58" s="34">
        <v>1</v>
      </c>
      <c r="B58" s="85">
        <f t="shared" si="5"/>
        <v>56</v>
      </c>
      <c r="C58" s="70" t="s">
        <v>61</v>
      </c>
      <c r="D58" s="71"/>
      <c r="E58" s="129">
        <f t="shared" si="32"/>
        <v>671903200</v>
      </c>
      <c r="F58" s="130"/>
      <c r="G58" s="131">
        <f t="shared" si="33"/>
        <v>671903200</v>
      </c>
      <c r="H58" s="75"/>
      <c r="I58" s="76">
        <v>362764200</v>
      </c>
      <c r="J58" s="76">
        <v>828511200</v>
      </c>
      <c r="K58" s="76">
        <v>828511200</v>
      </c>
      <c r="L58" s="76">
        <v>887268200</v>
      </c>
      <c r="M58" s="76">
        <v>887268200</v>
      </c>
      <c r="N58" s="76">
        <v>887268200</v>
      </c>
      <c r="O58" s="76">
        <v>887268200</v>
      </c>
      <c r="P58" s="76">
        <v>887268200</v>
      </c>
      <c r="Q58" s="76">
        <v>913606200</v>
      </c>
      <c r="R58" s="76">
        <v>671903200</v>
      </c>
      <c r="S58" s="76">
        <v>671903200</v>
      </c>
      <c r="T58" s="76">
        <v>671903200</v>
      </c>
      <c r="U58" s="34">
        <f t="shared" si="17"/>
        <v>1</v>
      </c>
      <c r="V58" s="69">
        <f t="shared" si="16"/>
        <v>56</v>
      </c>
      <c r="W58" s="70" t="s">
        <v>61</v>
      </c>
      <c r="X58" s="71"/>
      <c r="Y58" s="129">
        <f t="shared" si="34"/>
        <v>348364200</v>
      </c>
      <c r="Z58" s="130"/>
      <c r="AA58" s="131">
        <f t="shared" si="35"/>
        <v>348364200</v>
      </c>
      <c r="AB58" s="75"/>
      <c r="AC58" s="76">
        <v>348364200</v>
      </c>
      <c r="AD58" s="76">
        <v>348364200</v>
      </c>
      <c r="AE58" s="76">
        <v>348364200</v>
      </c>
      <c r="AF58" s="76">
        <v>348364200</v>
      </c>
      <c r="AG58" s="76">
        <v>348364200</v>
      </c>
      <c r="AH58" s="76">
        <v>348364200</v>
      </c>
      <c r="AI58" s="76">
        <v>348364200</v>
      </c>
      <c r="AJ58" s="76">
        <v>348364200</v>
      </c>
      <c r="AK58" s="76">
        <v>348364200</v>
      </c>
      <c r="AL58" s="76">
        <v>348364200</v>
      </c>
      <c r="AM58" s="76">
        <v>348364200</v>
      </c>
      <c r="AN58" s="76">
        <v>348364200</v>
      </c>
    </row>
    <row r="59" spans="1:40" s="43" customFormat="1" ht="13.5" outlineLevel="1" x14ac:dyDescent="0.15">
      <c r="A59" s="34">
        <v>1</v>
      </c>
      <c r="B59" s="85">
        <f t="shared" si="5"/>
        <v>57</v>
      </c>
      <c r="C59" s="78" t="s">
        <v>62</v>
      </c>
      <c r="D59" s="79"/>
      <c r="E59" s="132">
        <f t="shared" si="32"/>
        <v>66568000</v>
      </c>
      <c r="F59" s="133"/>
      <c r="G59" s="134">
        <f t="shared" si="33"/>
        <v>66568000</v>
      </c>
      <c r="H59" s="83"/>
      <c r="I59" s="84">
        <v>66568000</v>
      </c>
      <c r="J59" s="84">
        <v>66568000</v>
      </c>
      <c r="K59" s="84">
        <v>66568000</v>
      </c>
      <c r="L59" s="84">
        <v>66568000</v>
      </c>
      <c r="M59" s="76">
        <v>66568000</v>
      </c>
      <c r="N59" s="76">
        <v>66568000</v>
      </c>
      <c r="O59" s="84">
        <v>66568000</v>
      </c>
      <c r="P59" s="84">
        <v>66568000</v>
      </c>
      <c r="Q59" s="84">
        <v>66568000</v>
      </c>
      <c r="R59" s="84">
        <v>66568000</v>
      </c>
      <c r="S59" s="76">
        <v>66568000</v>
      </c>
      <c r="T59" s="84">
        <v>66568000</v>
      </c>
      <c r="U59" s="34">
        <f t="shared" si="17"/>
        <v>1</v>
      </c>
      <c r="V59" s="77">
        <f t="shared" si="16"/>
        <v>57</v>
      </c>
      <c r="W59" s="78" t="s">
        <v>62</v>
      </c>
      <c r="X59" s="79"/>
      <c r="Y59" s="132">
        <f t="shared" si="34"/>
        <v>66568000</v>
      </c>
      <c r="Z59" s="133"/>
      <c r="AA59" s="134">
        <f t="shared" si="35"/>
        <v>66568000</v>
      </c>
      <c r="AB59" s="83"/>
      <c r="AC59" s="84">
        <v>66568000</v>
      </c>
      <c r="AD59" s="84">
        <v>66568000</v>
      </c>
      <c r="AE59" s="84">
        <v>66568000</v>
      </c>
      <c r="AF59" s="84">
        <v>66568000</v>
      </c>
      <c r="AG59" s="84">
        <v>66568000</v>
      </c>
      <c r="AH59" s="84">
        <v>66568000</v>
      </c>
      <c r="AI59" s="84">
        <v>66568000</v>
      </c>
      <c r="AJ59" s="84">
        <v>66568000</v>
      </c>
      <c r="AK59" s="84">
        <v>66568000</v>
      </c>
      <c r="AL59" s="84">
        <v>66568000</v>
      </c>
      <c r="AM59" s="84">
        <v>66568000</v>
      </c>
      <c r="AN59" s="84">
        <v>66568000</v>
      </c>
    </row>
    <row r="60" spans="1:40" s="43" customFormat="1" ht="13.5" x14ac:dyDescent="0.15">
      <c r="A60" s="34">
        <v>1</v>
      </c>
      <c r="B60" s="85">
        <f t="shared" si="5"/>
        <v>58</v>
      </c>
      <c r="C60" s="54" t="s">
        <v>63</v>
      </c>
      <c r="D60" s="55"/>
      <c r="E60" s="56">
        <f>SUM(E61:E62)</f>
        <v>377611128364</v>
      </c>
      <c r="F60" s="57"/>
      <c r="G60" s="58">
        <f>SUM(G61:G62)</f>
        <v>377611128364</v>
      </c>
      <c r="H60" s="59"/>
      <c r="I60" s="60">
        <f>SUM(I61:I62)</f>
        <v>371595297358</v>
      </c>
      <c r="J60" s="60">
        <f t="shared" ref="J60:T60" si="36">SUM(J61:J62)</f>
        <v>371595297358</v>
      </c>
      <c r="K60" s="60">
        <f t="shared" si="36"/>
        <v>371595297358</v>
      </c>
      <c r="L60" s="60">
        <f t="shared" si="36"/>
        <v>371595297358</v>
      </c>
      <c r="M60" s="60">
        <f t="shared" si="36"/>
        <v>371595297358</v>
      </c>
      <c r="N60" s="60">
        <f t="shared" si="36"/>
        <v>371595297358</v>
      </c>
      <c r="O60" s="60">
        <f t="shared" si="36"/>
        <v>371595297358</v>
      </c>
      <c r="P60" s="60">
        <f t="shared" si="36"/>
        <v>371611128568</v>
      </c>
      <c r="Q60" s="60">
        <f t="shared" si="36"/>
        <v>371611128568</v>
      </c>
      <c r="R60" s="60">
        <f t="shared" si="36"/>
        <v>371611128568</v>
      </c>
      <c r="S60" s="60">
        <f t="shared" si="36"/>
        <v>371611128568</v>
      </c>
      <c r="T60" s="60">
        <f t="shared" si="36"/>
        <v>377611128364</v>
      </c>
      <c r="U60" s="34">
        <f t="shared" si="17"/>
        <v>1</v>
      </c>
      <c r="V60" s="53">
        <f t="shared" si="16"/>
        <v>58</v>
      </c>
      <c r="W60" s="54" t="s">
        <v>63</v>
      </c>
      <c r="X60" s="55"/>
      <c r="Y60" s="56">
        <f>SUM(Y61:Y62)</f>
        <v>371595297358</v>
      </c>
      <c r="Z60" s="57"/>
      <c r="AA60" s="58">
        <f>SUM(AA61:AA62)</f>
        <v>371595297358</v>
      </c>
      <c r="AB60" s="59"/>
      <c r="AC60" s="60">
        <f t="shared" ref="AC60:AN60" si="37">SUM(AC61:AC62)</f>
        <v>340058177220</v>
      </c>
      <c r="AD60" s="60">
        <f t="shared" si="37"/>
        <v>340058177220</v>
      </c>
      <c r="AE60" s="60">
        <f t="shared" si="37"/>
        <v>340058177220</v>
      </c>
      <c r="AF60" s="60">
        <f t="shared" si="37"/>
        <v>340058177220</v>
      </c>
      <c r="AG60" s="60">
        <f t="shared" si="37"/>
        <v>340058177220</v>
      </c>
      <c r="AH60" s="60">
        <f t="shared" si="37"/>
        <v>340058177220</v>
      </c>
      <c r="AI60" s="60">
        <f t="shared" si="37"/>
        <v>340058177220</v>
      </c>
      <c r="AJ60" s="60">
        <f t="shared" si="37"/>
        <v>359558172410</v>
      </c>
      <c r="AK60" s="60">
        <f t="shared" si="37"/>
        <v>359558172410</v>
      </c>
      <c r="AL60" s="60">
        <f t="shared" si="37"/>
        <v>360365834045</v>
      </c>
      <c r="AM60" s="60">
        <f t="shared" si="37"/>
        <v>363521155355</v>
      </c>
      <c r="AN60" s="60">
        <f t="shared" si="37"/>
        <v>371595297358</v>
      </c>
    </row>
    <row r="61" spans="1:40" s="43" customFormat="1" ht="13.5" outlineLevel="1" x14ac:dyDescent="0.15">
      <c r="A61" s="34">
        <v>1</v>
      </c>
      <c r="B61" s="85">
        <f t="shared" si="5"/>
        <v>59</v>
      </c>
      <c r="C61" s="62" t="s">
        <v>64</v>
      </c>
      <c r="D61" s="63"/>
      <c r="E61" s="64">
        <f>HLOOKUP($A$1,$I$3:$T$365,B61,0)</f>
        <v>68824666088</v>
      </c>
      <c r="F61" s="65"/>
      <c r="G61" s="66">
        <f>E61</f>
        <v>68824666088</v>
      </c>
      <c r="H61" s="67"/>
      <c r="I61" s="76">
        <v>62808835082</v>
      </c>
      <c r="J61" s="76">
        <f>78491905768-15683070686</f>
        <v>62808835082</v>
      </c>
      <c r="K61" s="76">
        <f>78491905768-15683070686</f>
        <v>62808835082</v>
      </c>
      <c r="L61" s="76">
        <v>62808835082</v>
      </c>
      <c r="M61" s="76">
        <v>62808835082</v>
      </c>
      <c r="N61" s="76">
        <f>78491905768-15683070686</f>
        <v>62808835082</v>
      </c>
      <c r="O61" s="76">
        <v>62808835082</v>
      </c>
      <c r="P61" s="76">
        <f>78507736978-15683070686</f>
        <v>62824666292</v>
      </c>
      <c r="Q61" s="76">
        <f>78507736978-15683070686</f>
        <v>62824666292</v>
      </c>
      <c r="R61" s="76">
        <f>78507736978-15683070686</f>
        <v>62824666292</v>
      </c>
      <c r="S61" s="76">
        <f>78507736978-15683070686</f>
        <v>62824666292</v>
      </c>
      <c r="T61" s="76">
        <f>84507736774-15683070686</f>
        <v>68824666088</v>
      </c>
      <c r="U61" s="34">
        <f t="shared" si="17"/>
        <v>1</v>
      </c>
      <c r="V61" s="61">
        <f t="shared" si="16"/>
        <v>59</v>
      </c>
      <c r="W61" s="62" t="s">
        <v>64</v>
      </c>
      <c r="X61" s="63"/>
      <c r="Y61" s="64">
        <f>HLOOKUP($U$1,$AC$3:$AN$365,V61,0)</f>
        <v>62808835082</v>
      </c>
      <c r="Z61" s="65"/>
      <c r="AA61" s="66">
        <f>Y61</f>
        <v>62808835082</v>
      </c>
      <c r="AB61" s="67"/>
      <c r="AC61" s="76">
        <v>50771710134</v>
      </c>
      <c r="AD61" s="76">
        <v>50771710134</v>
      </c>
      <c r="AE61" s="76">
        <v>50771710134</v>
      </c>
      <c r="AF61" s="76">
        <v>50771710134</v>
      </c>
      <c r="AG61" s="76">
        <v>50771710134</v>
      </c>
      <c r="AH61" s="76">
        <v>50771710134</v>
      </c>
      <c r="AI61" s="76">
        <v>50771710134</v>
      </c>
      <c r="AJ61" s="76">
        <v>50771710134</v>
      </c>
      <c r="AK61" s="76">
        <v>50771710134</v>
      </c>
      <c r="AL61" s="76">
        <v>51579371769</v>
      </c>
      <c r="AM61" s="76">
        <v>54734693079</v>
      </c>
      <c r="AN61" s="76">
        <v>62808835082</v>
      </c>
    </row>
    <row r="62" spans="1:40" s="43" customFormat="1" ht="13.5" outlineLevel="1" x14ac:dyDescent="0.15">
      <c r="A62" s="34">
        <v>1</v>
      </c>
      <c r="B62" s="85">
        <f t="shared" si="5"/>
        <v>60</v>
      </c>
      <c r="C62" s="78" t="s">
        <v>65</v>
      </c>
      <c r="D62" s="79"/>
      <c r="E62" s="80">
        <f>HLOOKUP($A$1,$I$3:$T$365,B62,0)</f>
        <v>308786462276</v>
      </c>
      <c r="F62" s="81"/>
      <c r="G62" s="82">
        <f>E62</f>
        <v>308786462276</v>
      </c>
      <c r="H62" s="83"/>
      <c r="I62" s="76">
        <v>308786462276</v>
      </c>
      <c r="J62" s="76">
        <v>308786462276</v>
      </c>
      <c r="K62" s="76">
        <v>308786462276</v>
      </c>
      <c r="L62" s="76">
        <v>308786462276</v>
      </c>
      <c r="M62" s="76">
        <v>308786462276</v>
      </c>
      <c r="N62" s="76">
        <v>308786462276</v>
      </c>
      <c r="O62" s="76">
        <v>308786462276</v>
      </c>
      <c r="P62" s="76">
        <v>308786462276</v>
      </c>
      <c r="Q62" s="76">
        <v>308786462276</v>
      </c>
      <c r="R62" s="76">
        <v>308786462276</v>
      </c>
      <c r="S62" s="76">
        <v>308786462276</v>
      </c>
      <c r="T62" s="76">
        <v>308786462276</v>
      </c>
      <c r="U62" s="34">
        <f t="shared" si="17"/>
        <v>1</v>
      </c>
      <c r="V62" s="77">
        <f t="shared" si="16"/>
        <v>60</v>
      </c>
      <c r="W62" s="78" t="s">
        <v>65</v>
      </c>
      <c r="X62" s="79"/>
      <c r="Y62" s="80">
        <f>HLOOKUP($U$1,$AC$3:$AN$365,V62,0)</f>
        <v>308786462276</v>
      </c>
      <c r="Z62" s="81"/>
      <c r="AA62" s="82">
        <f>Y62</f>
        <v>308786462276</v>
      </c>
      <c r="AB62" s="83"/>
      <c r="AC62" s="76">
        <v>289286467086</v>
      </c>
      <c r="AD62" s="76">
        <v>289286467086</v>
      </c>
      <c r="AE62" s="76">
        <v>289286467086</v>
      </c>
      <c r="AF62" s="76">
        <v>289286467086</v>
      </c>
      <c r="AG62" s="76">
        <v>289286467086</v>
      </c>
      <c r="AH62" s="76">
        <v>289286467086</v>
      </c>
      <c r="AI62" s="76">
        <v>289286467086</v>
      </c>
      <c r="AJ62" s="76">
        <v>308786462276</v>
      </c>
      <c r="AK62" s="76">
        <v>308786462276</v>
      </c>
      <c r="AL62" s="76">
        <v>308786462276</v>
      </c>
      <c r="AM62" s="76">
        <v>308786462276</v>
      </c>
      <c r="AN62" s="76">
        <v>308786462276</v>
      </c>
    </row>
    <row r="63" spans="1:40" s="43" customFormat="1" ht="13.5" x14ac:dyDescent="0.15">
      <c r="A63" s="34">
        <v>1</v>
      </c>
      <c r="B63" s="85">
        <f t="shared" si="5"/>
        <v>61</v>
      </c>
      <c r="C63" s="54" t="s">
        <v>66</v>
      </c>
      <c r="D63" s="55"/>
      <c r="E63" s="56">
        <f>SUM(E64:E86)</f>
        <v>38960537564</v>
      </c>
      <c r="F63" s="57"/>
      <c r="G63" s="58">
        <f>SUM(G64:G86)</f>
        <v>38960537564</v>
      </c>
      <c r="H63" s="59"/>
      <c r="I63" s="60">
        <f t="shared" ref="I63:T63" si="38">SUM(I64:I86)</f>
        <v>39475433049</v>
      </c>
      <c r="J63" s="60">
        <f t="shared" si="38"/>
        <v>41901301447</v>
      </c>
      <c r="K63" s="60">
        <f t="shared" si="38"/>
        <v>43793751239</v>
      </c>
      <c r="L63" s="60">
        <f t="shared" si="38"/>
        <v>46316285779</v>
      </c>
      <c r="M63" s="60">
        <f t="shared" si="38"/>
        <v>46346662645</v>
      </c>
      <c r="N63" s="60">
        <f t="shared" si="38"/>
        <v>47850388353</v>
      </c>
      <c r="O63" s="60">
        <f>SUM(O64:O86)</f>
        <v>38058426041</v>
      </c>
      <c r="P63" s="60">
        <f t="shared" si="38"/>
        <v>38197770601</v>
      </c>
      <c r="Q63" s="60">
        <f t="shared" si="38"/>
        <v>38173556752</v>
      </c>
      <c r="R63" s="60">
        <f t="shared" si="38"/>
        <v>38053626800</v>
      </c>
      <c r="S63" s="60">
        <f t="shared" si="38"/>
        <v>38444890212</v>
      </c>
      <c r="T63" s="60">
        <f t="shared" si="38"/>
        <v>38960537564</v>
      </c>
      <c r="U63" s="34">
        <f t="shared" si="17"/>
        <v>1</v>
      </c>
      <c r="V63" s="53">
        <f t="shared" si="16"/>
        <v>61</v>
      </c>
      <c r="W63" s="54" t="s">
        <v>66</v>
      </c>
      <c r="X63" s="55"/>
      <c r="Y63" s="56">
        <f>SUM(Y64:Y86)</f>
        <v>38116093764</v>
      </c>
      <c r="Z63" s="57"/>
      <c r="AA63" s="58">
        <f>SUM(AA64:AA86)</f>
        <v>38116093764</v>
      </c>
      <c r="AB63" s="59"/>
      <c r="AC63" s="60">
        <f t="shared" ref="AC63:AN63" si="39">SUM(AC64:AC86)</f>
        <v>35667359224</v>
      </c>
      <c r="AD63" s="60">
        <f t="shared" si="39"/>
        <v>35627375861</v>
      </c>
      <c r="AE63" s="60">
        <f t="shared" si="39"/>
        <v>35241005880</v>
      </c>
      <c r="AF63" s="60">
        <f t="shared" si="39"/>
        <v>35455629296</v>
      </c>
      <c r="AG63" s="60">
        <f t="shared" si="39"/>
        <v>34506474994</v>
      </c>
      <c r="AH63" s="60">
        <f t="shared" si="39"/>
        <v>34355683232</v>
      </c>
      <c r="AI63" s="60">
        <f t="shared" si="39"/>
        <v>34183588532</v>
      </c>
      <c r="AJ63" s="60">
        <f t="shared" si="39"/>
        <v>33529517042</v>
      </c>
      <c r="AK63" s="60">
        <f t="shared" si="39"/>
        <v>35670964559</v>
      </c>
      <c r="AL63" s="60">
        <f t="shared" si="39"/>
        <v>35543766491</v>
      </c>
      <c r="AM63" s="60">
        <f t="shared" si="39"/>
        <v>36486415436</v>
      </c>
      <c r="AN63" s="60">
        <f t="shared" si="39"/>
        <v>38116093764</v>
      </c>
    </row>
    <row r="64" spans="1:40" s="43" customFormat="1" ht="13.5" outlineLevel="1" x14ac:dyDescent="0.15">
      <c r="A64" s="34">
        <v>1</v>
      </c>
      <c r="B64" s="85">
        <f t="shared" si="5"/>
        <v>62</v>
      </c>
      <c r="C64" s="36" t="s">
        <v>67</v>
      </c>
      <c r="D64" s="37"/>
      <c r="E64" s="135">
        <f t="shared" ref="E64:E86" si="40">HLOOKUP($A$1,$I$3:$T$365,B64,0)</f>
        <v>10815848196</v>
      </c>
      <c r="F64" s="136"/>
      <c r="G64" s="137">
        <f t="shared" ref="G64:H86" si="41">E64</f>
        <v>10815848196</v>
      </c>
      <c r="H64" s="138"/>
      <c r="I64" s="139">
        <v>10815848196</v>
      </c>
      <c r="J64" s="139">
        <v>10815848196</v>
      </c>
      <c r="K64" s="139">
        <v>10815848196</v>
      </c>
      <c r="L64" s="139">
        <v>10815848196</v>
      </c>
      <c r="M64" s="139">
        <v>10815848196</v>
      </c>
      <c r="N64" s="139">
        <v>10815848196</v>
      </c>
      <c r="O64" s="139">
        <v>10815848196</v>
      </c>
      <c r="P64" s="139">
        <v>10815848196</v>
      </c>
      <c r="Q64" s="139">
        <v>10815848196</v>
      </c>
      <c r="R64" s="139">
        <v>10815848196</v>
      </c>
      <c r="S64" s="139">
        <v>10815848196</v>
      </c>
      <c r="T64" s="139">
        <v>10815848196</v>
      </c>
      <c r="U64" s="34">
        <f t="shared" si="17"/>
        <v>1</v>
      </c>
      <c r="V64" s="35">
        <f t="shared" si="16"/>
        <v>62</v>
      </c>
      <c r="W64" s="36" t="s">
        <v>68</v>
      </c>
      <c r="X64" s="37"/>
      <c r="Y64" s="135">
        <f t="shared" ref="Y64:Y86" si="42">HLOOKUP($U$1,$AC$3:$AN$365,V64,0)</f>
        <v>10815848196</v>
      </c>
      <c r="Z64" s="136"/>
      <c r="AA64" s="137">
        <f t="shared" ref="AA64:AA86" si="43">Y64</f>
        <v>10815848196</v>
      </c>
      <c r="AB64" s="138"/>
      <c r="AC64" s="139">
        <v>12379700765</v>
      </c>
      <c r="AD64" s="139">
        <v>12379700765</v>
      </c>
      <c r="AE64" s="139">
        <v>12379700765</v>
      </c>
      <c r="AF64" s="139">
        <v>12379700765</v>
      </c>
      <c r="AG64" s="139">
        <v>12379700765</v>
      </c>
      <c r="AH64" s="139">
        <v>12379700765</v>
      </c>
      <c r="AI64" s="139">
        <v>10815848196</v>
      </c>
      <c r="AJ64" s="139">
        <v>10815848196</v>
      </c>
      <c r="AK64" s="139">
        <v>10815848196</v>
      </c>
      <c r="AL64" s="139">
        <v>10815848196</v>
      </c>
      <c r="AM64" s="139">
        <v>10815848196</v>
      </c>
      <c r="AN64" s="139">
        <v>10815848196</v>
      </c>
    </row>
    <row r="65" spans="1:40" s="43" customFormat="1" ht="13.5" outlineLevel="1" x14ac:dyDescent="0.15">
      <c r="A65" s="34">
        <v>1</v>
      </c>
      <c r="B65" s="85">
        <f t="shared" si="5"/>
        <v>63</v>
      </c>
      <c r="C65" s="70" t="s">
        <v>69</v>
      </c>
      <c r="D65" s="71"/>
      <c r="E65" s="72">
        <f t="shared" si="40"/>
        <v>28237179440</v>
      </c>
      <c r="F65" s="73"/>
      <c r="G65" s="74">
        <f t="shared" si="41"/>
        <v>28237179440</v>
      </c>
      <c r="H65" s="74">
        <f t="shared" si="41"/>
        <v>0</v>
      </c>
      <c r="I65" s="76">
        <v>28237179440</v>
      </c>
      <c r="J65" s="76">
        <v>28237179440</v>
      </c>
      <c r="K65" s="76">
        <v>28237179440</v>
      </c>
      <c r="L65" s="76">
        <v>28237179440</v>
      </c>
      <c r="M65" s="76">
        <v>28237179440</v>
      </c>
      <c r="N65" s="76">
        <v>38144564305</v>
      </c>
      <c r="O65" s="76">
        <v>28237179440</v>
      </c>
      <c r="P65" s="76">
        <v>28237179440</v>
      </c>
      <c r="Q65" s="76">
        <v>28237179440</v>
      </c>
      <c r="R65" s="76">
        <v>28237179440</v>
      </c>
      <c r="S65" s="76">
        <v>28237179440</v>
      </c>
      <c r="T65" s="76">
        <v>28237179440</v>
      </c>
      <c r="U65" s="34">
        <f t="shared" si="17"/>
        <v>1</v>
      </c>
      <c r="V65" s="69">
        <f t="shared" si="16"/>
        <v>63</v>
      </c>
      <c r="W65" s="70" t="s">
        <v>70</v>
      </c>
      <c r="X65" s="71"/>
      <c r="Y65" s="72">
        <f t="shared" si="42"/>
        <v>28237179440</v>
      </c>
      <c r="Z65" s="73"/>
      <c r="AA65" s="74">
        <f t="shared" si="43"/>
        <v>28237179440</v>
      </c>
      <c r="AB65" s="75"/>
      <c r="AC65" s="76">
        <v>28577973561</v>
      </c>
      <c r="AD65" s="76">
        <v>28577973561</v>
      </c>
      <c r="AE65" s="76">
        <v>28577973561</v>
      </c>
      <c r="AF65" s="76">
        <v>28577973561</v>
      </c>
      <c r="AG65" s="76">
        <v>28577973561</v>
      </c>
      <c r="AH65" s="76">
        <v>28577973561</v>
      </c>
      <c r="AI65" s="76">
        <v>28237179440</v>
      </c>
      <c r="AJ65" s="76">
        <v>28237179440</v>
      </c>
      <c r="AK65" s="76">
        <v>28237179440</v>
      </c>
      <c r="AL65" s="76">
        <v>28237179440</v>
      </c>
      <c r="AM65" s="76">
        <v>28237179440</v>
      </c>
      <c r="AN65" s="76">
        <v>28237179440</v>
      </c>
    </row>
    <row r="66" spans="1:40" s="43" customFormat="1" ht="13.5" outlineLevel="1" x14ac:dyDescent="0.15">
      <c r="A66" s="34">
        <v>1</v>
      </c>
      <c r="B66" s="85">
        <f t="shared" si="5"/>
        <v>64</v>
      </c>
      <c r="C66" s="78" t="s">
        <v>71</v>
      </c>
      <c r="D66" s="79"/>
      <c r="E66" s="80">
        <f t="shared" si="40"/>
        <v>-10289917771</v>
      </c>
      <c r="F66" s="81"/>
      <c r="G66" s="82">
        <f t="shared" si="41"/>
        <v>-10289917771</v>
      </c>
      <c r="H66" s="83"/>
      <c r="I66" s="84">
        <v>-9642641439</v>
      </c>
      <c r="J66" s="84">
        <v>-9701484913</v>
      </c>
      <c r="K66" s="84">
        <v>-9760328199</v>
      </c>
      <c r="L66" s="84">
        <v>-9819171487</v>
      </c>
      <c r="M66" s="84">
        <v>-9878014770</v>
      </c>
      <c r="N66" s="84">
        <v>-9936858057</v>
      </c>
      <c r="O66" s="84">
        <v>-9995701343</v>
      </c>
      <c r="P66" s="84">
        <v>-10054544630</v>
      </c>
      <c r="Q66" s="84">
        <v>-10113387913</v>
      </c>
      <c r="R66" s="84">
        <v>-10172231200</v>
      </c>
      <c r="S66" s="84">
        <v>-10231074487</v>
      </c>
      <c r="T66" s="84">
        <v>-10289917771</v>
      </c>
      <c r="U66" s="34">
        <f t="shared" si="17"/>
        <v>1</v>
      </c>
      <c r="V66" s="77">
        <f t="shared" si="16"/>
        <v>64</v>
      </c>
      <c r="W66" s="78" t="s">
        <v>72</v>
      </c>
      <c r="X66" s="79"/>
      <c r="Y66" s="80">
        <f t="shared" si="42"/>
        <v>-9583797964</v>
      </c>
      <c r="Z66" s="81"/>
      <c r="AA66" s="82">
        <f t="shared" si="43"/>
        <v>-9583797964</v>
      </c>
      <c r="AB66" s="83"/>
      <c r="AC66" s="84">
        <v>-9008938496</v>
      </c>
      <c r="AD66" s="84">
        <v>-9067781970</v>
      </c>
      <c r="AE66" s="84">
        <v>-9126625443</v>
      </c>
      <c r="AF66" s="84">
        <v>-9185468919</v>
      </c>
      <c r="AG66" s="84">
        <v>-9244312395</v>
      </c>
      <c r="AH66" s="84">
        <v>-9303155870</v>
      </c>
      <c r="AI66" s="84">
        <v>-9289580592</v>
      </c>
      <c r="AJ66" s="84">
        <v>-9348424067</v>
      </c>
      <c r="AK66" s="84">
        <v>-9407267541</v>
      </c>
      <c r="AL66" s="84">
        <v>-9466111015</v>
      </c>
      <c r="AM66" s="84">
        <v>-9524954491</v>
      </c>
      <c r="AN66" s="84">
        <v>-9583797964</v>
      </c>
    </row>
    <row r="67" spans="1:40" s="43" customFormat="1" ht="13.5" outlineLevel="1" x14ac:dyDescent="0.15">
      <c r="A67" s="34">
        <v>1</v>
      </c>
      <c r="B67" s="85">
        <f t="shared" si="5"/>
        <v>65</v>
      </c>
      <c r="C67" s="70" t="s">
        <v>73</v>
      </c>
      <c r="D67" s="71"/>
      <c r="E67" s="72">
        <f t="shared" si="40"/>
        <v>0</v>
      </c>
      <c r="F67" s="73"/>
      <c r="G67" s="74">
        <f t="shared" si="41"/>
        <v>0</v>
      </c>
      <c r="H67" s="75"/>
      <c r="I67" s="76">
        <v>0</v>
      </c>
      <c r="J67" s="76">
        <v>0</v>
      </c>
      <c r="K67" s="76">
        <v>0</v>
      </c>
      <c r="L67" s="76"/>
      <c r="M67" s="76"/>
      <c r="N67" s="76"/>
      <c r="O67" s="76"/>
      <c r="P67" s="76"/>
      <c r="Q67" s="76"/>
      <c r="R67" s="76"/>
      <c r="S67" s="76"/>
      <c r="T67" s="76"/>
      <c r="U67" s="34">
        <f t="shared" si="17"/>
        <v>1</v>
      </c>
      <c r="V67" s="69">
        <f t="shared" si="16"/>
        <v>65</v>
      </c>
      <c r="W67" s="70" t="s">
        <v>74</v>
      </c>
      <c r="X67" s="71"/>
      <c r="Y67" s="72">
        <f t="shared" si="42"/>
        <v>0</v>
      </c>
      <c r="Z67" s="73"/>
      <c r="AA67" s="74">
        <f t="shared" si="43"/>
        <v>0</v>
      </c>
      <c r="AB67" s="75"/>
      <c r="AC67" s="76"/>
      <c r="AD67" s="76"/>
      <c r="AE67" s="76"/>
      <c r="AF67" s="76"/>
      <c r="AG67" s="76"/>
      <c r="AH67" s="76"/>
      <c r="AI67" s="76"/>
      <c r="AJ67" s="76"/>
      <c r="AK67" s="76"/>
      <c r="AL67" s="76"/>
      <c r="AM67" s="76"/>
      <c r="AN67" s="76"/>
    </row>
    <row r="68" spans="1:40" s="43" customFormat="1" ht="13.5" outlineLevel="1" x14ac:dyDescent="0.15">
      <c r="A68" s="34">
        <v>1</v>
      </c>
      <c r="B68" s="85">
        <f t="shared" si="5"/>
        <v>66</v>
      </c>
      <c r="C68" s="78" t="s">
        <v>75</v>
      </c>
      <c r="D68" s="79"/>
      <c r="E68" s="80">
        <f t="shared" si="40"/>
        <v>0</v>
      </c>
      <c r="F68" s="81"/>
      <c r="G68" s="82">
        <f t="shared" si="41"/>
        <v>0</v>
      </c>
      <c r="H68" s="83"/>
      <c r="I68" s="84">
        <v>0</v>
      </c>
      <c r="J68" s="84">
        <v>0</v>
      </c>
      <c r="K68" s="84">
        <v>0</v>
      </c>
      <c r="L68" s="84"/>
      <c r="M68" s="84"/>
      <c r="N68" s="84"/>
      <c r="O68" s="84"/>
      <c r="P68" s="84"/>
      <c r="Q68" s="84"/>
      <c r="R68" s="84"/>
      <c r="S68" s="84"/>
      <c r="T68" s="84"/>
      <c r="U68" s="34">
        <f t="shared" si="17"/>
        <v>1</v>
      </c>
      <c r="V68" s="77">
        <f t="shared" si="16"/>
        <v>66</v>
      </c>
      <c r="W68" s="78" t="s">
        <v>72</v>
      </c>
      <c r="X68" s="79"/>
      <c r="Y68" s="80">
        <f t="shared" si="42"/>
        <v>0</v>
      </c>
      <c r="Z68" s="81"/>
      <c r="AA68" s="82">
        <f t="shared" si="43"/>
        <v>0</v>
      </c>
      <c r="AB68" s="83"/>
      <c r="AC68" s="84"/>
      <c r="AD68" s="84"/>
      <c r="AE68" s="84"/>
      <c r="AF68" s="84"/>
      <c r="AG68" s="84"/>
      <c r="AH68" s="84"/>
      <c r="AI68" s="84"/>
      <c r="AJ68" s="84"/>
      <c r="AK68" s="84"/>
      <c r="AL68" s="84"/>
      <c r="AM68" s="84"/>
      <c r="AN68" s="84"/>
    </row>
    <row r="69" spans="1:40" s="43" customFormat="1" ht="13.5" outlineLevel="1" x14ac:dyDescent="0.15">
      <c r="A69" s="34">
        <v>1</v>
      </c>
      <c r="B69" s="85">
        <f t="shared" si="5"/>
        <v>67</v>
      </c>
      <c r="C69" s="62" t="s">
        <v>76</v>
      </c>
      <c r="D69" s="63"/>
      <c r="E69" s="64">
        <f t="shared" si="40"/>
        <v>5842489651</v>
      </c>
      <c r="F69" s="65"/>
      <c r="G69" s="66">
        <f t="shared" si="41"/>
        <v>5842489651</v>
      </c>
      <c r="H69" s="67"/>
      <c r="I69" s="68">
        <v>84000000</v>
      </c>
      <c r="J69" s="68">
        <v>1429443651</v>
      </c>
      <c r="K69" s="68">
        <v>1345443651</v>
      </c>
      <c r="L69" s="68">
        <v>2452843651</v>
      </c>
      <c r="M69" s="68">
        <v>2459843651</v>
      </c>
      <c r="N69" s="68">
        <v>2747443651</v>
      </c>
      <c r="O69" s="68">
        <v>2777443651</v>
      </c>
      <c r="P69" s="68">
        <v>3031543651</v>
      </c>
      <c r="Q69" s="68">
        <v>4378869651</v>
      </c>
      <c r="R69" s="76">
        <v>4436869651</v>
      </c>
      <c r="S69" s="68">
        <v>4535839651</v>
      </c>
      <c r="T69" s="68">
        <v>5842489651</v>
      </c>
      <c r="U69" s="34">
        <f t="shared" si="17"/>
        <v>1</v>
      </c>
      <c r="V69" s="61">
        <f t="shared" si="16"/>
        <v>67</v>
      </c>
      <c r="W69" s="62" t="s">
        <v>77</v>
      </c>
      <c r="X69" s="63"/>
      <c r="Y69" s="64">
        <f t="shared" si="42"/>
        <v>84000000</v>
      </c>
      <c r="Z69" s="65"/>
      <c r="AA69" s="66">
        <f t="shared" si="43"/>
        <v>84000000</v>
      </c>
      <c r="AB69" s="67"/>
      <c r="AC69" s="68">
        <v>84000000</v>
      </c>
      <c r="AD69" s="68">
        <v>84000000</v>
      </c>
      <c r="AE69" s="68">
        <v>84000000</v>
      </c>
      <c r="AF69" s="68">
        <v>84000000</v>
      </c>
      <c r="AG69" s="68">
        <v>84000000</v>
      </c>
      <c r="AH69" s="68">
        <v>84000000</v>
      </c>
      <c r="AI69" s="68">
        <v>84000000</v>
      </c>
      <c r="AJ69" s="68">
        <v>84000000</v>
      </c>
      <c r="AK69" s="68">
        <v>84000000</v>
      </c>
      <c r="AL69" s="68">
        <v>84000000</v>
      </c>
      <c r="AM69" s="68">
        <v>84000000</v>
      </c>
      <c r="AN69" s="68">
        <v>84000000</v>
      </c>
    </row>
    <row r="70" spans="1:40" s="43" customFormat="1" ht="13.5" outlineLevel="1" x14ac:dyDescent="0.15">
      <c r="A70" s="34">
        <v>1</v>
      </c>
      <c r="B70" s="85">
        <f t="shared" ref="B70:B133" si="44">B69+1</f>
        <v>68</v>
      </c>
      <c r="C70" s="70" t="s">
        <v>78</v>
      </c>
      <c r="D70" s="71"/>
      <c r="E70" s="72">
        <f t="shared" si="40"/>
        <v>-520211104</v>
      </c>
      <c r="F70" s="73"/>
      <c r="G70" s="74">
        <f t="shared" si="41"/>
        <v>-520211104</v>
      </c>
      <c r="H70" s="75"/>
      <c r="I70" s="76">
        <v>-13125000</v>
      </c>
      <c r="J70" s="76">
        <v>-35631563</v>
      </c>
      <c r="K70" s="76">
        <v>-43263126</v>
      </c>
      <c r="L70" s="76">
        <v>-86874850</v>
      </c>
      <c r="M70" s="76">
        <v>-120335534</v>
      </c>
      <c r="N70" s="76">
        <v>-156792048</v>
      </c>
      <c r="O70" s="76">
        <v>-193561058</v>
      </c>
      <c r="P70" s="76">
        <v>-233737371</v>
      </c>
      <c r="Q70" s="76">
        <v>-287264209</v>
      </c>
      <c r="R70" s="84">
        <v>-341197619</v>
      </c>
      <c r="S70" s="76">
        <v>-396715706</v>
      </c>
      <c r="T70" s="76">
        <v>-520211104</v>
      </c>
      <c r="U70" s="34">
        <f t="shared" si="17"/>
        <v>1</v>
      </c>
      <c r="V70" s="69">
        <f t="shared" si="16"/>
        <v>68</v>
      </c>
      <c r="W70" s="70" t="s">
        <v>72</v>
      </c>
      <c r="X70" s="71"/>
      <c r="Y70" s="72">
        <f t="shared" si="42"/>
        <v>-12250000</v>
      </c>
      <c r="Z70" s="73"/>
      <c r="AA70" s="74">
        <f t="shared" si="43"/>
        <v>-12250000</v>
      </c>
      <c r="AB70" s="75"/>
      <c r="AC70" s="76">
        <v>-2625000</v>
      </c>
      <c r="AD70" s="76">
        <v>-3500000</v>
      </c>
      <c r="AE70" s="76">
        <v>-4375000</v>
      </c>
      <c r="AF70" s="76">
        <v>-5250000</v>
      </c>
      <c r="AG70" s="76">
        <v>-6125000</v>
      </c>
      <c r="AH70" s="76">
        <v>-7000000</v>
      </c>
      <c r="AI70" s="76">
        <v>-7875000</v>
      </c>
      <c r="AJ70" s="76">
        <v>-8750000</v>
      </c>
      <c r="AK70" s="76">
        <v>-9625000</v>
      </c>
      <c r="AL70" s="76">
        <v>-10500000</v>
      </c>
      <c r="AM70" s="76">
        <v>-11375000</v>
      </c>
      <c r="AN70" s="76">
        <v>-12250000</v>
      </c>
    </row>
    <row r="71" spans="1:40" s="43" customFormat="1" ht="13.5" outlineLevel="1" x14ac:dyDescent="0.15">
      <c r="A71" s="34">
        <v>1</v>
      </c>
      <c r="B71" s="85">
        <f t="shared" si="44"/>
        <v>69</v>
      </c>
      <c r="C71" s="78" t="s">
        <v>79</v>
      </c>
      <c r="D71" s="79"/>
      <c r="E71" s="80">
        <f t="shared" si="40"/>
        <v>0</v>
      </c>
      <c r="F71" s="81"/>
      <c r="G71" s="82">
        <f t="shared" si="41"/>
        <v>0</v>
      </c>
      <c r="H71" s="83"/>
      <c r="I71" s="84">
        <v>0</v>
      </c>
      <c r="J71" s="84">
        <v>0</v>
      </c>
      <c r="K71" s="84">
        <v>0</v>
      </c>
      <c r="L71" s="84"/>
      <c r="M71" s="84"/>
      <c r="N71" s="84"/>
      <c r="O71" s="84"/>
      <c r="P71" s="84"/>
      <c r="Q71" s="84"/>
      <c r="R71" s="84"/>
      <c r="S71" s="84"/>
      <c r="T71" s="84"/>
      <c r="U71" s="34">
        <f t="shared" si="17"/>
        <v>1</v>
      </c>
      <c r="V71" s="77">
        <f t="shared" si="16"/>
        <v>69</v>
      </c>
      <c r="W71" s="78" t="s">
        <v>10</v>
      </c>
      <c r="X71" s="79"/>
      <c r="Y71" s="80">
        <f t="shared" si="42"/>
        <v>0</v>
      </c>
      <c r="Z71" s="81"/>
      <c r="AA71" s="82">
        <f t="shared" si="43"/>
        <v>0</v>
      </c>
      <c r="AB71" s="83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/>
      <c r="AN71" s="84"/>
    </row>
    <row r="72" spans="1:40" s="43" customFormat="1" ht="13.5" outlineLevel="1" x14ac:dyDescent="0.15">
      <c r="A72" s="34">
        <v>1</v>
      </c>
      <c r="B72" s="85">
        <f t="shared" si="44"/>
        <v>70</v>
      </c>
      <c r="C72" s="62" t="s">
        <v>80</v>
      </c>
      <c r="D72" s="63"/>
      <c r="E72" s="64">
        <f t="shared" si="40"/>
        <v>267234149</v>
      </c>
      <c r="F72" s="65"/>
      <c r="G72" s="66">
        <f t="shared" si="41"/>
        <v>267234149</v>
      </c>
      <c r="H72" s="67"/>
      <c r="I72" s="68">
        <v>316852584</v>
      </c>
      <c r="J72" s="68">
        <v>334306613</v>
      </c>
      <c r="K72" s="68">
        <v>334306613</v>
      </c>
      <c r="L72" s="68">
        <v>334306613</v>
      </c>
      <c r="M72" s="68">
        <v>334306613</v>
      </c>
      <c r="N72" s="68">
        <v>215234149</v>
      </c>
      <c r="O72" s="68">
        <v>215234149</v>
      </c>
      <c r="P72" s="68">
        <v>241234149</v>
      </c>
      <c r="Q72" s="68">
        <v>241234149</v>
      </c>
      <c r="R72" s="68">
        <v>267234149</v>
      </c>
      <c r="S72" s="68">
        <v>267234149</v>
      </c>
      <c r="T72" s="68">
        <v>267234149</v>
      </c>
      <c r="U72" s="34">
        <f t="shared" si="17"/>
        <v>1</v>
      </c>
      <c r="V72" s="61">
        <f t="shared" si="16"/>
        <v>70</v>
      </c>
      <c r="W72" s="62" t="s">
        <v>81</v>
      </c>
      <c r="X72" s="63"/>
      <c r="Y72" s="64">
        <f t="shared" si="42"/>
        <v>316852584</v>
      </c>
      <c r="Z72" s="65"/>
      <c r="AA72" s="66">
        <f t="shared" si="43"/>
        <v>316852584</v>
      </c>
      <c r="AB72" s="67"/>
      <c r="AC72" s="68">
        <v>316852584</v>
      </c>
      <c r="AD72" s="68">
        <v>316852584</v>
      </c>
      <c r="AE72" s="68">
        <v>316852584</v>
      </c>
      <c r="AF72" s="68">
        <v>316852584</v>
      </c>
      <c r="AG72" s="68">
        <v>316852584</v>
      </c>
      <c r="AH72" s="68">
        <v>316852584</v>
      </c>
      <c r="AI72" s="68">
        <v>316852584</v>
      </c>
      <c r="AJ72" s="68">
        <v>316852584</v>
      </c>
      <c r="AK72" s="68">
        <v>316852584</v>
      </c>
      <c r="AL72" s="68">
        <v>316852584</v>
      </c>
      <c r="AM72" s="68">
        <v>316852584</v>
      </c>
      <c r="AN72" s="68">
        <v>316852584</v>
      </c>
    </row>
    <row r="73" spans="1:40" s="43" customFormat="1" ht="13.5" outlineLevel="1" x14ac:dyDescent="0.15">
      <c r="A73" s="34">
        <v>1</v>
      </c>
      <c r="B73" s="85">
        <f t="shared" si="44"/>
        <v>71</v>
      </c>
      <c r="C73" s="70" t="s">
        <v>82</v>
      </c>
      <c r="D73" s="71"/>
      <c r="E73" s="72">
        <f t="shared" si="40"/>
        <v>-100617113</v>
      </c>
      <c r="F73" s="73"/>
      <c r="G73" s="74">
        <f t="shared" si="41"/>
        <v>-100617113</v>
      </c>
      <c r="H73" s="75"/>
      <c r="I73" s="76">
        <v>-175109164</v>
      </c>
      <c r="J73" s="76">
        <v>-178816384</v>
      </c>
      <c r="K73" s="76">
        <v>-182523604</v>
      </c>
      <c r="L73" s="76">
        <v>-186230821</v>
      </c>
      <c r="M73" s="76">
        <v>-189938041</v>
      </c>
      <c r="N73" s="76">
        <v>-74573797</v>
      </c>
      <c r="O73" s="76">
        <v>-78281015</v>
      </c>
      <c r="P73" s="76">
        <v>-82421568</v>
      </c>
      <c r="Q73" s="76">
        <v>-86562122</v>
      </c>
      <c r="R73" s="76">
        <v>-91469339</v>
      </c>
      <c r="S73" s="76">
        <v>-96043226</v>
      </c>
      <c r="T73" s="76">
        <v>-100617113</v>
      </c>
      <c r="U73" s="34">
        <f t="shared" si="17"/>
        <v>1</v>
      </c>
      <c r="V73" s="69">
        <f t="shared" si="16"/>
        <v>71</v>
      </c>
      <c r="W73" s="70" t="s">
        <v>72</v>
      </c>
      <c r="X73" s="71"/>
      <c r="Y73" s="72">
        <f t="shared" si="42"/>
        <v>-171812829</v>
      </c>
      <c r="Z73" s="73"/>
      <c r="AA73" s="74">
        <f t="shared" si="43"/>
        <v>-171812829</v>
      </c>
      <c r="AB73" s="75"/>
      <c r="AC73" s="76">
        <v>-135553140</v>
      </c>
      <c r="AD73" s="76">
        <v>-138849476</v>
      </c>
      <c r="AE73" s="76">
        <v>-142145811</v>
      </c>
      <c r="AF73" s="76">
        <v>-145442146</v>
      </c>
      <c r="AG73" s="76">
        <v>-148738482</v>
      </c>
      <c r="AH73" s="76">
        <v>-152034817</v>
      </c>
      <c r="AI73" s="76">
        <v>-155331152</v>
      </c>
      <c r="AJ73" s="76">
        <v>-158627488</v>
      </c>
      <c r="AK73" s="76">
        <v>-161923823</v>
      </c>
      <c r="AL73" s="76">
        <v>-165220158</v>
      </c>
      <c r="AM73" s="76">
        <v>-168516494</v>
      </c>
      <c r="AN73" s="76">
        <v>-171812829</v>
      </c>
    </row>
    <row r="74" spans="1:40" s="43" customFormat="1" ht="13.5" outlineLevel="1" x14ac:dyDescent="0.15">
      <c r="A74" s="34">
        <v>1</v>
      </c>
      <c r="B74" s="85">
        <f t="shared" si="44"/>
        <v>72</v>
      </c>
      <c r="C74" s="78" t="s">
        <v>79</v>
      </c>
      <c r="D74" s="79"/>
      <c r="E74" s="80">
        <f t="shared" si="40"/>
        <v>0</v>
      </c>
      <c r="F74" s="81"/>
      <c r="G74" s="82">
        <f t="shared" si="41"/>
        <v>0</v>
      </c>
      <c r="H74" s="83"/>
      <c r="I74" s="84">
        <v>0</v>
      </c>
      <c r="J74" s="84">
        <v>0</v>
      </c>
      <c r="K74" s="84">
        <v>0</v>
      </c>
      <c r="L74" s="84"/>
      <c r="M74" s="84"/>
      <c r="N74" s="84"/>
      <c r="O74" s="84"/>
      <c r="P74" s="84"/>
      <c r="Q74" s="84"/>
      <c r="R74" s="84"/>
      <c r="S74" s="84"/>
      <c r="T74" s="84"/>
      <c r="U74" s="34">
        <f t="shared" si="17"/>
        <v>1</v>
      </c>
      <c r="V74" s="77">
        <f t="shared" si="16"/>
        <v>72</v>
      </c>
      <c r="W74" s="78" t="s">
        <v>10</v>
      </c>
      <c r="X74" s="79"/>
      <c r="Y74" s="80">
        <f t="shared" si="42"/>
        <v>0</v>
      </c>
      <c r="Z74" s="81"/>
      <c r="AA74" s="82">
        <f t="shared" si="43"/>
        <v>0</v>
      </c>
      <c r="AB74" s="83"/>
      <c r="AC74" s="84"/>
      <c r="AD74" s="84"/>
      <c r="AE74" s="84"/>
      <c r="AF74" s="84"/>
      <c r="AG74" s="84"/>
      <c r="AH74" s="84"/>
      <c r="AI74" s="84"/>
      <c r="AJ74" s="84"/>
      <c r="AK74" s="84"/>
      <c r="AL74" s="84"/>
      <c r="AM74" s="84"/>
      <c r="AN74" s="84"/>
    </row>
    <row r="75" spans="1:40" s="43" customFormat="1" ht="13.5" outlineLevel="1" x14ac:dyDescent="0.15">
      <c r="A75" s="34">
        <v>1</v>
      </c>
      <c r="B75" s="85">
        <f t="shared" si="44"/>
        <v>73</v>
      </c>
      <c r="C75" s="62" t="s">
        <v>83</v>
      </c>
      <c r="D75" s="63"/>
      <c r="E75" s="64">
        <f t="shared" si="40"/>
        <v>4802761220</v>
      </c>
      <c r="F75" s="65"/>
      <c r="G75" s="66">
        <f>E75</f>
        <v>4802761220</v>
      </c>
      <c r="H75" s="67"/>
      <c r="I75" s="68">
        <v>4028874065</v>
      </c>
      <c r="J75" s="68">
        <v>4082249515</v>
      </c>
      <c r="K75" s="68">
        <v>4099019515</v>
      </c>
      <c r="L75" s="68">
        <v>4212439515</v>
      </c>
      <c r="M75" s="68">
        <v>4231479515</v>
      </c>
      <c r="N75" s="68">
        <v>4737825878</v>
      </c>
      <c r="O75" s="68">
        <v>4321497697</v>
      </c>
      <c r="P75" s="68">
        <v>4334201897</v>
      </c>
      <c r="Q75" s="68">
        <v>4355611897</v>
      </c>
      <c r="R75" s="76">
        <v>4362561220</v>
      </c>
      <c r="S75" s="68">
        <v>4381261220</v>
      </c>
      <c r="T75" s="68">
        <v>4802761220</v>
      </c>
      <c r="U75" s="34">
        <f t="shared" si="17"/>
        <v>1</v>
      </c>
      <c r="V75" s="61">
        <f t="shared" si="16"/>
        <v>73</v>
      </c>
      <c r="W75" s="62" t="s">
        <v>84</v>
      </c>
      <c r="X75" s="63"/>
      <c r="Y75" s="64">
        <f t="shared" si="42"/>
        <v>4019974065</v>
      </c>
      <c r="Z75" s="65"/>
      <c r="AA75" s="66">
        <f t="shared" si="43"/>
        <v>4019974065</v>
      </c>
      <c r="AB75" s="67"/>
      <c r="AC75" s="68">
        <v>3399164247</v>
      </c>
      <c r="AD75" s="68">
        <v>3447664247</v>
      </c>
      <c r="AE75" s="68">
        <v>3450534247</v>
      </c>
      <c r="AF75" s="68">
        <v>3540534247</v>
      </c>
      <c r="AG75" s="68">
        <v>3558554247</v>
      </c>
      <c r="AH75" s="68">
        <v>3546392247</v>
      </c>
      <c r="AI75" s="68">
        <v>3546392247</v>
      </c>
      <c r="AJ75" s="68">
        <v>3546392247</v>
      </c>
      <c r="AK75" s="68">
        <v>3551192247</v>
      </c>
      <c r="AL75" s="68">
        <v>3564192247</v>
      </c>
      <c r="AM75" s="68">
        <v>3581192247</v>
      </c>
      <c r="AN75" s="68">
        <v>4019974065</v>
      </c>
    </row>
    <row r="76" spans="1:40" s="43" customFormat="1" ht="13.5" outlineLevel="1" x14ac:dyDescent="0.15">
      <c r="A76" s="34">
        <v>1</v>
      </c>
      <c r="B76" s="85">
        <f t="shared" si="44"/>
        <v>74</v>
      </c>
      <c r="C76" s="70" t="s">
        <v>85</v>
      </c>
      <c r="D76" s="71"/>
      <c r="E76" s="72">
        <f t="shared" si="40"/>
        <v>-3000281318</v>
      </c>
      <c r="F76" s="73"/>
      <c r="G76" s="74">
        <f>E76</f>
        <v>-3000281318</v>
      </c>
      <c r="H76" s="75"/>
      <c r="I76" s="76">
        <v>-2519551178</v>
      </c>
      <c r="J76" s="76">
        <v>-2561635524</v>
      </c>
      <c r="K76" s="76">
        <v>-2603927946</v>
      </c>
      <c r="L76" s="76">
        <v>-2648107700</v>
      </c>
      <c r="M76" s="76">
        <v>-2691206967</v>
      </c>
      <c r="N76" s="76">
        <v>-2738908885</v>
      </c>
      <c r="O76" s="76">
        <v>-2783294447</v>
      </c>
      <c r="P76" s="76">
        <v>-2827889745</v>
      </c>
      <c r="Q76" s="76">
        <v>-2871611206</v>
      </c>
      <c r="R76" s="84">
        <v>-2906374631</v>
      </c>
      <c r="S76" s="76">
        <v>-2949789002</v>
      </c>
      <c r="T76" s="76">
        <v>-3000281318</v>
      </c>
      <c r="U76" s="34">
        <f t="shared" si="17"/>
        <v>1</v>
      </c>
      <c r="V76" s="69">
        <f t="shared" si="16"/>
        <v>74</v>
      </c>
      <c r="W76" s="70" t="s">
        <v>72</v>
      </c>
      <c r="X76" s="71"/>
      <c r="Y76" s="72">
        <f t="shared" si="42"/>
        <v>-2479116849</v>
      </c>
      <c r="Z76" s="73"/>
      <c r="AA76" s="74">
        <f t="shared" si="43"/>
        <v>-2479116849</v>
      </c>
      <c r="AB76" s="75"/>
      <c r="AC76" s="76">
        <v>-2119085438</v>
      </c>
      <c r="AD76" s="76">
        <v>-2150619775</v>
      </c>
      <c r="AE76" s="76">
        <v>-2182096608</v>
      </c>
      <c r="AF76" s="76">
        <v>-2214998641</v>
      </c>
      <c r="AG76" s="76">
        <v>-2248200012</v>
      </c>
      <c r="AH76" s="76">
        <v>-2270646010</v>
      </c>
      <c r="AI76" s="76">
        <v>-2303754010</v>
      </c>
      <c r="AJ76" s="76">
        <v>-2336862014</v>
      </c>
      <c r="AK76" s="76">
        <v>-2370050012</v>
      </c>
      <c r="AL76" s="76">
        <v>-2403453679</v>
      </c>
      <c r="AM76" s="76">
        <v>-2438827854</v>
      </c>
      <c r="AN76" s="76">
        <v>-2479116849</v>
      </c>
    </row>
    <row r="77" spans="1:40" s="43" customFormat="1" ht="13.5" outlineLevel="1" x14ac:dyDescent="0.15">
      <c r="A77" s="34">
        <v>1</v>
      </c>
      <c r="B77" s="85">
        <f t="shared" si="44"/>
        <v>75</v>
      </c>
      <c r="C77" s="78" t="s">
        <v>79</v>
      </c>
      <c r="D77" s="79"/>
      <c r="E77" s="80">
        <f t="shared" si="40"/>
        <v>0</v>
      </c>
      <c r="F77" s="81"/>
      <c r="G77" s="82">
        <f t="shared" si="41"/>
        <v>0</v>
      </c>
      <c r="H77" s="83"/>
      <c r="I77" s="84">
        <v>0</v>
      </c>
      <c r="J77" s="84">
        <v>0</v>
      </c>
      <c r="K77" s="84">
        <v>0</v>
      </c>
      <c r="L77" s="84"/>
      <c r="M77" s="84"/>
      <c r="N77" s="84"/>
      <c r="O77" s="84"/>
      <c r="P77" s="84"/>
      <c r="Q77" s="84"/>
      <c r="R77" s="84"/>
      <c r="S77" s="84"/>
      <c r="T77" s="84"/>
      <c r="U77" s="34">
        <f t="shared" si="17"/>
        <v>1</v>
      </c>
      <c r="V77" s="77">
        <f t="shared" si="16"/>
        <v>75</v>
      </c>
      <c r="W77" s="78" t="s">
        <v>10</v>
      </c>
      <c r="X77" s="79"/>
      <c r="Y77" s="80">
        <f t="shared" si="42"/>
        <v>0</v>
      </c>
      <c r="Z77" s="81"/>
      <c r="AA77" s="82">
        <f t="shared" si="43"/>
        <v>0</v>
      </c>
      <c r="AB77" s="83"/>
      <c r="AC77" s="84"/>
      <c r="AD77" s="84"/>
      <c r="AE77" s="84"/>
      <c r="AF77" s="84"/>
      <c r="AG77" s="84"/>
      <c r="AH77" s="84"/>
      <c r="AI77" s="84"/>
      <c r="AJ77" s="84"/>
      <c r="AK77" s="84"/>
      <c r="AL77" s="84"/>
      <c r="AM77" s="84"/>
      <c r="AN77" s="84"/>
    </row>
    <row r="78" spans="1:40" s="43" customFormat="1" ht="13.5" outlineLevel="1" x14ac:dyDescent="0.15">
      <c r="A78" s="34">
        <v>1</v>
      </c>
      <c r="B78" s="85">
        <f t="shared" si="44"/>
        <v>76</v>
      </c>
      <c r="C78" s="62" t="s">
        <v>86</v>
      </c>
      <c r="D78" s="63"/>
      <c r="E78" s="64">
        <f t="shared" si="40"/>
        <v>2693500043</v>
      </c>
      <c r="F78" s="65"/>
      <c r="G78" s="66">
        <f t="shared" si="41"/>
        <v>2693500043</v>
      </c>
      <c r="H78" s="67"/>
      <c r="I78" s="68">
        <v>2609500043</v>
      </c>
      <c r="J78" s="68">
        <v>2609500043</v>
      </c>
      <c r="K78" s="68">
        <v>2693500043</v>
      </c>
      <c r="L78" s="68">
        <v>2693500043</v>
      </c>
      <c r="M78" s="68">
        <v>2693500043</v>
      </c>
      <c r="N78" s="68">
        <v>2693500043</v>
      </c>
      <c r="O78" s="68">
        <v>2693500043</v>
      </c>
      <c r="P78" s="68">
        <v>2693500043</v>
      </c>
      <c r="Q78" s="68">
        <v>2693500043</v>
      </c>
      <c r="R78" s="68">
        <v>2693500043</v>
      </c>
      <c r="S78" s="68">
        <v>2693500043</v>
      </c>
      <c r="T78" s="68">
        <v>2693500043</v>
      </c>
      <c r="U78" s="34">
        <f t="shared" si="17"/>
        <v>1</v>
      </c>
      <c r="V78" s="61">
        <f t="shared" si="16"/>
        <v>76</v>
      </c>
      <c r="W78" s="62" t="s">
        <v>87</v>
      </c>
      <c r="X78" s="63"/>
      <c r="Y78" s="64">
        <f t="shared" si="42"/>
        <v>2609500043</v>
      </c>
      <c r="Z78" s="65"/>
      <c r="AA78" s="66">
        <f t="shared" si="43"/>
        <v>2609500043</v>
      </c>
      <c r="AB78" s="67"/>
      <c r="AC78" s="68">
        <v>2507500043</v>
      </c>
      <c r="AD78" s="68">
        <v>2507500043</v>
      </c>
      <c r="AE78" s="68">
        <v>2507500043</v>
      </c>
      <c r="AF78" s="68">
        <v>2507500043</v>
      </c>
      <c r="AG78" s="68">
        <v>2507500043</v>
      </c>
      <c r="AH78" s="68">
        <v>2507500043</v>
      </c>
      <c r="AI78" s="68">
        <v>2507500043</v>
      </c>
      <c r="AJ78" s="68">
        <v>2507500043</v>
      </c>
      <c r="AK78" s="68">
        <v>2591500043</v>
      </c>
      <c r="AL78" s="68">
        <v>2591500043</v>
      </c>
      <c r="AM78" s="68">
        <v>2591500043</v>
      </c>
      <c r="AN78" s="68">
        <v>2609500043</v>
      </c>
    </row>
    <row r="79" spans="1:40" s="43" customFormat="1" ht="13.5" outlineLevel="1" x14ac:dyDescent="0.15">
      <c r="A79" s="34">
        <v>1</v>
      </c>
      <c r="B79" s="85">
        <f t="shared" si="44"/>
        <v>77</v>
      </c>
      <c r="C79" s="70" t="s">
        <v>88</v>
      </c>
      <c r="D79" s="71"/>
      <c r="E79" s="72">
        <f t="shared" si="40"/>
        <v>-2552944876</v>
      </c>
      <c r="F79" s="73"/>
      <c r="G79" s="74">
        <f t="shared" si="41"/>
        <v>-2552944876</v>
      </c>
      <c r="H79" s="75"/>
      <c r="I79" s="76">
        <v>-2496800210</v>
      </c>
      <c r="J79" s="76">
        <v>-2499431876</v>
      </c>
      <c r="K79" s="76">
        <v>-2516938543</v>
      </c>
      <c r="L79" s="76">
        <v>-2520970210</v>
      </c>
      <c r="M79" s="76">
        <v>-2525001876</v>
      </c>
      <c r="N79" s="76">
        <v>-2529033543</v>
      </c>
      <c r="O79" s="76">
        <v>-2533065210</v>
      </c>
      <c r="P79" s="76">
        <v>-2537096876</v>
      </c>
      <c r="Q79" s="76">
        <v>-2541128543</v>
      </c>
      <c r="R79" s="76">
        <v>-2545160210</v>
      </c>
      <c r="S79" s="76">
        <v>-2549190876</v>
      </c>
      <c r="T79" s="76">
        <v>-2552944876</v>
      </c>
      <c r="U79" s="34">
        <f t="shared" si="17"/>
        <v>1</v>
      </c>
      <c r="V79" s="69">
        <f t="shared" si="16"/>
        <v>77</v>
      </c>
      <c r="W79" s="70" t="s">
        <v>72</v>
      </c>
      <c r="X79" s="71"/>
      <c r="Y79" s="72">
        <f t="shared" si="42"/>
        <v>-2494168543</v>
      </c>
      <c r="Z79" s="73"/>
      <c r="AA79" s="74">
        <f t="shared" si="43"/>
        <v>-2494168543</v>
      </c>
      <c r="AB79" s="75"/>
      <c r="AC79" s="76">
        <v>-2478020210</v>
      </c>
      <c r="AD79" s="76">
        <v>-2478951876</v>
      </c>
      <c r="AE79" s="76">
        <v>-2479883543</v>
      </c>
      <c r="AF79" s="76">
        <v>-2480815210</v>
      </c>
      <c r="AG79" s="76">
        <v>-2481746876</v>
      </c>
      <c r="AH79" s="76">
        <v>-2482678543</v>
      </c>
      <c r="AI79" s="76">
        <v>-2483610210</v>
      </c>
      <c r="AJ79" s="76">
        <v>-2484541876</v>
      </c>
      <c r="AK79" s="76">
        <v>-2486873543</v>
      </c>
      <c r="AL79" s="76">
        <v>-2489205210</v>
      </c>
      <c r="AM79" s="76">
        <v>-2491536876</v>
      </c>
      <c r="AN79" s="76">
        <v>-2494168543</v>
      </c>
    </row>
    <row r="80" spans="1:40" s="43" customFormat="1" ht="13.5" outlineLevel="1" x14ac:dyDescent="0.15">
      <c r="A80" s="34">
        <v>1</v>
      </c>
      <c r="B80" s="85">
        <f t="shared" si="44"/>
        <v>78</v>
      </c>
      <c r="C80" s="78" t="s">
        <v>79</v>
      </c>
      <c r="D80" s="79"/>
      <c r="E80" s="80">
        <f t="shared" si="40"/>
        <v>0</v>
      </c>
      <c r="F80" s="81"/>
      <c r="G80" s="82">
        <f t="shared" si="41"/>
        <v>0</v>
      </c>
      <c r="H80" s="83"/>
      <c r="I80" s="84">
        <v>0</v>
      </c>
      <c r="J80" s="84">
        <v>0</v>
      </c>
      <c r="K80" s="84">
        <v>0</v>
      </c>
      <c r="L80" s="84"/>
      <c r="M80" s="84"/>
      <c r="N80" s="84"/>
      <c r="O80" s="84"/>
      <c r="P80" s="84"/>
      <c r="Q80" s="84"/>
      <c r="R80" s="84"/>
      <c r="S80" s="84"/>
      <c r="T80" s="84"/>
      <c r="U80" s="34">
        <f t="shared" si="17"/>
        <v>1</v>
      </c>
      <c r="V80" s="77">
        <f t="shared" si="16"/>
        <v>78</v>
      </c>
      <c r="W80" s="78" t="s">
        <v>10</v>
      </c>
      <c r="X80" s="79"/>
      <c r="Y80" s="80">
        <f t="shared" si="42"/>
        <v>0</v>
      </c>
      <c r="Z80" s="81"/>
      <c r="AA80" s="82">
        <f t="shared" si="43"/>
        <v>0</v>
      </c>
      <c r="AB80" s="83"/>
      <c r="AC80" s="84"/>
      <c r="AD80" s="84"/>
      <c r="AE80" s="84"/>
      <c r="AF80" s="84"/>
      <c r="AG80" s="84"/>
      <c r="AH80" s="84"/>
      <c r="AI80" s="84"/>
      <c r="AJ80" s="84"/>
      <c r="AK80" s="84"/>
      <c r="AL80" s="84"/>
      <c r="AM80" s="84"/>
      <c r="AN80" s="84"/>
    </row>
    <row r="81" spans="1:40" s="43" customFormat="1" ht="13.5" outlineLevel="1" x14ac:dyDescent="0.15">
      <c r="A81" s="34">
        <v>1</v>
      </c>
      <c r="B81" s="85">
        <f t="shared" si="44"/>
        <v>79</v>
      </c>
      <c r="C81" s="70" t="s">
        <v>89</v>
      </c>
      <c r="D81" s="71"/>
      <c r="E81" s="72">
        <f t="shared" si="40"/>
        <v>0</v>
      </c>
      <c r="F81" s="73"/>
      <c r="G81" s="74">
        <f>E81</f>
        <v>0</v>
      </c>
      <c r="H81" s="75"/>
      <c r="I81" s="76">
        <v>394948667</v>
      </c>
      <c r="J81" s="76">
        <v>394948667</v>
      </c>
      <c r="K81" s="76">
        <v>394948667</v>
      </c>
      <c r="L81" s="76">
        <v>394948667</v>
      </c>
      <c r="M81" s="76"/>
      <c r="N81" s="76"/>
      <c r="O81" s="76"/>
      <c r="P81" s="76"/>
      <c r="Q81" s="76"/>
      <c r="R81" s="76"/>
      <c r="S81" s="76"/>
      <c r="T81" s="76"/>
      <c r="U81" s="34">
        <f t="shared" si="17"/>
        <v>1</v>
      </c>
      <c r="V81" s="69">
        <f t="shared" si="16"/>
        <v>79</v>
      </c>
      <c r="W81" s="70" t="s">
        <v>90</v>
      </c>
      <c r="X81" s="71"/>
      <c r="Y81" s="72">
        <f t="shared" si="42"/>
        <v>394948667</v>
      </c>
      <c r="Z81" s="73"/>
      <c r="AA81" s="74">
        <f t="shared" si="43"/>
        <v>394948667</v>
      </c>
      <c r="AB81" s="75"/>
      <c r="AC81" s="76">
        <v>394948667</v>
      </c>
      <c r="AD81" s="76">
        <v>394948667</v>
      </c>
      <c r="AE81" s="76">
        <v>394948667</v>
      </c>
      <c r="AF81" s="76">
        <v>394948667</v>
      </c>
      <c r="AG81" s="76">
        <v>394948667</v>
      </c>
      <c r="AH81" s="76">
        <v>394948667</v>
      </c>
      <c r="AI81" s="76">
        <v>394948667</v>
      </c>
      <c r="AJ81" s="76">
        <v>394948667</v>
      </c>
      <c r="AK81" s="76">
        <v>394948667</v>
      </c>
      <c r="AL81" s="76">
        <v>394948667</v>
      </c>
      <c r="AM81" s="76">
        <v>394948667</v>
      </c>
      <c r="AN81" s="76">
        <v>394948667</v>
      </c>
    </row>
    <row r="82" spans="1:40" s="43" customFormat="1" ht="13.5" outlineLevel="1" x14ac:dyDescent="0.15">
      <c r="A82" s="34">
        <v>1</v>
      </c>
      <c r="B82" s="85">
        <f t="shared" si="44"/>
        <v>80</v>
      </c>
      <c r="C82" s="70" t="s">
        <v>91</v>
      </c>
      <c r="D82" s="71"/>
      <c r="E82" s="72">
        <f t="shared" si="40"/>
        <v>0</v>
      </c>
      <c r="F82" s="73"/>
      <c r="G82" s="74">
        <f>E82</f>
        <v>0</v>
      </c>
      <c r="H82" s="75"/>
      <c r="I82" s="76">
        <v>-394944667</v>
      </c>
      <c r="J82" s="76">
        <v>-394944667</v>
      </c>
      <c r="K82" s="43">
        <v>-394944667</v>
      </c>
      <c r="L82" s="76">
        <v>-394944667</v>
      </c>
      <c r="M82" s="76"/>
      <c r="N82" s="76"/>
      <c r="O82" s="76"/>
      <c r="P82" s="76"/>
      <c r="Q82" s="76"/>
      <c r="R82" s="76"/>
      <c r="S82" s="76"/>
      <c r="T82" s="76"/>
      <c r="U82" s="34">
        <f t="shared" si="17"/>
        <v>1</v>
      </c>
      <c r="V82" s="69">
        <f t="shared" si="16"/>
        <v>80</v>
      </c>
      <c r="W82" s="70" t="s">
        <v>72</v>
      </c>
      <c r="X82" s="71"/>
      <c r="Y82" s="72">
        <f t="shared" si="42"/>
        <v>-394944667</v>
      </c>
      <c r="Z82" s="73"/>
      <c r="AA82" s="74">
        <f t="shared" si="43"/>
        <v>-394944667</v>
      </c>
      <c r="AB82" s="75"/>
      <c r="AC82" s="76">
        <v>-349662571</v>
      </c>
      <c r="AD82" s="76">
        <v>-355790044</v>
      </c>
      <c r="AE82" s="76">
        <v>-361917515</v>
      </c>
      <c r="AF82" s="76">
        <v>-368043989</v>
      </c>
      <c r="AG82" s="76">
        <v>-371887229</v>
      </c>
      <c r="AH82" s="76">
        <v>-375730469</v>
      </c>
      <c r="AI82" s="76">
        <v>-379573708</v>
      </c>
      <c r="AJ82" s="76">
        <v>-383416947</v>
      </c>
      <c r="AK82" s="76">
        <v>-387260187</v>
      </c>
      <c r="AL82" s="76">
        <v>-391103426</v>
      </c>
      <c r="AM82" s="76">
        <v>-394944667</v>
      </c>
      <c r="AN82" s="76">
        <v>-394944667</v>
      </c>
    </row>
    <row r="83" spans="1:40" s="43" customFormat="1" ht="13.5" outlineLevel="1" x14ac:dyDescent="0.15">
      <c r="A83" s="34">
        <v>1</v>
      </c>
      <c r="B83" s="85">
        <f t="shared" si="44"/>
        <v>81</v>
      </c>
      <c r="C83" s="78" t="s">
        <v>79</v>
      </c>
      <c r="D83" s="79"/>
      <c r="E83" s="80">
        <f t="shared" si="40"/>
        <v>0</v>
      </c>
      <c r="F83" s="81"/>
      <c r="G83" s="82">
        <f>E83</f>
        <v>0</v>
      </c>
      <c r="H83" s="83"/>
      <c r="I83" s="84">
        <v>0</v>
      </c>
      <c r="J83" s="84">
        <v>0</v>
      </c>
      <c r="K83" s="84">
        <v>0</v>
      </c>
      <c r="L83" s="84"/>
      <c r="M83" s="84"/>
      <c r="N83" s="84"/>
      <c r="O83" s="84"/>
      <c r="P83" s="84"/>
      <c r="Q83" s="84"/>
      <c r="R83" s="84"/>
      <c r="S83" s="84"/>
      <c r="T83" s="84"/>
      <c r="U83" s="34">
        <f t="shared" si="17"/>
        <v>1</v>
      </c>
      <c r="V83" s="77">
        <f t="shared" si="16"/>
        <v>81</v>
      </c>
      <c r="W83" s="78" t="s">
        <v>10</v>
      </c>
      <c r="X83" s="79"/>
      <c r="Y83" s="80">
        <f t="shared" si="42"/>
        <v>0</v>
      </c>
      <c r="Z83" s="81"/>
      <c r="AA83" s="82">
        <f t="shared" si="43"/>
        <v>0</v>
      </c>
      <c r="AB83" s="83"/>
      <c r="AC83" s="84"/>
      <c r="AD83" s="84"/>
      <c r="AE83" s="84"/>
      <c r="AF83" s="84"/>
      <c r="AG83" s="84"/>
      <c r="AH83" s="84"/>
      <c r="AI83" s="84"/>
      <c r="AJ83" s="84"/>
      <c r="AK83" s="84"/>
      <c r="AL83" s="84"/>
      <c r="AM83" s="84"/>
      <c r="AN83" s="84"/>
    </row>
    <row r="84" spans="1:40" s="43" customFormat="1" ht="13.5" outlineLevel="1" x14ac:dyDescent="0.15">
      <c r="A84" s="34">
        <v>1</v>
      </c>
      <c r="B84" s="85">
        <f t="shared" si="44"/>
        <v>82</v>
      </c>
      <c r="C84" s="70" t="s">
        <v>92</v>
      </c>
      <c r="D84" s="71"/>
      <c r="E84" s="72">
        <f t="shared" si="40"/>
        <v>1843820302</v>
      </c>
      <c r="F84" s="73"/>
      <c r="G84" s="74">
        <f>E84</f>
        <v>1843820302</v>
      </c>
      <c r="H84" s="75"/>
      <c r="I84" s="76">
        <v>1371674908</v>
      </c>
      <c r="J84" s="76">
        <v>1723002926</v>
      </c>
      <c r="K84" s="76">
        <v>1728914221</v>
      </c>
      <c r="L84" s="76">
        <v>1876074852</v>
      </c>
      <c r="M84" s="76">
        <v>1817746953</v>
      </c>
      <c r="N84" s="76">
        <v>1860140292</v>
      </c>
      <c r="O84" s="76">
        <v>1860140292</v>
      </c>
      <c r="P84" s="76">
        <v>1860140292</v>
      </c>
      <c r="Q84" s="76">
        <v>1878254515</v>
      </c>
      <c r="R84" s="76">
        <v>1878254515</v>
      </c>
      <c r="S84" s="76">
        <v>1843820302</v>
      </c>
      <c r="T84" s="76">
        <v>1843820302</v>
      </c>
      <c r="U84" s="34">
        <f t="shared" si="17"/>
        <v>1</v>
      </c>
      <c r="V84" s="69">
        <f t="shared" si="16"/>
        <v>82</v>
      </c>
      <c r="W84" s="70" t="s">
        <v>93</v>
      </c>
      <c r="X84" s="71"/>
      <c r="Y84" s="72">
        <f t="shared" si="42"/>
        <v>754194770</v>
      </c>
      <c r="Z84" s="73"/>
      <c r="AA84" s="74">
        <f t="shared" si="43"/>
        <v>754194770</v>
      </c>
      <c r="AB84" s="75"/>
      <c r="AC84" s="76">
        <v>1913893402</v>
      </c>
      <c r="AD84" s="76">
        <v>1940621126</v>
      </c>
      <c r="AE84" s="76">
        <v>1925143417</v>
      </c>
      <c r="AF84" s="76">
        <v>1948195853</v>
      </c>
      <c r="AG84" s="76">
        <v>1948195853</v>
      </c>
      <c r="AH84" s="76">
        <v>1948195853</v>
      </c>
      <c r="AI84" s="76">
        <v>1948195853</v>
      </c>
      <c r="AJ84" s="76">
        <v>1948195853</v>
      </c>
      <c r="AK84" s="76">
        <v>1905656753</v>
      </c>
      <c r="AL84" s="76">
        <v>1905656753</v>
      </c>
      <c r="AM84" s="76">
        <v>1905656753</v>
      </c>
      <c r="AN84" s="76">
        <v>754194770</v>
      </c>
    </row>
    <row r="85" spans="1:40" s="43" customFormat="1" ht="13.5" outlineLevel="1" x14ac:dyDescent="0.15">
      <c r="A85" s="34">
        <v>1</v>
      </c>
      <c r="B85" s="85">
        <f t="shared" si="44"/>
        <v>83</v>
      </c>
      <c r="C85" s="78" t="s">
        <v>94</v>
      </c>
      <c r="D85" s="79"/>
      <c r="E85" s="80">
        <f t="shared" si="40"/>
        <v>-860373255</v>
      </c>
      <c r="F85" s="81"/>
      <c r="G85" s="82">
        <f>E85</f>
        <v>-860373255</v>
      </c>
      <c r="H85" s="83"/>
      <c r="I85" s="84">
        <v>-411170061</v>
      </c>
      <c r="J85" s="84">
        <v>-451129542</v>
      </c>
      <c r="K85" s="84">
        <v>-436079887</v>
      </c>
      <c r="L85" s="84">
        <v>-494752328</v>
      </c>
      <c r="M85" s="84">
        <v>-509138533</v>
      </c>
      <c r="N85" s="84">
        <v>-508311831</v>
      </c>
      <c r="O85" s="84">
        <v>-570524354</v>
      </c>
      <c r="P85" s="84">
        <v>-632736877</v>
      </c>
      <c r="Q85" s="84">
        <v>-697537146</v>
      </c>
      <c r="R85" s="84">
        <v>-762337415</v>
      </c>
      <c r="S85" s="84">
        <v>-796529492</v>
      </c>
      <c r="T85" s="84">
        <v>-860373255</v>
      </c>
      <c r="U85" s="34">
        <f t="shared" si="17"/>
        <v>1</v>
      </c>
      <c r="V85" s="77">
        <f t="shared" si="17"/>
        <v>83</v>
      </c>
      <c r="W85" s="78" t="s">
        <v>72</v>
      </c>
      <c r="X85" s="79"/>
      <c r="Y85" s="80">
        <f t="shared" si="42"/>
        <v>-380210014</v>
      </c>
      <c r="Z85" s="81"/>
      <c r="AA85" s="82">
        <f t="shared" si="43"/>
        <v>-380210014</v>
      </c>
      <c r="AB85" s="83"/>
      <c r="AC85" s="84">
        <v>-1064010060</v>
      </c>
      <c r="AD85" s="84">
        <v>-1089387119</v>
      </c>
      <c r="AE85" s="84">
        <v>-1133271391</v>
      </c>
      <c r="AF85" s="84">
        <v>-1181665438</v>
      </c>
      <c r="AG85" s="84">
        <v>-1230059485</v>
      </c>
      <c r="AH85" s="84">
        <v>-1278453532</v>
      </c>
      <c r="AI85" s="84">
        <v>-1326847579</v>
      </c>
      <c r="AJ85" s="84">
        <v>-1375241626</v>
      </c>
      <c r="AK85" s="84">
        <v>-1382677295</v>
      </c>
      <c r="AL85" s="84">
        <v>-1430372816</v>
      </c>
      <c r="AM85" s="84">
        <v>-1478061977</v>
      </c>
      <c r="AN85" s="84">
        <v>-380210014</v>
      </c>
    </row>
    <row r="86" spans="1:40" s="43" customFormat="1" ht="13.5" outlineLevel="1" x14ac:dyDescent="0.15">
      <c r="A86" s="34">
        <v>1</v>
      </c>
      <c r="B86" s="85">
        <f t="shared" si="44"/>
        <v>84</v>
      </c>
      <c r="C86" s="78" t="s">
        <v>95</v>
      </c>
      <c r="D86" s="79"/>
      <c r="E86" s="80">
        <f t="shared" si="40"/>
        <v>1782050000</v>
      </c>
      <c r="F86" s="81"/>
      <c r="G86" s="82">
        <f t="shared" si="41"/>
        <v>1782050000</v>
      </c>
      <c r="H86" s="83"/>
      <c r="I86" s="84">
        <v>7269896865</v>
      </c>
      <c r="J86" s="84">
        <v>8097896865</v>
      </c>
      <c r="K86" s="84">
        <f>10103596865-21000000</f>
        <v>10082596865</v>
      </c>
      <c r="L86" s="84">
        <v>11450196865</v>
      </c>
      <c r="M86" s="84">
        <v>11670393955</v>
      </c>
      <c r="N86" s="84">
        <v>2580310000</v>
      </c>
      <c r="O86" s="84">
        <v>3292010000</v>
      </c>
      <c r="P86" s="84">
        <v>3352550000</v>
      </c>
      <c r="Q86" s="84">
        <v>2170550000</v>
      </c>
      <c r="R86" s="84">
        <v>2180950000</v>
      </c>
      <c r="S86" s="84">
        <v>2689550000</v>
      </c>
      <c r="T86" s="84">
        <v>1782050000</v>
      </c>
      <c r="U86" s="34">
        <f t="shared" si="17"/>
        <v>1</v>
      </c>
      <c r="V86" s="77">
        <f t="shared" si="17"/>
        <v>84</v>
      </c>
      <c r="W86" s="78" t="s">
        <v>96</v>
      </c>
      <c r="X86" s="79"/>
      <c r="Y86" s="80">
        <f t="shared" si="42"/>
        <v>6399896865</v>
      </c>
      <c r="Z86" s="81"/>
      <c r="AA86" s="82">
        <f t="shared" si="43"/>
        <v>6399896865</v>
      </c>
      <c r="AB86" s="83"/>
      <c r="AC86" s="84">
        <v>1251220870</v>
      </c>
      <c r="AD86" s="84">
        <v>1262995128</v>
      </c>
      <c r="AE86" s="84">
        <v>1034667907</v>
      </c>
      <c r="AF86" s="84">
        <v>1287607919</v>
      </c>
      <c r="AG86" s="84">
        <v>469818753</v>
      </c>
      <c r="AH86" s="84">
        <v>469818753</v>
      </c>
      <c r="AI86" s="84">
        <v>2279243753</v>
      </c>
      <c r="AJ86" s="84">
        <v>1774464030</v>
      </c>
      <c r="AK86" s="84">
        <v>3979464030</v>
      </c>
      <c r="AL86" s="84">
        <v>3989554865</v>
      </c>
      <c r="AM86" s="84">
        <v>5067454865</v>
      </c>
      <c r="AN86" s="84">
        <v>6399896865</v>
      </c>
    </row>
    <row r="87" spans="1:40" s="43" customFormat="1" ht="13.5" x14ac:dyDescent="0.15">
      <c r="A87" s="34">
        <v>1</v>
      </c>
      <c r="B87" s="85">
        <f t="shared" si="44"/>
        <v>85</v>
      </c>
      <c r="C87" s="54" t="s">
        <v>97</v>
      </c>
      <c r="D87" s="55"/>
      <c r="E87" s="56">
        <f>SUM(E88:E94)</f>
        <v>8975511220</v>
      </c>
      <c r="F87" s="57"/>
      <c r="G87" s="58">
        <f>SUM(G88:G94)</f>
        <v>8975511220</v>
      </c>
      <c r="H87" s="59"/>
      <c r="I87" s="60">
        <f>SUM(I88:I94)</f>
        <v>7540625702</v>
      </c>
      <c r="J87" s="60">
        <f>SUM(J88:J94)</f>
        <v>8447404001</v>
      </c>
      <c r="K87" s="60">
        <f t="shared" ref="K87:Q87" si="45">SUM(K88:K94)</f>
        <v>8648848664</v>
      </c>
      <c r="L87" s="60">
        <f t="shared" si="45"/>
        <v>8597084959</v>
      </c>
      <c r="M87" s="60">
        <f t="shared" si="45"/>
        <v>8523112670</v>
      </c>
      <c r="N87" s="60">
        <f t="shared" si="45"/>
        <v>8482768180</v>
      </c>
      <c r="O87" s="60">
        <f t="shared" si="45"/>
        <v>8358166865</v>
      </c>
      <c r="P87" s="60">
        <f t="shared" si="45"/>
        <v>8302452739</v>
      </c>
      <c r="Q87" s="60">
        <f t="shared" si="45"/>
        <v>8295159418</v>
      </c>
      <c r="R87" s="60">
        <f>SUM(R88:R94)</f>
        <v>8189727419</v>
      </c>
      <c r="S87" s="60">
        <f>SUM(S88:S94)</f>
        <v>8181568146</v>
      </c>
      <c r="T87" s="60">
        <f>SUM(T88:T94)</f>
        <v>8975511220</v>
      </c>
      <c r="U87" s="34">
        <f t="shared" ref="U87:V150" si="46">A87</f>
        <v>1</v>
      </c>
      <c r="V87" s="53">
        <f t="shared" si="46"/>
        <v>85</v>
      </c>
      <c r="W87" s="54" t="s">
        <v>97</v>
      </c>
      <c r="X87" s="55"/>
      <c r="Y87" s="56">
        <f>SUM(Y88:Y94)</f>
        <v>7610348720</v>
      </c>
      <c r="Z87" s="57"/>
      <c r="AA87" s="58">
        <f>SUM(AA88:AA94)</f>
        <v>7610348720</v>
      </c>
      <c r="AB87" s="59"/>
      <c r="AC87" s="60">
        <f>SUM(AC88:AC94)</f>
        <v>5489490158</v>
      </c>
      <c r="AD87" s="60">
        <f>SUM(AD88:AD94)</f>
        <v>5526150227</v>
      </c>
      <c r="AE87" s="60">
        <f t="shared" ref="AE87:AM87" si="47">SUM(AE88:AE94)</f>
        <v>5752461438</v>
      </c>
      <c r="AF87" s="60">
        <f t="shared" si="47"/>
        <v>5694689334</v>
      </c>
      <c r="AG87" s="60">
        <f t="shared" si="47"/>
        <v>6450192619</v>
      </c>
      <c r="AH87" s="60">
        <f t="shared" si="47"/>
        <v>6674401075</v>
      </c>
      <c r="AI87" s="60">
        <f t="shared" si="47"/>
        <v>6644844750</v>
      </c>
      <c r="AJ87" s="60">
        <f t="shared" si="47"/>
        <v>7161884417</v>
      </c>
      <c r="AK87" s="60">
        <f t="shared" si="47"/>
        <v>7297371209</v>
      </c>
      <c r="AL87" s="60">
        <f t="shared" si="47"/>
        <v>7293554381</v>
      </c>
      <c r="AM87" s="60">
        <f t="shared" si="47"/>
        <v>7338653399</v>
      </c>
      <c r="AN87" s="60">
        <f>SUM(AN88:AN94)</f>
        <v>7610348720</v>
      </c>
    </row>
    <row r="88" spans="1:40" s="43" customFormat="1" ht="13.5" outlineLevel="1" x14ac:dyDescent="0.15">
      <c r="A88" s="34">
        <v>1</v>
      </c>
      <c r="B88" s="85">
        <f t="shared" si="44"/>
        <v>86</v>
      </c>
      <c r="C88" s="62" t="s">
        <v>98</v>
      </c>
      <c r="D88" s="63"/>
      <c r="E88" s="64">
        <f t="shared" ref="E88:E95" si="48">HLOOKUP($A$1,$I$3:$T$365,B88,0)</f>
        <v>3094290456</v>
      </c>
      <c r="F88" s="65"/>
      <c r="G88" s="66">
        <f>E88</f>
        <v>3094290456</v>
      </c>
      <c r="H88" s="67"/>
      <c r="I88" s="68">
        <v>2114290456</v>
      </c>
      <c r="J88" s="68">
        <v>3094290456</v>
      </c>
      <c r="K88" s="68">
        <v>3094290456</v>
      </c>
      <c r="L88" s="68">
        <v>3094290456</v>
      </c>
      <c r="M88" s="68">
        <v>3094290456</v>
      </c>
      <c r="N88" s="68">
        <v>3094290456</v>
      </c>
      <c r="O88" s="68">
        <v>3094290456</v>
      </c>
      <c r="P88" s="68">
        <v>3094290456</v>
      </c>
      <c r="Q88" s="68">
        <v>3094290456</v>
      </c>
      <c r="R88" s="68">
        <v>3094290456</v>
      </c>
      <c r="S88" s="68">
        <v>3094290456</v>
      </c>
      <c r="T88" s="68">
        <v>3094290456</v>
      </c>
      <c r="U88" s="34">
        <f t="shared" si="46"/>
        <v>1</v>
      </c>
      <c r="V88" s="61">
        <f t="shared" si="46"/>
        <v>86</v>
      </c>
      <c r="W88" s="62" t="s">
        <v>98</v>
      </c>
      <c r="X88" s="63"/>
      <c r="Y88" s="64">
        <f t="shared" ref="Y88:Y99" si="49">HLOOKUP($U$1,$AC$3:$AN$365,V88,0)</f>
        <v>2114290456</v>
      </c>
      <c r="Z88" s="65"/>
      <c r="AA88" s="66">
        <f t="shared" ref="AA88:AA94" si="50">Y88</f>
        <v>2114290456</v>
      </c>
      <c r="AB88" s="67"/>
      <c r="AC88" s="68">
        <v>2114290456</v>
      </c>
      <c r="AD88" s="68">
        <v>2114290456</v>
      </c>
      <c r="AE88" s="68">
        <v>2114290456</v>
      </c>
      <c r="AF88" s="68">
        <v>2114290456</v>
      </c>
      <c r="AG88" s="68">
        <v>2114290456</v>
      </c>
      <c r="AH88" s="68">
        <v>2114290456</v>
      </c>
      <c r="AI88" s="68">
        <v>2114290456</v>
      </c>
      <c r="AJ88" s="68">
        <v>2114290456</v>
      </c>
      <c r="AK88" s="68">
        <v>2114290456</v>
      </c>
      <c r="AL88" s="68">
        <v>2114290456</v>
      </c>
      <c r="AM88" s="68">
        <v>2114290456</v>
      </c>
      <c r="AN88" s="68">
        <v>2114290456</v>
      </c>
    </row>
    <row r="89" spans="1:40" s="43" customFormat="1" ht="13.5" outlineLevel="1" x14ac:dyDescent="0.15">
      <c r="A89" s="34">
        <v>1</v>
      </c>
      <c r="B89" s="85">
        <f t="shared" si="44"/>
        <v>87</v>
      </c>
      <c r="C89" s="70" t="s">
        <v>99</v>
      </c>
      <c r="D89" s="71"/>
      <c r="E89" s="72">
        <f t="shared" si="48"/>
        <v>164957688</v>
      </c>
      <c r="F89" s="73"/>
      <c r="G89" s="74">
        <f t="shared" ref="G89:G95" si="51">E89</f>
        <v>164957688</v>
      </c>
      <c r="H89" s="75"/>
      <c r="I89" s="76">
        <v>521795910</v>
      </c>
      <c r="J89" s="76">
        <v>500696548</v>
      </c>
      <c r="K89" s="76">
        <v>469458375</v>
      </c>
      <c r="L89" s="76">
        <v>434138675</v>
      </c>
      <c r="M89" s="76">
        <v>398818946</v>
      </c>
      <c r="N89" s="76">
        <v>363499256</v>
      </c>
      <c r="O89" s="76">
        <v>328236239</v>
      </c>
      <c r="P89" s="76">
        <v>292973176</v>
      </c>
      <c r="Q89" s="76">
        <v>258595743</v>
      </c>
      <c r="R89" s="76">
        <v>226998367</v>
      </c>
      <c r="S89" s="76">
        <v>197412373</v>
      </c>
      <c r="T89" s="76">
        <v>164957688</v>
      </c>
      <c r="U89" s="34">
        <f t="shared" si="46"/>
        <v>1</v>
      </c>
      <c r="V89" s="69">
        <f t="shared" si="46"/>
        <v>87</v>
      </c>
      <c r="W89" s="70" t="s">
        <v>99</v>
      </c>
      <c r="X89" s="71"/>
      <c r="Y89" s="72">
        <f t="shared" si="49"/>
        <v>555676904</v>
      </c>
      <c r="Z89" s="73"/>
      <c r="AA89" s="74">
        <f t="shared" si="50"/>
        <v>555676904</v>
      </c>
      <c r="AB89" s="75"/>
      <c r="AC89" s="76">
        <v>91089208</v>
      </c>
      <c r="AD89" s="76">
        <v>86837788</v>
      </c>
      <c r="AE89" s="76">
        <v>85571514</v>
      </c>
      <c r="AF89" s="76">
        <v>83227924</v>
      </c>
      <c r="AG89" s="76">
        <v>799989888</v>
      </c>
      <c r="AH89" s="76">
        <v>767738903</v>
      </c>
      <c r="AI89" s="76">
        <v>731991816</v>
      </c>
      <c r="AJ89" s="76">
        <v>698369970</v>
      </c>
      <c r="AK89" s="76">
        <v>662617103</v>
      </c>
      <c r="AL89" s="76">
        <v>626937298</v>
      </c>
      <c r="AM89" s="76">
        <v>591257454</v>
      </c>
      <c r="AN89" s="76">
        <v>555676904</v>
      </c>
    </row>
    <row r="90" spans="1:40" s="43" customFormat="1" ht="13.5" outlineLevel="1" x14ac:dyDescent="0.15">
      <c r="A90" s="34">
        <v>1</v>
      </c>
      <c r="B90" s="85">
        <f t="shared" si="44"/>
        <v>88</v>
      </c>
      <c r="C90" s="70" t="s">
        <v>100</v>
      </c>
      <c r="D90" s="71"/>
      <c r="E90" s="72">
        <f t="shared" si="48"/>
        <v>4075474103</v>
      </c>
      <c r="F90" s="73"/>
      <c r="G90" s="74">
        <f t="shared" si="51"/>
        <v>4075474103</v>
      </c>
      <c r="H90" s="75"/>
      <c r="I90" s="76">
        <v>3501617599</v>
      </c>
      <c r="J90" s="76">
        <v>3424101077</v>
      </c>
      <c r="K90" s="76">
        <v>3633422553</v>
      </c>
      <c r="L90" s="76">
        <v>3588978548</v>
      </c>
      <c r="M90" s="76">
        <v>3570013988</v>
      </c>
      <c r="N90" s="76">
        <v>3506951688</v>
      </c>
      <c r="O90" s="76">
        <v>3417613390</v>
      </c>
      <c r="P90" s="76">
        <v>3390162327</v>
      </c>
      <c r="Q90" s="76">
        <v>3440808439</v>
      </c>
      <c r="R90" s="76">
        <v>3939307903</v>
      </c>
      <c r="S90" s="76">
        <v>3825479104</v>
      </c>
      <c r="T90" s="76">
        <v>4075474103</v>
      </c>
      <c r="U90" s="34">
        <f t="shared" si="46"/>
        <v>1</v>
      </c>
      <c r="V90" s="69">
        <f t="shared" si="46"/>
        <v>88</v>
      </c>
      <c r="W90" s="70" t="s">
        <v>100</v>
      </c>
      <c r="X90" s="71"/>
      <c r="Y90" s="72">
        <f t="shared" si="49"/>
        <v>3401774123</v>
      </c>
      <c r="Z90" s="73"/>
      <c r="AA90" s="74">
        <f t="shared" si="50"/>
        <v>3401774123</v>
      </c>
      <c r="AB90" s="75"/>
      <c r="AC90" s="76">
        <v>2749397369</v>
      </c>
      <c r="AD90" s="76">
        <v>2725168858</v>
      </c>
      <c r="AE90" s="76">
        <v>2952540343</v>
      </c>
      <c r="AF90" s="76">
        <v>2897111829</v>
      </c>
      <c r="AG90" s="76">
        <v>2865588150</v>
      </c>
      <c r="AH90" s="76">
        <v>2898778912</v>
      </c>
      <c r="AI90" s="76">
        <v>2821969674</v>
      </c>
      <c r="AJ90" s="76">
        <v>3136728551</v>
      </c>
      <c r="AK90" s="76">
        <v>3231105358</v>
      </c>
      <c r="AL90" s="76">
        <v>3144526335</v>
      </c>
      <c r="AM90" s="76">
        <v>3067780647</v>
      </c>
      <c r="AN90" s="76">
        <v>3401774123</v>
      </c>
    </row>
    <row r="91" spans="1:40" s="43" customFormat="1" ht="13.5" outlineLevel="1" x14ac:dyDescent="0.15">
      <c r="A91" s="34">
        <v>1</v>
      </c>
      <c r="B91" s="85">
        <f t="shared" si="44"/>
        <v>89</v>
      </c>
      <c r="C91" s="70" t="s">
        <v>101</v>
      </c>
      <c r="D91" s="71"/>
      <c r="E91" s="72">
        <f t="shared" si="48"/>
        <v>0</v>
      </c>
      <c r="F91" s="73"/>
      <c r="G91" s="74">
        <f t="shared" si="51"/>
        <v>0</v>
      </c>
      <c r="H91" s="75"/>
      <c r="I91" s="76">
        <v>0</v>
      </c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34">
        <f t="shared" si="46"/>
        <v>1</v>
      </c>
      <c r="V91" s="69">
        <f t="shared" si="46"/>
        <v>89</v>
      </c>
      <c r="W91" s="70" t="s">
        <v>101</v>
      </c>
      <c r="X91" s="71"/>
      <c r="Y91" s="72">
        <f t="shared" si="49"/>
        <v>0</v>
      </c>
      <c r="Z91" s="73"/>
      <c r="AA91" s="74">
        <f t="shared" si="50"/>
        <v>0</v>
      </c>
      <c r="AB91" s="75"/>
      <c r="AC91" s="76"/>
      <c r="AD91" s="76"/>
      <c r="AE91" s="76"/>
      <c r="AF91" s="76"/>
      <c r="AG91" s="76"/>
      <c r="AH91" s="76"/>
      <c r="AI91" s="76"/>
      <c r="AJ91" s="76"/>
      <c r="AK91" s="76"/>
      <c r="AL91" s="76"/>
      <c r="AM91" s="76"/>
      <c r="AN91" s="76"/>
    </row>
    <row r="92" spans="1:40" s="43" customFormat="1" ht="13.5" outlineLevel="1" x14ac:dyDescent="0.15">
      <c r="A92" s="34">
        <v>1</v>
      </c>
      <c r="B92" s="85">
        <f t="shared" si="44"/>
        <v>90</v>
      </c>
      <c r="C92" s="70" t="s">
        <v>102</v>
      </c>
      <c r="D92" s="71"/>
      <c r="E92" s="72">
        <f t="shared" si="48"/>
        <v>1299558125</v>
      </c>
      <c r="F92" s="73"/>
      <c r="G92" s="74">
        <f t="shared" si="51"/>
        <v>1299558125</v>
      </c>
      <c r="H92" s="75"/>
      <c r="I92" s="76">
        <v>493538125</v>
      </c>
      <c r="J92" s="76">
        <v>493538125</v>
      </c>
      <c r="K92" s="76">
        <v>493538125</v>
      </c>
      <c r="L92" s="76">
        <v>493538125</v>
      </c>
      <c r="M92" s="76">
        <v>493538125</v>
      </c>
      <c r="N92" s="76">
        <v>493538125</v>
      </c>
      <c r="O92" s="76">
        <v>493538125</v>
      </c>
      <c r="P92" s="76">
        <v>493538125</v>
      </c>
      <c r="Q92" s="76">
        <v>493538125</v>
      </c>
      <c r="R92" s="76">
        <v>493538125</v>
      </c>
      <c r="S92" s="76">
        <v>493538125</v>
      </c>
      <c r="T92" s="76">
        <v>1299558125</v>
      </c>
      <c r="U92" s="34">
        <f t="shared" si="46"/>
        <v>1</v>
      </c>
      <c r="V92" s="69">
        <f t="shared" si="46"/>
        <v>90</v>
      </c>
      <c r="W92" s="70" t="s">
        <v>102</v>
      </c>
      <c r="X92" s="71"/>
      <c r="Y92" s="72">
        <f t="shared" si="49"/>
        <v>493538125</v>
      </c>
      <c r="Z92" s="73"/>
      <c r="AA92" s="74">
        <f t="shared" si="50"/>
        <v>493538125</v>
      </c>
      <c r="AB92" s="75"/>
      <c r="AC92" s="76">
        <v>493538125</v>
      </c>
      <c r="AD92" s="76">
        <v>493538125</v>
      </c>
      <c r="AE92" s="76">
        <v>493538125</v>
      </c>
      <c r="AF92" s="76">
        <v>493538125</v>
      </c>
      <c r="AG92" s="76">
        <v>493538125</v>
      </c>
      <c r="AH92" s="76">
        <v>493538125</v>
      </c>
      <c r="AI92" s="76">
        <v>493538125</v>
      </c>
      <c r="AJ92" s="76">
        <v>493538125</v>
      </c>
      <c r="AK92" s="76">
        <v>493538125</v>
      </c>
      <c r="AL92" s="76">
        <v>493538125</v>
      </c>
      <c r="AM92" s="76">
        <v>493538125</v>
      </c>
      <c r="AN92" s="76">
        <v>493538125</v>
      </c>
    </row>
    <row r="93" spans="1:40" s="43" customFormat="1" ht="13.5" outlineLevel="1" x14ac:dyDescent="0.15">
      <c r="A93" s="34">
        <v>1</v>
      </c>
      <c r="B93" s="85">
        <f t="shared" si="44"/>
        <v>91</v>
      </c>
      <c r="C93" s="70" t="s">
        <v>103</v>
      </c>
      <c r="D93" s="71"/>
      <c r="E93" s="72">
        <f t="shared" si="48"/>
        <v>0</v>
      </c>
      <c r="F93" s="73"/>
      <c r="G93" s="74">
        <f t="shared" si="51"/>
        <v>0</v>
      </c>
      <c r="H93" s="75"/>
      <c r="I93" s="76">
        <v>0</v>
      </c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34">
        <f t="shared" si="46"/>
        <v>1</v>
      </c>
      <c r="V93" s="69">
        <f t="shared" si="46"/>
        <v>91</v>
      </c>
      <c r="W93" s="70" t="s">
        <v>103</v>
      </c>
      <c r="X93" s="71"/>
      <c r="Y93" s="72">
        <f t="shared" si="49"/>
        <v>0</v>
      </c>
      <c r="Z93" s="73"/>
      <c r="AA93" s="74">
        <f t="shared" si="50"/>
        <v>0</v>
      </c>
      <c r="AB93" s="75"/>
      <c r="AC93" s="76"/>
      <c r="AD93" s="76"/>
      <c r="AE93" s="76"/>
      <c r="AF93" s="76"/>
      <c r="AG93" s="76"/>
      <c r="AH93" s="76"/>
      <c r="AI93" s="76"/>
      <c r="AJ93" s="76"/>
      <c r="AK93" s="76"/>
      <c r="AL93" s="76"/>
      <c r="AM93" s="76"/>
      <c r="AN93" s="76"/>
    </row>
    <row r="94" spans="1:40" s="43" customFormat="1" ht="13.5" outlineLevel="1" x14ac:dyDescent="0.15">
      <c r="A94" s="34">
        <v>1</v>
      </c>
      <c r="B94" s="85">
        <f t="shared" si="44"/>
        <v>92</v>
      </c>
      <c r="C94" s="140" t="s">
        <v>104</v>
      </c>
      <c r="D94" s="141"/>
      <c r="E94" s="118">
        <f t="shared" si="48"/>
        <v>341230848</v>
      </c>
      <c r="F94" s="142"/>
      <c r="G94" s="143">
        <f t="shared" si="51"/>
        <v>341230848</v>
      </c>
      <c r="H94" s="83"/>
      <c r="I94" s="84">
        <v>909383612</v>
      </c>
      <c r="J94" s="84">
        <v>934777795</v>
      </c>
      <c r="K94" s="84">
        <f>937139155+21000000</f>
        <v>958139155</v>
      </c>
      <c r="L94" s="84">
        <v>986139155</v>
      </c>
      <c r="M94" s="84">
        <v>966451155</v>
      </c>
      <c r="N94" s="84">
        <v>1024488655</v>
      </c>
      <c r="O94" s="84">
        <v>1024488655</v>
      </c>
      <c r="P94" s="84">
        <v>1031488655</v>
      </c>
      <c r="Q94" s="84">
        <v>1007926655</v>
      </c>
      <c r="R94" s="84">
        <v>435592568</v>
      </c>
      <c r="S94" s="84">
        <v>570848088</v>
      </c>
      <c r="T94" s="84">
        <v>341230848</v>
      </c>
      <c r="U94" s="34">
        <f t="shared" si="46"/>
        <v>1</v>
      </c>
      <c r="V94" s="144">
        <f t="shared" si="46"/>
        <v>92</v>
      </c>
      <c r="W94" s="140" t="s">
        <v>95</v>
      </c>
      <c r="X94" s="141"/>
      <c r="Y94" s="118">
        <f t="shared" si="49"/>
        <v>1045069112</v>
      </c>
      <c r="Z94" s="142"/>
      <c r="AA94" s="143">
        <f t="shared" si="50"/>
        <v>1045069112</v>
      </c>
      <c r="AB94" s="83"/>
      <c r="AC94" s="84">
        <v>41175000</v>
      </c>
      <c r="AD94" s="84">
        <v>106315000</v>
      </c>
      <c r="AE94" s="84">
        <v>106521000</v>
      </c>
      <c r="AF94" s="84">
        <v>106521000</v>
      </c>
      <c r="AG94" s="84">
        <v>176786000</v>
      </c>
      <c r="AH94" s="84">
        <v>400054679</v>
      </c>
      <c r="AI94" s="84">
        <v>483054679</v>
      </c>
      <c r="AJ94" s="84">
        <v>718957315</v>
      </c>
      <c r="AK94" s="84">
        <v>795820167</v>
      </c>
      <c r="AL94" s="84">
        <v>914262167</v>
      </c>
      <c r="AM94" s="84">
        <v>1071786717</v>
      </c>
      <c r="AN94" s="84">
        <v>1045069112</v>
      </c>
    </row>
    <row r="95" spans="1:40" s="43" customFormat="1" ht="13.5" x14ac:dyDescent="0.15">
      <c r="A95" s="34">
        <v>1</v>
      </c>
      <c r="B95" s="85">
        <f t="shared" si="44"/>
        <v>93</v>
      </c>
      <c r="C95" s="54" t="s">
        <v>105</v>
      </c>
      <c r="D95" s="55"/>
      <c r="E95" s="56">
        <f t="shared" si="48"/>
        <v>5727195973</v>
      </c>
      <c r="F95" s="57"/>
      <c r="G95" s="58">
        <f t="shared" si="51"/>
        <v>5727195973</v>
      </c>
      <c r="H95" s="59"/>
      <c r="I95" s="120">
        <v>5084854320</v>
      </c>
      <c r="J95" s="120">
        <v>5084854320</v>
      </c>
      <c r="K95" s="120">
        <v>5182181220</v>
      </c>
      <c r="L95" s="120">
        <v>5182181220</v>
      </c>
      <c r="M95" s="120">
        <v>5182181220</v>
      </c>
      <c r="N95" s="145">
        <v>5713502762</v>
      </c>
      <c r="O95" s="120">
        <v>5713502762</v>
      </c>
      <c r="P95" s="120">
        <v>5713502762</v>
      </c>
      <c r="Q95" s="120">
        <v>5727195973</v>
      </c>
      <c r="R95" s="120">
        <v>5727195973</v>
      </c>
      <c r="S95" s="120">
        <v>5727195973</v>
      </c>
      <c r="T95" s="120">
        <v>5727195973</v>
      </c>
      <c r="U95" s="34">
        <f t="shared" si="46"/>
        <v>1</v>
      </c>
      <c r="V95" s="53">
        <f t="shared" si="46"/>
        <v>93</v>
      </c>
      <c r="W95" s="54" t="s">
        <v>105</v>
      </c>
      <c r="X95" s="55"/>
      <c r="Y95" s="56">
        <f t="shared" si="49"/>
        <v>5084854320</v>
      </c>
      <c r="Z95" s="57"/>
      <c r="AA95" s="58">
        <f>Y95</f>
        <v>5084854320</v>
      </c>
      <c r="AB95" s="59"/>
      <c r="AC95" s="120">
        <v>4024563096</v>
      </c>
      <c r="AD95" s="120">
        <v>4024563096</v>
      </c>
      <c r="AE95" s="120">
        <v>4024563096</v>
      </c>
      <c r="AF95" s="120">
        <v>4011606191</v>
      </c>
      <c r="AG95" s="120">
        <v>4011606191</v>
      </c>
      <c r="AH95" s="120">
        <v>4610806177</v>
      </c>
      <c r="AI95" s="120">
        <v>4610806177</v>
      </c>
      <c r="AJ95" s="120">
        <v>4610806177</v>
      </c>
      <c r="AK95" s="120">
        <v>4610806177</v>
      </c>
      <c r="AL95" s="120">
        <v>4610806177</v>
      </c>
      <c r="AM95" s="120">
        <v>4610806177</v>
      </c>
      <c r="AN95" s="120">
        <v>5084854320</v>
      </c>
    </row>
    <row r="96" spans="1:40" s="43" customFormat="1" ht="13.5" x14ac:dyDescent="0.15">
      <c r="A96" s="34">
        <v>1</v>
      </c>
      <c r="B96" s="85">
        <f t="shared" si="44"/>
        <v>94</v>
      </c>
      <c r="C96" s="54" t="s">
        <v>106</v>
      </c>
      <c r="D96" s="55"/>
      <c r="E96" s="56">
        <f>SUM(E97:E99)</f>
        <v>22656231</v>
      </c>
      <c r="F96" s="57"/>
      <c r="G96" s="58">
        <f>SUM(G97:G99)</f>
        <v>22656231</v>
      </c>
      <c r="H96" s="59"/>
      <c r="I96" s="60">
        <f>SUM(I97:I99)</f>
        <v>78796666</v>
      </c>
      <c r="J96" s="60">
        <f t="shared" ref="J96:S96" si="52">SUM(J97:J99)</f>
        <v>78796666</v>
      </c>
      <c r="K96" s="60">
        <f t="shared" si="52"/>
        <v>90528892</v>
      </c>
      <c r="L96" s="60">
        <f t="shared" si="52"/>
        <v>90528892</v>
      </c>
      <c r="M96" s="60">
        <f t="shared" si="52"/>
        <v>90528892</v>
      </c>
      <c r="N96" s="60">
        <f t="shared" si="52"/>
        <v>73843897</v>
      </c>
      <c r="O96" s="60">
        <f t="shared" si="52"/>
        <v>73843897</v>
      </c>
      <c r="P96" s="60">
        <f t="shared" si="52"/>
        <v>73843897</v>
      </c>
      <c r="Q96" s="60">
        <f t="shared" si="52"/>
        <v>61926634</v>
      </c>
      <c r="R96" s="60">
        <f t="shared" si="52"/>
        <v>61926634</v>
      </c>
      <c r="S96" s="60">
        <f t="shared" si="52"/>
        <v>61926634</v>
      </c>
      <c r="T96" s="60">
        <f>SUM(T97:T99)</f>
        <v>22656231</v>
      </c>
      <c r="U96" s="34">
        <f t="shared" si="46"/>
        <v>1</v>
      </c>
      <c r="V96" s="53">
        <f t="shared" si="46"/>
        <v>94</v>
      </c>
      <c r="W96" s="54" t="s">
        <v>106</v>
      </c>
      <c r="X96" s="55"/>
      <c r="Y96" s="56">
        <f t="shared" si="49"/>
        <v>78796666</v>
      </c>
      <c r="Z96" s="57"/>
      <c r="AA96" s="58">
        <f>SUM(AA97:AA99)</f>
        <v>78796666</v>
      </c>
      <c r="AB96" s="59"/>
      <c r="AC96" s="60">
        <f>SUM(AC97:AC99)</f>
        <v>57697691</v>
      </c>
      <c r="AD96" s="60">
        <f t="shared" ref="AD96:AM96" si="53">SUM(AD97:AD99)</f>
        <v>57697691</v>
      </c>
      <c r="AE96" s="60">
        <f t="shared" si="53"/>
        <v>37862626</v>
      </c>
      <c r="AF96" s="60">
        <f t="shared" si="53"/>
        <v>37862626</v>
      </c>
      <c r="AG96" s="60">
        <f t="shared" si="53"/>
        <v>37862626</v>
      </c>
      <c r="AH96" s="60">
        <f t="shared" si="53"/>
        <v>19071586</v>
      </c>
      <c r="AI96" s="60">
        <f t="shared" si="53"/>
        <v>19071586</v>
      </c>
      <c r="AJ96" s="60">
        <f t="shared" si="53"/>
        <v>19071586</v>
      </c>
      <c r="AK96" s="60">
        <f t="shared" si="53"/>
        <v>0</v>
      </c>
      <c r="AL96" s="60">
        <f t="shared" si="53"/>
        <v>0</v>
      </c>
      <c r="AM96" s="60">
        <f t="shared" si="53"/>
        <v>0</v>
      </c>
      <c r="AN96" s="60">
        <f>SUM(AN97:AN99)</f>
        <v>78796666</v>
      </c>
    </row>
    <row r="97" spans="1:43" s="43" customFormat="1" ht="13.5" outlineLevel="1" x14ac:dyDescent="0.15">
      <c r="A97" s="34">
        <v>1</v>
      </c>
      <c r="B97" s="85">
        <f t="shared" si="44"/>
        <v>95</v>
      </c>
      <c r="C97" s="146" t="s">
        <v>107</v>
      </c>
      <c r="D97" s="147"/>
      <c r="E97" s="113">
        <f>HLOOKUP($A$1,$I$3:$T$365,B97,0)</f>
        <v>0</v>
      </c>
      <c r="F97" s="148"/>
      <c r="G97" s="149">
        <f>E97</f>
        <v>0</v>
      </c>
      <c r="H97" s="67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34">
        <f t="shared" si="46"/>
        <v>1</v>
      </c>
      <c r="V97" s="150">
        <f t="shared" si="46"/>
        <v>95</v>
      </c>
      <c r="W97" s="146" t="s">
        <v>107</v>
      </c>
      <c r="X97" s="147"/>
      <c r="Y97" s="113">
        <f t="shared" si="49"/>
        <v>0</v>
      </c>
      <c r="Z97" s="148"/>
      <c r="AA97" s="149">
        <f>Y97</f>
        <v>0</v>
      </c>
      <c r="AB97" s="67"/>
      <c r="AC97" s="76"/>
      <c r="AD97" s="76"/>
      <c r="AE97" s="76"/>
      <c r="AF97" s="76"/>
      <c r="AG97" s="76"/>
      <c r="AH97" s="76"/>
      <c r="AI97" s="76"/>
      <c r="AJ97" s="76"/>
      <c r="AK97" s="76"/>
      <c r="AL97" s="76"/>
      <c r="AM97" s="76"/>
      <c r="AN97" s="76"/>
    </row>
    <row r="98" spans="1:43" s="43" customFormat="1" ht="13.5" outlineLevel="1" x14ac:dyDescent="0.15">
      <c r="A98" s="34">
        <v>1</v>
      </c>
      <c r="B98" s="85">
        <f t="shared" si="44"/>
        <v>96</v>
      </c>
      <c r="C98" s="86" t="s">
        <v>108</v>
      </c>
      <c r="D98" s="110"/>
      <c r="E98" s="114">
        <f>HLOOKUP($A$1,$I$3:$T$365,B98,0)</f>
        <v>22656231</v>
      </c>
      <c r="F98" s="111"/>
      <c r="G98" s="112">
        <f>E98</f>
        <v>22656231</v>
      </c>
      <c r="H98" s="75"/>
      <c r="I98" s="76">
        <v>78796666</v>
      </c>
      <c r="J98" s="76">
        <v>78796666</v>
      </c>
      <c r="K98" s="76">
        <v>90528892</v>
      </c>
      <c r="L98" s="76">
        <v>90528892</v>
      </c>
      <c r="M98" s="76">
        <v>90528892</v>
      </c>
      <c r="N98" s="76">
        <v>73843897</v>
      </c>
      <c r="O98" s="76">
        <v>73843897</v>
      </c>
      <c r="P98" s="76">
        <v>73843897</v>
      </c>
      <c r="Q98" s="76">
        <v>61926634</v>
      </c>
      <c r="R98" s="76">
        <v>61926634</v>
      </c>
      <c r="S98" s="76">
        <v>61926634</v>
      </c>
      <c r="T98" s="76">
        <v>22656231</v>
      </c>
      <c r="U98" s="34">
        <f t="shared" si="46"/>
        <v>1</v>
      </c>
      <c r="V98" s="85">
        <f t="shared" si="46"/>
        <v>96</v>
      </c>
      <c r="W98" s="86" t="s">
        <v>108</v>
      </c>
      <c r="X98" s="110"/>
      <c r="Y98" s="114">
        <f t="shared" si="49"/>
        <v>78796666</v>
      </c>
      <c r="Z98" s="111"/>
      <c r="AA98" s="112">
        <f>Y98</f>
        <v>78796666</v>
      </c>
      <c r="AB98" s="75"/>
      <c r="AC98" s="76">
        <v>57697691</v>
      </c>
      <c r="AD98" s="76">
        <v>57697691</v>
      </c>
      <c r="AE98" s="76">
        <v>37862626</v>
      </c>
      <c r="AF98" s="76">
        <v>37862626</v>
      </c>
      <c r="AG98" s="76">
        <v>37862626</v>
      </c>
      <c r="AH98" s="76">
        <v>19071586</v>
      </c>
      <c r="AI98" s="76">
        <v>19071586</v>
      </c>
      <c r="AJ98" s="76">
        <v>19071586</v>
      </c>
      <c r="AK98" s="76">
        <v>0</v>
      </c>
      <c r="AL98" s="76">
        <v>0</v>
      </c>
      <c r="AM98" s="76">
        <v>0</v>
      </c>
      <c r="AN98" s="76">
        <v>78796666</v>
      </c>
    </row>
    <row r="99" spans="1:43" s="43" customFormat="1" ht="13.5" outlineLevel="1" x14ac:dyDescent="0.15">
      <c r="A99" s="34">
        <v>1</v>
      </c>
      <c r="B99" s="85">
        <f t="shared" si="44"/>
        <v>97</v>
      </c>
      <c r="C99" s="140" t="s">
        <v>109</v>
      </c>
      <c r="D99" s="141"/>
      <c r="E99" s="118">
        <f>HLOOKUP($A$1,$I$3:$T$365,B99,0)</f>
        <v>0</v>
      </c>
      <c r="F99" s="142"/>
      <c r="G99" s="143">
        <f>E99</f>
        <v>0</v>
      </c>
      <c r="H99" s="83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34">
        <f t="shared" si="46"/>
        <v>1</v>
      </c>
      <c r="V99" s="144">
        <f t="shared" si="46"/>
        <v>97</v>
      </c>
      <c r="W99" s="140" t="s">
        <v>109</v>
      </c>
      <c r="X99" s="141"/>
      <c r="Y99" s="118">
        <f t="shared" si="49"/>
        <v>0</v>
      </c>
      <c r="Z99" s="142"/>
      <c r="AA99" s="143">
        <f>Y99</f>
        <v>0</v>
      </c>
      <c r="AB99" s="83"/>
      <c r="AC99" s="76"/>
      <c r="AD99" s="76"/>
      <c r="AE99" s="76"/>
      <c r="AF99" s="76"/>
      <c r="AG99" s="76"/>
      <c r="AH99" s="76"/>
      <c r="AI99" s="76"/>
      <c r="AJ99" s="76"/>
      <c r="AK99" s="76"/>
      <c r="AL99" s="76"/>
      <c r="AM99" s="76"/>
      <c r="AN99" s="76"/>
    </row>
    <row r="100" spans="1:43" s="158" customFormat="1" ht="13.5" x14ac:dyDescent="0.15">
      <c r="A100" s="34">
        <v>1</v>
      </c>
      <c r="B100" s="85">
        <f t="shared" si="44"/>
        <v>98</v>
      </c>
      <c r="C100" s="151" t="s">
        <v>110</v>
      </c>
      <c r="D100" s="152"/>
      <c r="E100" s="153">
        <f>E5+E46</f>
        <v>644267037484</v>
      </c>
      <c r="F100" s="154"/>
      <c r="G100" s="155">
        <f>G5+G46</f>
        <v>644267037484</v>
      </c>
      <c r="H100" s="156"/>
      <c r="I100" s="153">
        <f t="shared" ref="I100:T100" si="54">I5+I46</f>
        <v>557133602629</v>
      </c>
      <c r="J100" s="153">
        <f t="shared" si="54"/>
        <v>559767378497</v>
      </c>
      <c r="K100" s="153">
        <f t="shared" si="54"/>
        <v>573363685155.65149</v>
      </c>
      <c r="L100" s="153">
        <f t="shared" si="54"/>
        <v>573765854474</v>
      </c>
      <c r="M100" s="153">
        <f t="shared" si="54"/>
        <v>582698977176</v>
      </c>
      <c r="N100" s="153">
        <f t="shared" si="54"/>
        <v>596053511689</v>
      </c>
      <c r="O100" s="153">
        <f t="shared" si="54"/>
        <v>598116118452</v>
      </c>
      <c r="P100" s="153">
        <f t="shared" si="54"/>
        <v>601415305385</v>
      </c>
      <c r="Q100" s="153">
        <f t="shared" si="54"/>
        <v>608972933744</v>
      </c>
      <c r="R100" s="153">
        <f t="shared" si="54"/>
        <v>618024813550</v>
      </c>
      <c r="S100" s="153">
        <f t="shared" si="54"/>
        <v>629848145949</v>
      </c>
      <c r="T100" s="153">
        <f t="shared" si="54"/>
        <v>644267037484</v>
      </c>
      <c r="U100" s="34">
        <f t="shared" si="46"/>
        <v>1</v>
      </c>
      <c r="V100" s="157">
        <f t="shared" si="46"/>
        <v>98</v>
      </c>
      <c r="W100" s="151" t="s">
        <v>110</v>
      </c>
      <c r="X100" s="152"/>
      <c r="Y100" s="153">
        <f>Y5+Y46</f>
        <v>555055569418</v>
      </c>
      <c r="Z100" s="154"/>
      <c r="AA100" s="155">
        <f>AA5+AA46</f>
        <v>555055569418</v>
      </c>
      <c r="AB100" s="156"/>
      <c r="AC100" s="153">
        <f t="shared" ref="AC100:AN100" si="55">AC5+AC46</f>
        <v>484153195523</v>
      </c>
      <c r="AD100" s="153">
        <f t="shared" si="55"/>
        <v>482920491327</v>
      </c>
      <c r="AE100" s="153">
        <f t="shared" si="55"/>
        <v>488931968717</v>
      </c>
      <c r="AF100" s="153">
        <f t="shared" si="55"/>
        <v>483184530954</v>
      </c>
      <c r="AG100" s="153">
        <f t="shared" si="55"/>
        <v>483611351143</v>
      </c>
      <c r="AH100" s="153">
        <f t="shared" si="55"/>
        <v>493156185407</v>
      </c>
      <c r="AI100" s="153">
        <f t="shared" si="55"/>
        <v>486515203846</v>
      </c>
      <c r="AJ100" s="153">
        <f t="shared" si="55"/>
        <v>533059775991</v>
      </c>
      <c r="AK100" s="153">
        <f t="shared" si="55"/>
        <v>540758128777</v>
      </c>
      <c r="AL100" s="153">
        <f t="shared" si="55"/>
        <v>539281234942</v>
      </c>
      <c r="AM100" s="153">
        <f t="shared" si="55"/>
        <v>545294370638</v>
      </c>
      <c r="AN100" s="153">
        <f t="shared" si="55"/>
        <v>555055569418</v>
      </c>
      <c r="AQ100" s="52"/>
    </row>
    <row r="101" spans="1:43" s="43" customFormat="1" ht="13.5" outlineLevel="1" x14ac:dyDescent="0.15">
      <c r="A101" s="34">
        <v>1</v>
      </c>
      <c r="B101" s="85">
        <f t="shared" si="44"/>
        <v>99</v>
      </c>
      <c r="C101" s="36" t="s">
        <v>111</v>
      </c>
      <c r="D101" s="37"/>
      <c r="E101" s="38"/>
      <c r="F101" s="39"/>
      <c r="G101" s="40"/>
      <c r="H101" s="41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34">
        <f t="shared" si="46"/>
        <v>1</v>
      </c>
      <c r="V101" s="35">
        <f t="shared" si="46"/>
        <v>99</v>
      </c>
      <c r="W101" s="36" t="s">
        <v>111</v>
      </c>
      <c r="X101" s="37"/>
      <c r="Y101" s="38"/>
      <c r="Z101" s="39"/>
      <c r="AA101" s="40"/>
      <c r="AB101" s="41"/>
      <c r="AC101" s="42"/>
      <c r="AD101" s="42"/>
      <c r="AE101" s="42"/>
      <c r="AF101" s="42"/>
      <c r="AG101" s="42"/>
      <c r="AH101" s="42"/>
      <c r="AI101" s="42"/>
      <c r="AJ101" s="42"/>
      <c r="AK101" s="42"/>
      <c r="AL101" s="42"/>
      <c r="AM101" s="42"/>
      <c r="AN101" s="42"/>
    </row>
    <row r="102" spans="1:43" s="52" customFormat="1" ht="13.5" x14ac:dyDescent="0.15">
      <c r="A102" s="34">
        <v>1</v>
      </c>
      <c r="B102" s="85">
        <f t="shared" si="44"/>
        <v>100</v>
      </c>
      <c r="C102" s="121" t="s">
        <v>112</v>
      </c>
      <c r="D102" s="122"/>
      <c r="E102" s="123">
        <f>E103+E106+E123+E124</f>
        <v>322349981996</v>
      </c>
      <c r="F102" s="124"/>
      <c r="G102" s="125">
        <f>G103+G106+G123+G124</f>
        <v>322349981996</v>
      </c>
      <c r="H102" s="126"/>
      <c r="I102" s="123">
        <f t="shared" ref="I102:T102" si="56">I103+I106+I123+I124</f>
        <v>259436652531</v>
      </c>
      <c r="J102" s="123">
        <f t="shared" si="56"/>
        <v>260506169984</v>
      </c>
      <c r="K102" s="123">
        <f t="shared" si="56"/>
        <v>272481773347</v>
      </c>
      <c r="L102" s="123">
        <f t="shared" si="56"/>
        <v>269452736561</v>
      </c>
      <c r="M102" s="123">
        <f t="shared" si="56"/>
        <v>275174347159</v>
      </c>
      <c r="N102" s="123">
        <f t="shared" si="56"/>
        <v>290622383059</v>
      </c>
      <c r="O102" s="123">
        <f t="shared" si="56"/>
        <v>290025552734</v>
      </c>
      <c r="P102" s="123">
        <f t="shared" si="56"/>
        <v>292502470899</v>
      </c>
      <c r="Q102" s="123">
        <f t="shared" si="56"/>
        <v>305406581932</v>
      </c>
      <c r="R102" s="123">
        <f t="shared" si="56"/>
        <v>313736967978</v>
      </c>
      <c r="S102" s="123">
        <f t="shared" si="56"/>
        <v>321675819973</v>
      </c>
      <c r="T102" s="123">
        <f t="shared" si="56"/>
        <v>322349981996</v>
      </c>
      <c r="U102" s="34">
        <f t="shared" si="46"/>
        <v>1</v>
      </c>
      <c r="V102" s="127">
        <f t="shared" si="46"/>
        <v>100</v>
      </c>
      <c r="W102" s="121" t="s">
        <v>112</v>
      </c>
      <c r="X102" s="122"/>
      <c r="Y102" s="123">
        <f>Y103+Y106+Y123+Y124</f>
        <v>258697411861</v>
      </c>
      <c r="Z102" s="124"/>
      <c r="AA102" s="125">
        <f>AA103+AA106+AA123+AA124</f>
        <v>258697411861</v>
      </c>
      <c r="AB102" s="126"/>
      <c r="AC102" s="123">
        <f t="shared" ref="AC102:AN102" si="57">AC103+AC106+AC123+AC124</f>
        <v>213647640338</v>
      </c>
      <c r="AD102" s="123">
        <f t="shared" si="57"/>
        <v>211917080067</v>
      </c>
      <c r="AE102" s="123">
        <f t="shared" si="57"/>
        <v>218583975003</v>
      </c>
      <c r="AF102" s="123">
        <f t="shared" si="57"/>
        <v>215439816664</v>
      </c>
      <c r="AG102" s="123">
        <f t="shared" si="57"/>
        <v>214943660553</v>
      </c>
      <c r="AH102" s="123">
        <f t="shared" si="57"/>
        <v>220138030098</v>
      </c>
      <c r="AI102" s="123">
        <f t="shared" si="57"/>
        <v>213303656862</v>
      </c>
      <c r="AJ102" s="123">
        <f t="shared" si="57"/>
        <v>257867105433</v>
      </c>
      <c r="AK102" s="123">
        <f t="shared" si="57"/>
        <v>252672427458</v>
      </c>
      <c r="AL102" s="123">
        <f t="shared" si="57"/>
        <v>249489787007</v>
      </c>
      <c r="AM102" s="123">
        <f t="shared" si="57"/>
        <v>255138912325</v>
      </c>
      <c r="AN102" s="123">
        <f t="shared" si="57"/>
        <v>258697411861</v>
      </c>
    </row>
    <row r="103" spans="1:43" s="43" customFormat="1" ht="13.5" x14ac:dyDescent="0.15">
      <c r="A103" s="34">
        <v>1</v>
      </c>
      <c r="B103" s="85">
        <f t="shared" si="44"/>
        <v>101</v>
      </c>
      <c r="C103" s="54" t="s">
        <v>113</v>
      </c>
      <c r="D103" s="55"/>
      <c r="E103" s="56">
        <f>SUM(E104:E105)</f>
        <v>16298712756</v>
      </c>
      <c r="F103" s="57"/>
      <c r="G103" s="58">
        <f>SUM(G104:G105)</f>
        <v>16298712756</v>
      </c>
      <c r="H103" s="59"/>
      <c r="I103" s="60">
        <f>SUM(I104:I105)</f>
        <v>8435299819</v>
      </c>
      <c r="J103" s="60">
        <f t="shared" ref="J103:S103" si="58">SUM(J104:J105)</f>
        <v>8589509730</v>
      </c>
      <c r="K103" s="60">
        <f t="shared" si="58"/>
        <v>13893011777</v>
      </c>
      <c r="L103" s="60">
        <f t="shared" si="58"/>
        <v>16078345316</v>
      </c>
      <c r="M103" s="60">
        <f>SUM(M104:M105)</f>
        <v>21103840484</v>
      </c>
      <c r="N103" s="60">
        <f t="shared" si="58"/>
        <v>10780907390</v>
      </c>
      <c r="O103" s="60">
        <f t="shared" si="58"/>
        <v>10885331209</v>
      </c>
      <c r="P103" s="60">
        <f t="shared" si="58"/>
        <v>12436803895</v>
      </c>
      <c r="Q103" s="60">
        <f t="shared" si="58"/>
        <v>10512890231</v>
      </c>
      <c r="R103" s="60">
        <f t="shared" si="58"/>
        <v>10777805007</v>
      </c>
      <c r="S103" s="60">
        <f t="shared" si="58"/>
        <v>14389090827</v>
      </c>
      <c r="T103" s="60">
        <f>SUM(T104:T105)</f>
        <v>16298712756</v>
      </c>
      <c r="U103" s="34">
        <f t="shared" si="46"/>
        <v>1</v>
      </c>
      <c r="V103" s="53">
        <f t="shared" si="46"/>
        <v>101</v>
      </c>
      <c r="W103" s="54" t="s">
        <v>113</v>
      </c>
      <c r="X103" s="55"/>
      <c r="Y103" s="56">
        <f>SUM(Y104:Y105)</f>
        <v>8344829455</v>
      </c>
      <c r="Z103" s="57"/>
      <c r="AA103" s="58">
        <f>SUM(AA104:AA105)</f>
        <v>8344829455</v>
      </c>
      <c r="AB103" s="59"/>
      <c r="AC103" s="60">
        <f>SUM(AC104:AC105)</f>
        <v>8231315500</v>
      </c>
      <c r="AD103" s="60">
        <f>SUM(AD104:AD105)</f>
        <v>7340511309</v>
      </c>
      <c r="AE103" s="60">
        <f>SUM(AE104:AE105)</f>
        <v>10148387636</v>
      </c>
      <c r="AF103" s="60">
        <f>SUM(AF104:AF105)</f>
        <v>9376719169</v>
      </c>
      <c r="AG103" s="60">
        <f>SUM(AG104:AG105)</f>
        <v>7963881791</v>
      </c>
      <c r="AH103" s="60">
        <f t="shared" ref="AH103:AM103" si="59">SUM(AH104:AH105)</f>
        <v>9815149711</v>
      </c>
      <c r="AI103" s="60">
        <f t="shared" si="59"/>
        <v>7016068285</v>
      </c>
      <c r="AJ103" s="60">
        <f t="shared" si="59"/>
        <v>7244566066</v>
      </c>
      <c r="AK103" s="60">
        <f t="shared" si="59"/>
        <v>6780729750</v>
      </c>
      <c r="AL103" s="60">
        <f t="shared" si="59"/>
        <v>6242313911</v>
      </c>
      <c r="AM103" s="60">
        <f t="shared" si="59"/>
        <v>8908354106</v>
      </c>
      <c r="AN103" s="60">
        <f>SUM(AN104:AN105)</f>
        <v>8344829455</v>
      </c>
    </row>
    <row r="104" spans="1:43" s="43" customFormat="1" ht="13.5" outlineLevel="1" x14ac:dyDescent="0.15">
      <c r="A104" s="34">
        <v>1</v>
      </c>
      <c r="B104" s="85">
        <f t="shared" si="44"/>
        <v>102</v>
      </c>
      <c r="C104" s="70" t="s">
        <v>114</v>
      </c>
      <c r="D104" s="147"/>
      <c r="E104" s="113">
        <f>HLOOKUP($A$1,$I$3:$T$365,B104,0)</f>
        <v>8083518639</v>
      </c>
      <c r="F104" s="148"/>
      <c r="G104" s="74">
        <f>E104</f>
        <v>8083518639</v>
      </c>
      <c r="H104" s="75"/>
      <c r="I104" s="76">
        <v>4986518549</v>
      </c>
      <c r="J104" s="76">
        <v>5451985593</v>
      </c>
      <c r="K104" s="76">
        <v>10679493865</v>
      </c>
      <c r="L104" s="76">
        <v>12481390295</v>
      </c>
      <c r="M104" s="76">
        <v>12849688582</v>
      </c>
      <c r="N104" s="98">
        <v>2576733311</v>
      </c>
      <c r="O104" s="76">
        <v>5480309229</v>
      </c>
      <c r="P104" s="76">
        <v>3566389305</v>
      </c>
      <c r="Q104" s="76">
        <v>3553547425</v>
      </c>
      <c r="R104" s="76">
        <v>4098856835</v>
      </c>
      <c r="S104" s="76">
        <v>3855798320</v>
      </c>
      <c r="T104" s="76">
        <v>8083518639</v>
      </c>
      <c r="U104" s="34">
        <f t="shared" si="46"/>
        <v>1</v>
      </c>
      <c r="V104" s="91">
        <f t="shared" si="46"/>
        <v>102</v>
      </c>
      <c r="W104" s="92" t="s">
        <v>115</v>
      </c>
      <c r="X104" s="93"/>
      <c r="Y104" s="159">
        <f>HLOOKUP($U$1,$AC$3:$AN$365,V104,0)</f>
        <v>4808987618</v>
      </c>
      <c r="Z104" s="87"/>
      <c r="AA104" s="94">
        <f>Y104</f>
        <v>4808987618</v>
      </c>
      <c r="AB104" s="88"/>
      <c r="AC104" s="89">
        <v>5760094744</v>
      </c>
      <c r="AD104" s="89">
        <v>4524564003</v>
      </c>
      <c r="AE104" s="89">
        <v>5585419490</v>
      </c>
      <c r="AF104" s="89">
        <v>6440958627</v>
      </c>
      <c r="AG104" s="89">
        <v>5023338086</v>
      </c>
      <c r="AH104" s="89">
        <v>5761033513</v>
      </c>
      <c r="AI104" s="89">
        <v>4864510217</v>
      </c>
      <c r="AJ104" s="89">
        <v>4093196509</v>
      </c>
      <c r="AK104" s="89">
        <v>4950767742</v>
      </c>
      <c r="AL104" s="89">
        <v>4187544293</v>
      </c>
      <c r="AM104" s="89">
        <v>5255453349</v>
      </c>
      <c r="AN104" s="89">
        <v>4808987618</v>
      </c>
    </row>
    <row r="105" spans="1:43" s="43" customFormat="1" ht="13.5" outlineLevel="1" x14ac:dyDescent="0.15">
      <c r="A105" s="34">
        <v>1</v>
      </c>
      <c r="B105" s="85">
        <f t="shared" si="44"/>
        <v>103</v>
      </c>
      <c r="C105" s="70" t="s">
        <v>116</v>
      </c>
      <c r="D105" s="141"/>
      <c r="E105" s="113">
        <f>HLOOKUP($A$1,$I$3:$T$365,B105,0)</f>
        <v>8215194117</v>
      </c>
      <c r="F105" s="148"/>
      <c r="G105" s="74">
        <f>E105</f>
        <v>8215194117</v>
      </c>
      <c r="H105" s="75"/>
      <c r="I105" s="76">
        <v>3448781270</v>
      </c>
      <c r="J105" s="76">
        <v>3137524137</v>
      </c>
      <c r="K105" s="76">
        <v>3213517912</v>
      </c>
      <c r="L105" s="76">
        <v>3596955021</v>
      </c>
      <c r="M105" s="76">
        <v>8254151902</v>
      </c>
      <c r="N105" s="76">
        <v>8204174079</v>
      </c>
      <c r="O105" s="76">
        <v>5405021980</v>
      </c>
      <c r="P105" s="76">
        <v>8870414590</v>
      </c>
      <c r="Q105" s="76">
        <v>6959342806</v>
      </c>
      <c r="R105" s="76">
        <v>6678948172</v>
      </c>
      <c r="S105" s="76">
        <v>10533292507</v>
      </c>
      <c r="T105" s="76">
        <v>8215194117</v>
      </c>
      <c r="U105" s="34">
        <f t="shared" si="46"/>
        <v>1</v>
      </c>
      <c r="V105" s="106">
        <f t="shared" si="46"/>
        <v>103</v>
      </c>
      <c r="W105" s="107" t="s">
        <v>117</v>
      </c>
      <c r="X105" s="108"/>
      <c r="Y105" s="160">
        <f>HLOOKUP($U$1,$AC$3:$AN$365,V105,0)</f>
        <v>3535841837</v>
      </c>
      <c r="Z105" s="103"/>
      <c r="AA105" s="109">
        <f>Y105</f>
        <v>3535841837</v>
      </c>
      <c r="AB105" s="104"/>
      <c r="AC105" s="105">
        <v>2471220756</v>
      </c>
      <c r="AD105" s="105">
        <v>2815947306</v>
      </c>
      <c r="AE105" s="105">
        <v>4562968146</v>
      </c>
      <c r="AF105" s="105">
        <v>2935760542</v>
      </c>
      <c r="AG105" s="105">
        <v>2940543705</v>
      </c>
      <c r="AH105" s="105">
        <v>4054116198</v>
      </c>
      <c r="AI105" s="105">
        <v>2151558068</v>
      </c>
      <c r="AJ105" s="105">
        <v>3151369557</v>
      </c>
      <c r="AK105" s="105">
        <v>1829962008</v>
      </c>
      <c r="AL105" s="105">
        <v>2054769618</v>
      </c>
      <c r="AM105" s="105">
        <v>3652900757</v>
      </c>
      <c r="AN105" s="105">
        <v>3535841837</v>
      </c>
    </row>
    <row r="106" spans="1:43" s="43" customFormat="1" ht="13.5" x14ac:dyDescent="0.15">
      <c r="A106" s="34">
        <v>1</v>
      </c>
      <c r="B106" s="85">
        <f t="shared" si="44"/>
        <v>104</v>
      </c>
      <c r="C106" s="54" t="s">
        <v>118</v>
      </c>
      <c r="D106" s="55"/>
      <c r="E106" s="56">
        <f>SUM(E107:E122)</f>
        <v>304005180966</v>
      </c>
      <c r="F106" s="57"/>
      <c r="G106" s="58">
        <f>SUM(G107:G122)</f>
        <v>304005180966</v>
      </c>
      <c r="H106" s="59"/>
      <c r="I106" s="60">
        <f t="shared" ref="I106:S106" si="60">SUM(I107:I122)</f>
        <v>247918685438</v>
      </c>
      <c r="J106" s="60">
        <f t="shared" si="60"/>
        <v>247743357477</v>
      </c>
      <c r="K106" s="60">
        <f t="shared" si="60"/>
        <v>255157361743</v>
      </c>
      <c r="L106" s="60">
        <f t="shared" si="60"/>
        <v>248865716650</v>
      </c>
      <c r="M106" s="60">
        <f t="shared" si="60"/>
        <v>248299386138</v>
      </c>
      <c r="N106" s="60">
        <f t="shared" si="60"/>
        <v>272558997797</v>
      </c>
      <c r="O106" s="60">
        <f t="shared" si="60"/>
        <v>271738513793</v>
      </c>
      <c r="P106" s="60">
        <f t="shared" si="60"/>
        <v>273464723617</v>
      </c>
      <c r="Q106" s="60">
        <f t="shared" si="60"/>
        <v>291980775541</v>
      </c>
      <c r="R106" s="60">
        <f>SUM(R107:R122)</f>
        <v>298717034763</v>
      </c>
      <c r="S106" s="60">
        <f t="shared" si="60"/>
        <v>302389960293</v>
      </c>
      <c r="T106" s="60">
        <f>SUM(T107:T122)</f>
        <v>304005180966</v>
      </c>
      <c r="U106" s="34">
        <f t="shared" si="46"/>
        <v>1</v>
      </c>
      <c r="V106" s="53">
        <f t="shared" si="46"/>
        <v>104</v>
      </c>
      <c r="W106" s="54" t="s">
        <v>118</v>
      </c>
      <c r="X106" s="55"/>
      <c r="Y106" s="56">
        <f>SUM(Y107:Y122)</f>
        <v>247962415712</v>
      </c>
      <c r="Z106" s="57"/>
      <c r="AA106" s="58">
        <f>SUM(AA107:AA122)</f>
        <v>247962415712</v>
      </c>
      <c r="AB106" s="59"/>
      <c r="AC106" s="60">
        <f t="shared" ref="AC106:AM106" si="61">SUM(AC107:AC122)</f>
        <v>203389507636</v>
      </c>
      <c r="AD106" s="60">
        <f t="shared" si="61"/>
        <v>202066472106</v>
      </c>
      <c r="AE106" s="60">
        <f t="shared" si="61"/>
        <v>205927190358</v>
      </c>
      <c r="AF106" s="60">
        <f t="shared" si="61"/>
        <v>204377278584</v>
      </c>
      <c r="AG106" s="60">
        <f t="shared" si="61"/>
        <v>204696392788</v>
      </c>
      <c r="AH106" s="60">
        <f t="shared" si="61"/>
        <v>208304486867</v>
      </c>
      <c r="AI106" s="60">
        <f t="shared" si="61"/>
        <v>203536732027</v>
      </c>
      <c r="AJ106" s="60">
        <f t="shared" si="61"/>
        <v>248352375304</v>
      </c>
      <c r="AK106" s="60">
        <f t="shared" si="61"/>
        <v>243755262947</v>
      </c>
      <c r="AL106" s="60">
        <f t="shared" si="61"/>
        <v>240456582651</v>
      </c>
      <c r="AM106" s="60">
        <f t="shared" si="61"/>
        <v>243049244096</v>
      </c>
      <c r="AN106" s="60">
        <f>SUM(AN107:AN122)</f>
        <v>247962415712</v>
      </c>
    </row>
    <row r="107" spans="1:43" s="43" customFormat="1" ht="13.5" outlineLevel="1" x14ac:dyDescent="0.15">
      <c r="A107" s="34">
        <v>1</v>
      </c>
      <c r="B107" s="85">
        <f t="shared" si="44"/>
        <v>105</v>
      </c>
      <c r="C107" s="70" t="s">
        <v>119</v>
      </c>
      <c r="D107" s="147"/>
      <c r="E107" s="113">
        <f t="shared" ref="E107:E123" si="62">HLOOKUP($A$1,$I$3:$T$365,B107,0)</f>
        <v>273120000000</v>
      </c>
      <c r="F107" s="148"/>
      <c r="G107" s="74">
        <f t="shared" ref="G107:G123" si="63">E107</f>
        <v>273120000000</v>
      </c>
      <c r="H107" s="75"/>
      <c r="I107" s="76">
        <v>217153000000</v>
      </c>
      <c r="J107" s="76">
        <v>215216000000</v>
      </c>
      <c r="K107" s="76">
        <v>215485000000</v>
      </c>
      <c r="L107" s="76">
        <v>215205000000</v>
      </c>
      <c r="M107" s="76">
        <v>214577000000</v>
      </c>
      <c r="N107" s="76">
        <v>258120000000</v>
      </c>
      <c r="O107" s="76">
        <v>258120000000</v>
      </c>
      <c r="P107" s="76">
        <v>258120000000</v>
      </c>
      <c r="Q107" s="76">
        <v>263120000000</v>
      </c>
      <c r="R107" s="76">
        <v>273120000000</v>
      </c>
      <c r="S107" s="76">
        <v>273120000000</v>
      </c>
      <c r="T107" s="76">
        <v>273120000000</v>
      </c>
      <c r="U107" s="34">
        <f t="shared" si="46"/>
        <v>1</v>
      </c>
      <c r="V107" s="61">
        <f t="shared" si="46"/>
        <v>105</v>
      </c>
      <c r="W107" s="92" t="s">
        <v>120</v>
      </c>
      <c r="X107" s="93"/>
      <c r="Y107" s="159">
        <f t="shared" ref="Y107:Y123" si="64">HLOOKUP($U$1,$AC$3:$AN$365,V107,0)</f>
        <v>215520000000</v>
      </c>
      <c r="Z107" s="87"/>
      <c r="AA107" s="94">
        <f t="shared" ref="AA107:AA123" si="65">Y107</f>
        <v>215520000000</v>
      </c>
      <c r="AB107" s="88"/>
      <c r="AC107" s="89">
        <v>115745000000</v>
      </c>
      <c r="AD107" s="89">
        <v>115620000000</v>
      </c>
      <c r="AE107" s="89">
        <v>115620000000</v>
      </c>
      <c r="AF107" s="89">
        <v>135820000000</v>
      </c>
      <c r="AG107" s="89">
        <v>135820000000</v>
      </c>
      <c r="AH107" s="89">
        <v>166312000000</v>
      </c>
      <c r="AI107" s="89">
        <v>164866000000</v>
      </c>
      <c r="AJ107" s="89">
        <v>209173000000</v>
      </c>
      <c r="AK107" s="89">
        <v>214016000000</v>
      </c>
      <c r="AL107" s="89">
        <v>214653000000</v>
      </c>
      <c r="AM107" s="89">
        <v>214767000000</v>
      </c>
      <c r="AN107" s="97">
        <v>215520000000</v>
      </c>
    </row>
    <row r="108" spans="1:43" s="43" customFormat="1" ht="13.5" outlineLevel="1" x14ac:dyDescent="0.15">
      <c r="A108" s="34">
        <v>1</v>
      </c>
      <c r="B108" s="85">
        <f t="shared" si="44"/>
        <v>106</v>
      </c>
      <c r="C108" s="70" t="s">
        <v>121</v>
      </c>
      <c r="D108" s="110"/>
      <c r="E108" s="113">
        <f t="shared" si="62"/>
        <v>0</v>
      </c>
      <c r="F108" s="148"/>
      <c r="G108" s="74">
        <f t="shared" si="63"/>
        <v>0</v>
      </c>
      <c r="H108" s="75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34">
        <f t="shared" si="46"/>
        <v>1</v>
      </c>
      <c r="V108" s="69">
        <f t="shared" si="46"/>
        <v>106</v>
      </c>
      <c r="W108" s="100" t="s">
        <v>122</v>
      </c>
      <c r="X108" s="101"/>
      <c r="Y108" s="161">
        <f t="shared" si="64"/>
        <v>0</v>
      </c>
      <c r="Z108" s="95"/>
      <c r="AA108" s="102">
        <f t="shared" si="65"/>
        <v>0</v>
      </c>
      <c r="AB108" s="96"/>
      <c r="AC108" s="97"/>
      <c r="AD108" s="97"/>
      <c r="AE108" s="97"/>
      <c r="AF108" s="97"/>
      <c r="AG108" s="97"/>
      <c r="AH108" s="97"/>
      <c r="AI108" s="97"/>
      <c r="AJ108" s="97"/>
      <c r="AK108" s="97"/>
      <c r="AL108" s="97"/>
      <c r="AM108" s="97"/>
      <c r="AN108" s="97"/>
    </row>
    <row r="109" spans="1:43" s="43" customFormat="1" ht="13.5" outlineLevel="1" x14ac:dyDescent="0.15">
      <c r="A109" s="34">
        <v>1</v>
      </c>
      <c r="B109" s="85">
        <f t="shared" si="44"/>
        <v>107</v>
      </c>
      <c r="C109" s="70" t="s">
        <v>123</v>
      </c>
      <c r="D109" s="110"/>
      <c r="E109" s="113">
        <f t="shared" si="62"/>
        <v>12400078427</v>
      </c>
      <c r="F109" s="148"/>
      <c r="G109" s="74">
        <f t="shared" si="63"/>
        <v>12400078427</v>
      </c>
      <c r="H109" s="75"/>
      <c r="I109" s="76">
        <v>9005920622</v>
      </c>
      <c r="J109" s="76">
        <v>10073398023</v>
      </c>
      <c r="K109" s="76">
        <v>16916834338</v>
      </c>
      <c r="L109" s="76">
        <v>10855719465</v>
      </c>
      <c r="M109" s="76">
        <v>11352764560</v>
      </c>
      <c r="N109" s="76">
        <v>9670660513</v>
      </c>
      <c r="O109" s="76">
        <v>10343739870</v>
      </c>
      <c r="P109" s="76">
        <v>11504457668</v>
      </c>
      <c r="Q109" s="76">
        <v>11221629785</v>
      </c>
      <c r="R109" s="76">
        <v>7939231354</v>
      </c>
      <c r="S109" s="76">
        <v>10685500492</v>
      </c>
      <c r="T109" s="76">
        <v>12400078427</v>
      </c>
      <c r="U109" s="34">
        <f t="shared" si="46"/>
        <v>1</v>
      </c>
      <c r="V109" s="69">
        <f t="shared" si="46"/>
        <v>107</v>
      </c>
      <c r="W109" s="100" t="s">
        <v>124</v>
      </c>
      <c r="X109" s="101"/>
      <c r="Y109" s="161">
        <f t="shared" si="64"/>
        <v>7767532783</v>
      </c>
      <c r="Z109" s="95"/>
      <c r="AA109" s="102">
        <f t="shared" si="65"/>
        <v>7767532783</v>
      </c>
      <c r="AB109" s="96"/>
      <c r="AC109" s="97">
        <v>4428466401</v>
      </c>
      <c r="AD109" s="97">
        <v>2920565065</v>
      </c>
      <c r="AE109" s="97">
        <v>7124698661</v>
      </c>
      <c r="AF109" s="97">
        <v>3733421931</v>
      </c>
      <c r="AG109" s="97">
        <v>2995512305</v>
      </c>
      <c r="AH109" s="97">
        <v>4150938709</v>
      </c>
      <c r="AI109" s="97">
        <v>3647189232</v>
      </c>
      <c r="AJ109" s="97">
        <v>4380733405</v>
      </c>
      <c r="AK109" s="97">
        <v>6640682971</v>
      </c>
      <c r="AL109" s="97">
        <v>3286020207</v>
      </c>
      <c r="AM109" s="97">
        <v>4831529974</v>
      </c>
      <c r="AN109" s="97">
        <v>7767532783</v>
      </c>
    </row>
    <row r="110" spans="1:43" s="43" customFormat="1" ht="13.5" outlineLevel="1" x14ac:dyDescent="0.15">
      <c r="A110" s="34">
        <v>1</v>
      </c>
      <c r="B110" s="85">
        <f t="shared" si="44"/>
        <v>108</v>
      </c>
      <c r="C110" s="70" t="s">
        <v>125</v>
      </c>
      <c r="D110" s="110"/>
      <c r="E110" s="113">
        <f t="shared" si="62"/>
        <v>2900131324</v>
      </c>
      <c r="F110" s="148"/>
      <c r="G110" s="74">
        <f t="shared" si="63"/>
        <v>2900131324</v>
      </c>
      <c r="H110" s="75"/>
      <c r="I110" s="76">
        <v>1495201466</v>
      </c>
      <c r="J110" s="76">
        <v>1929160911</v>
      </c>
      <c r="K110" s="76">
        <v>1887213169</v>
      </c>
      <c r="L110" s="76">
        <v>2263782974</v>
      </c>
      <c r="M110" s="76">
        <v>2686033213</v>
      </c>
      <c r="N110" s="76">
        <v>3506423980</v>
      </c>
      <c r="O110" s="76">
        <v>2015176639</v>
      </c>
      <c r="P110" s="76">
        <v>2582993215</v>
      </c>
      <c r="Q110" s="76">
        <v>2412297044</v>
      </c>
      <c r="R110" s="76">
        <v>2225863264</v>
      </c>
      <c r="S110" s="76">
        <v>2693790391</v>
      </c>
      <c r="T110" s="76">
        <v>2900131324</v>
      </c>
      <c r="U110" s="34">
        <f t="shared" si="46"/>
        <v>1</v>
      </c>
      <c r="V110" s="69">
        <f t="shared" si="46"/>
        <v>108</v>
      </c>
      <c r="W110" s="100" t="s">
        <v>126</v>
      </c>
      <c r="X110" s="101"/>
      <c r="Y110" s="161">
        <f t="shared" si="64"/>
        <v>4222217259</v>
      </c>
      <c r="Z110" s="95"/>
      <c r="AA110" s="102">
        <f t="shared" si="65"/>
        <v>4222217259</v>
      </c>
      <c r="AB110" s="96"/>
      <c r="AC110" s="97">
        <v>1163294140</v>
      </c>
      <c r="AD110" s="97">
        <v>1489811106</v>
      </c>
      <c r="AE110" s="97">
        <v>1756217913</v>
      </c>
      <c r="AF110" s="97">
        <v>2355846437</v>
      </c>
      <c r="AG110" s="97">
        <v>3433192749</v>
      </c>
      <c r="AH110" s="97">
        <v>4410866134</v>
      </c>
      <c r="AI110" s="97">
        <v>1744268817</v>
      </c>
      <c r="AJ110" s="97">
        <v>2703375325</v>
      </c>
      <c r="AK110" s="97">
        <v>2725245208</v>
      </c>
      <c r="AL110" s="97">
        <v>3265569355</v>
      </c>
      <c r="AM110" s="97">
        <v>4076575779</v>
      </c>
      <c r="AN110" s="76">
        <v>4222217259</v>
      </c>
    </row>
    <row r="111" spans="1:43" s="43" customFormat="1" ht="13.5" outlineLevel="1" x14ac:dyDescent="0.15">
      <c r="A111" s="34">
        <v>1</v>
      </c>
      <c r="B111" s="85">
        <f t="shared" si="44"/>
        <v>109</v>
      </c>
      <c r="C111" s="70" t="s">
        <v>127</v>
      </c>
      <c r="D111" s="110"/>
      <c r="E111" s="113">
        <f t="shared" si="62"/>
        <v>0</v>
      </c>
      <c r="F111" s="148"/>
      <c r="G111" s="74">
        <f t="shared" si="63"/>
        <v>0</v>
      </c>
      <c r="H111" s="75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34">
        <f t="shared" si="46"/>
        <v>1</v>
      </c>
      <c r="V111" s="69">
        <f t="shared" si="46"/>
        <v>109</v>
      </c>
      <c r="W111" s="100" t="s">
        <v>128</v>
      </c>
      <c r="X111" s="101"/>
      <c r="Y111" s="161">
        <f t="shared" si="64"/>
        <v>0</v>
      </c>
      <c r="Z111" s="95"/>
      <c r="AA111" s="102">
        <f t="shared" si="65"/>
        <v>0</v>
      </c>
      <c r="AB111" s="96"/>
      <c r="AC111" s="97"/>
      <c r="AD111" s="97"/>
      <c r="AE111" s="97"/>
      <c r="AF111" s="97"/>
      <c r="AG111" s="97"/>
      <c r="AH111" s="97"/>
      <c r="AI111" s="97"/>
      <c r="AJ111" s="97"/>
      <c r="AK111" s="97"/>
      <c r="AL111" s="97"/>
      <c r="AM111" s="97"/>
      <c r="AN111" s="97"/>
    </row>
    <row r="112" spans="1:43" s="43" customFormat="1" ht="13.5" outlineLevel="1" x14ac:dyDescent="0.15">
      <c r="A112" s="34">
        <v>1</v>
      </c>
      <c r="B112" s="85">
        <f t="shared" si="44"/>
        <v>110</v>
      </c>
      <c r="C112" s="70" t="s">
        <v>129</v>
      </c>
      <c r="D112" s="110"/>
      <c r="E112" s="113">
        <f t="shared" si="62"/>
        <v>14349000000</v>
      </c>
      <c r="F112" s="148"/>
      <c r="G112" s="74">
        <f t="shared" si="63"/>
        <v>14349000000</v>
      </c>
      <c r="H112" s="75"/>
      <c r="I112" s="76">
        <v>19206220000</v>
      </c>
      <c r="J112" s="76">
        <v>19290640000</v>
      </c>
      <c r="K112" s="76">
        <v>19651100000</v>
      </c>
      <c r="L112" s="76">
        <v>19275900000</v>
      </c>
      <c r="M112" s="76">
        <v>18434380000</v>
      </c>
      <c r="N112" s="76">
        <v>0</v>
      </c>
      <c r="O112" s="76"/>
      <c r="P112" s="76"/>
      <c r="Q112" s="76">
        <v>14022000000</v>
      </c>
      <c r="R112" s="76">
        <v>14232000000</v>
      </c>
      <c r="S112" s="76">
        <v>14696000000</v>
      </c>
      <c r="T112" s="76">
        <v>14349000000</v>
      </c>
      <c r="U112" s="34">
        <f t="shared" si="46"/>
        <v>1</v>
      </c>
      <c r="V112" s="69">
        <f t="shared" si="46"/>
        <v>110</v>
      </c>
      <c r="W112" s="100" t="s">
        <v>130</v>
      </c>
      <c r="X112" s="101"/>
      <c r="Y112" s="161">
        <f t="shared" si="64"/>
        <v>19698000000</v>
      </c>
      <c r="Z112" s="95"/>
      <c r="AA112" s="102">
        <f t="shared" si="65"/>
        <v>19698000000</v>
      </c>
      <c r="AB112" s="96"/>
      <c r="AC112" s="97">
        <v>66660220000</v>
      </c>
      <c r="AD112" s="97">
        <v>66573780000</v>
      </c>
      <c r="AE112" s="97">
        <v>66092210000</v>
      </c>
      <c r="AF112" s="97">
        <v>46957670000</v>
      </c>
      <c r="AG112" s="97">
        <v>46884190000</v>
      </c>
      <c r="AH112" s="97">
        <v>32507280000</v>
      </c>
      <c r="AI112" s="97">
        <v>32399640000</v>
      </c>
      <c r="AJ112" s="97">
        <v>31246020000</v>
      </c>
      <c r="AK112" s="97">
        <v>17682640000</v>
      </c>
      <c r="AL112" s="97">
        <v>18536220000</v>
      </c>
      <c r="AM112" s="97">
        <v>18688980000</v>
      </c>
      <c r="AN112" s="97">
        <v>19698000000</v>
      </c>
    </row>
    <row r="113" spans="1:40" s="43" customFormat="1" ht="13.5" outlineLevel="1" x14ac:dyDescent="0.15">
      <c r="A113" s="34">
        <v>1</v>
      </c>
      <c r="B113" s="85">
        <f t="shared" si="44"/>
        <v>111</v>
      </c>
      <c r="C113" s="70" t="s">
        <v>131</v>
      </c>
      <c r="D113" s="110"/>
      <c r="E113" s="113">
        <f t="shared" si="62"/>
        <v>0</v>
      </c>
      <c r="F113" s="148"/>
      <c r="G113" s="74">
        <f t="shared" si="63"/>
        <v>0</v>
      </c>
      <c r="H113" s="75"/>
      <c r="I113" s="76"/>
      <c r="J113" s="76"/>
      <c r="K113" s="76"/>
      <c r="L113" s="76"/>
      <c r="M113" s="76"/>
      <c r="O113" s="76"/>
      <c r="P113" s="76"/>
      <c r="Q113" s="76"/>
      <c r="R113" s="76"/>
      <c r="S113" s="76"/>
      <c r="T113" s="76"/>
      <c r="U113" s="34">
        <f t="shared" si="46"/>
        <v>1</v>
      </c>
      <c r="V113" s="69">
        <f t="shared" si="46"/>
        <v>111</v>
      </c>
      <c r="W113" s="100" t="s">
        <v>132</v>
      </c>
      <c r="X113" s="101"/>
      <c r="Y113" s="161">
        <f t="shared" si="64"/>
        <v>0</v>
      </c>
      <c r="Z113" s="95"/>
      <c r="AA113" s="102">
        <f>Y113</f>
        <v>0</v>
      </c>
      <c r="AB113" s="96"/>
      <c r="AC113" s="97"/>
      <c r="AD113" s="97"/>
      <c r="AE113" s="97"/>
      <c r="AF113" s="97"/>
      <c r="AG113" s="97"/>
      <c r="AH113" s="97"/>
      <c r="AI113" s="97"/>
      <c r="AJ113" s="97"/>
      <c r="AK113" s="97"/>
      <c r="AL113" s="97"/>
      <c r="AM113" s="97"/>
      <c r="AN113" s="97"/>
    </row>
    <row r="114" spans="1:40" s="43" customFormat="1" ht="13.5" outlineLevel="1" x14ac:dyDescent="0.15">
      <c r="A114" s="34">
        <v>1</v>
      </c>
      <c r="B114" s="85">
        <f t="shared" si="44"/>
        <v>112</v>
      </c>
      <c r="C114" s="70" t="s">
        <v>133</v>
      </c>
      <c r="D114" s="110"/>
      <c r="E114" s="113">
        <f t="shared" si="62"/>
        <v>480556082</v>
      </c>
      <c r="F114" s="148"/>
      <c r="G114" s="74">
        <f t="shared" si="63"/>
        <v>480556082</v>
      </c>
      <c r="H114" s="75"/>
      <c r="I114" s="76">
        <v>520102184</v>
      </c>
      <c r="J114" s="76">
        <v>520102184</v>
      </c>
      <c r="K114" s="76">
        <v>504355522</v>
      </c>
      <c r="L114" s="76">
        <v>504355522</v>
      </c>
      <c r="M114" s="76">
        <v>504355522</v>
      </c>
      <c r="N114" s="76">
        <v>493132395</v>
      </c>
      <c r="O114" s="76">
        <v>493132395</v>
      </c>
      <c r="P114" s="76">
        <v>493132395</v>
      </c>
      <c r="Q114" s="76">
        <v>425647653</v>
      </c>
      <c r="R114" s="76">
        <v>425647653</v>
      </c>
      <c r="S114" s="76">
        <v>425647653</v>
      </c>
      <c r="T114" s="76">
        <v>480556082</v>
      </c>
      <c r="U114" s="34">
        <f t="shared" si="46"/>
        <v>1</v>
      </c>
      <c r="V114" s="69">
        <f t="shared" si="46"/>
        <v>112</v>
      </c>
      <c r="W114" s="100" t="s">
        <v>134</v>
      </c>
      <c r="X114" s="101"/>
      <c r="Y114" s="161">
        <f t="shared" si="64"/>
        <v>520102184</v>
      </c>
      <c r="Z114" s="95"/>
      <c r="AA114" s="102">
        <f>Y114</f>
        <v>520102184</v>
      </c>
      <c r="AB114" s="96"/>
      <c r="AC114" s="97">
        <v>539727266</v>
      </c>
      <c r="AD114" s="97">
        <v>539727266</v>
      </c>
      <c r="AE114" s="97">
        <v>480588010</v>
      </c>
      <c r="AF114" s="97">
        <v>480588010</v>
      </c>
      <c r="AG114" s="97">
        <v>480588010</v>
      </c>
      <c r="AH114" s="97">
        <v>500434753</v>
      </c>
      <c r="AI114" s="97">
        <v>500434753</v>
      </c>
      <c r="AJ114" s="97">
        <v>500434753</v>
      </c>
      <c r="AK114" s="97">
        <v>428943541</v>
      </c>
      <c r="AL114" s="97">
        <v>428943541</v>
      </c>
      <c r="AM114" s="97">
        <v>428943541</v>
      </c>
      <c r="AN114" s="76">
        <v>520102184</v>
      </c>
    </row>
    <row r="115" spans="1:40" s="43" customFormat="1" ht="13.5" outlineLevel="1" x14ac:dyDescent="0.15">
      <c r="A115" s="34">
        <v>1</v>
      </c>
      <c r="B115" s="85">
        <f t="shared" si="44"/>
        <v>113</v>
      </c>
      <c r="C115" s="70" t="s">
        <v>135</v>
      </c>
      <c r="D115" s="110"/>
      <c r="E115" s="113">
        <f t="shared" si="62"/>
        <v>0</v>
      </c>
      <c r="F115" s="148"/>
      <c r="G115" s="74">
        <f t="shared" si="63"/>
        <v>0</v>
      </c>
      <c r="H115" s="75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34">
        <f t="shared" si="46"/>
        <v>1</v>
      </c>
      <c r="V115" s="69">
        <f t="shared" si="46"/>
        <v>113</v>
      </c>
      <c r="W115" s="100" t="s">
        <v>136</v>
      </c>
      <c r="X115" s="101"/>
      <c r="Y115" s="161">
        <f t="shared" si="64"/>
        <v>0</v>
      </c>
      <c r="Z115" s="95"/>
      <c r="AA115" s="102">
        <f t="shared" si="65"/>
        <v>0</v>
      </c>
      <c r="AB115" s="96"/>
      <c r="AC115" s="97"/>
      <c r="AD115" s="97"/>
      <c r="AE115" s="97"/>
      <c r="AF115" s="97"/>
      <c r="AG115" s="97"/>
      <c r="AH115" s="97"/>
      <c r="AI115" s="97"/>
      <c r="AJ115" s="97"/>
      <c r="AK115" s="97"/>
      <c r="AL115" s="97"/>
      <c r="AM115" s="97"/>
      <c r="AN115" s="97"/>
    </row>
    <row r="116" spans="1:40" s="43" customFormat="1" ht="13.5" outlineLevel="1" x14ac:dyDescent="0.15">
      <c r="A116" s="34">
        <v>1</v>
      </c>
      <c r="B116" s="85">
        <f t="shared" si="44"/>
        <v>114</v>
      </c>
      <c r="C116" s="70" t="s">
        <v>137</v>
      </c>
      <c r="D116" s="110"/>
      <c r="E116" s="113">
        <f t="shared" si="62"/>
        <v>0</v>
      </c>
      <c r="F116" s="148"/>
      <c r="G116" s="74">
        <f t="shared" si="63"/>
        <v>0</v>
      </c>
      <c r="H116" s="75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34">
        <f t="shared" si="46"/>
        <v>1</v>
      </c>
      <c r="V116" s="69">
        <f t="shared" si="46"/>
        <v>114</v>
      </c>
      <c r="W116" s="100" t="s">
        <v>138</v>
      </c>
      <c r="X116" s="101"/>
      <c r="Y116" s="161">
        <f t="shared" si="64"/>
        <v>0</v>
      </c>
      <c r="Z116" s="95"/>
      <c r="AA116" s="102">
        <f t="shared" si="65"/>
        <v>0</v>
      </c>
      <c r="AB116" s="96"/>
      <c r="AC116" s="97"/>
      <c r="AD116" s="97"/>
      <c r="AE116" s="97"/>
      <c r="AF116" s="97"/>
      <c r="AG116" s="97"/>
      <c r="AH116" s="97"/>
      <c r="AI116" s="97"/>
      <c r="AJ116" s="97"/>
      <c r="AK116" s="97"/>
      <c r="AL116" s="97"/>
      <c r="AM116" s="97"/>
      <c r="AN116" s="97"/>
    </row>
    <row r="117" spans="1:40" s="43" customFormat="1" ht="13.5" outlineLevel="1" x14ac:dyDescent="0.15">
      <c r="A117" s="34">
        <v>1</v>
      </c>
      <c r="B117" s="85">
        <f t="shared" si="44"/>
        <v>115</v>
      </c>
      <c r="C117" s="70" t="s">
        <v>139</v>
      </c>
      <c r="D117" s="110"/>
      <c r="E117" s="113">
        <f t="shared" si="62"/>
        <v>0</v>
      </c>
      <c r="F117" s="148"/>
      <c r="G117" s="74">
        <f t="shared" si="63"/>
        <v>0</v>
      </c>
      <c r="H117" s="75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34">
        <f t="shared" si="46"/>
        <v>1</v>
      </c>
      <c r="V117" s="69">
        <f t="shared" si="46"/>
        <v>115</v>
      </c>
      <c r="W117" s="100" t="s">
        <v>140</v>
      </c>
      <c r="X117" s="101"/>
      <c r="Y117" s="161">
        <f t="shared" si="64"/>
        <v>0</v>
      </c>
      <c r="Z117" s="95"/>
      <c r="AA117" s="102">
        <f t="shared" si="65"/>
        <v>0</v>
      </c>
      <c r="AB117" s="96"/>
      <c r="AC117" s="97"/>
      <c r="AD117" s="97"/>
      <c r="AE117" s="97"/>
      <c r="AF117" s="97"/>
      <c r="AG117" s="97"/>
      <c r="AH117" s="97"/>
      <c r="AI117" s="97"/>
      <c r="AJ117" s="97"/>
      <c r="AK117" s="97"/>
      <c r="AL117" s="97"/>
      <c r="AM117" s="97"/>
      <c r="AN117" s="97"/>
    </row>
    <row r="118" spans="1:40" s="43" customFormat="1" ht="13.5" outlineLevel="1" x14ac:dyDescent="0.15">
      <c r="A118" s="34">
        <v>1</v>
      </c>
      <c r="B118" s="85">
        <f t="shared" si="44"/>
        <v>116</v>
      </c>
      <c r="C118" s="70" t="s">
        <v>141</v>
      </c>
      <c r="D118" s="110"/>
      <c r="E118" s="113">
        <f t="shared" si="62"/>
        <v>0</v>
      </c>
      <c r="F118" s="148"/>
      <c r="G118" s="74">
        <f t="shared" si="63"/>
        <v>0</v>
      </c>
      <c r="H118" s="75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34">
        <f t="shared" si="46"/>
        <v>1</v>
      </c>
      <c r="V118" s="69">
        <f t="shared" si="46"/>
        <v>116</v>
      </c>
      <c r="W118" s="100" t="s">
        <v>142</v>
      </c>
      <c r="X118" s="101"/>
      <c r="Y118" s="161">
        <f t="shared" si="64"/>
        <v>0</v>
      </c>
      <c r="Z118" s="95"/>
      <c r="AA118" s="102">
        <f t="shared" si="65"/>
        <v>0</v>
      </c>
      <c r="AB118" s="96"/>
      <c r="AC118" s="97"/>
      <c r="AD118" s="97"/>
      <c r="AE118" s="97"/>
      <c r="AF118" s="97"/>
      <c r="AG118" s="97"/>
      <c r="AH118" s="97"/>
      <c r="AI118" s="97"/>
      <c r="AJ118" s="97"/>
      <c r="AK118" s="97"/>
      <c r="AL118" s="97"/>
      <c r="AM118" s="97"/>
      <c r="AN118" s="97"/>
    </row>
    <row r="119" spans="1:40" s="43" customFormat="1" ht="13.5" outlineLevel="1" x14ac:dyDescent="0.15">
      <c r="A119" s="34">
        <v>1</v>
      </c>
      <c r="B119" s="85">
        <f t="shared" si="44"/>
        <v>117</v>
      </c>
      <c r="C119" s="70" t="s">
        <v>143</v>
      </c>
      <c r="D119" s="110"/>
      <c r="E119" s="113">
        <f t="shared" si="62"/>
        <v>0</v>
      </c>
      <c r="F119" s="148"/>
      <c r="G119" s="74">
        <f t="shared" si="63"/>
        <v>0</v>
      </c>
      <c r="H119" s="75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34">
        <f t="shared" si="46"/>
        <v>1</v>
      </c>
      <c r="V119" s="69">
        <f t="shared" si="46"/>
        <v>117</v>
      </c>
      <c r="W119" s="100" t="s">
        <v>144</v>
      </c>
      <c r="X119" s="101"/>
      <c r="Y119" s="161">
        <f t="shared" si="64"/>
        <v>0</v>
      </c>
      <c r="Z119" s="95"/>
      <c r="AA119" s="102">
        <f t="shared" si="65"/>
        <v>0</v>
      </c>
      <c r="AB119" s="96"/>
      <c r="AC119" s="97">
        <v>12521312367</v>
      </c>
      <c r="AD119" s="97">
        <v>12601788251</v>
      </c>
      <c r="AE119" s="97">
        <v>12682264135</v>
      </c>
      <c r="AF119" s="97">
        <v>12764570795</v>
      </c>
      <c r="AG119" s="97">
        <v>12846877455</v>
      </c>
      <c r="AH119" s="97"/>
      <c r="AI119" s="97"/>
      <c r="AJ119" s="97"/>
      <c r="AK119" s="97"/>
      <c r="AL119" s="97"/>
      <c r="AM119" s="97"/>
      <c r="AN119" s="97"/>
    </row>
    <row r="120" spans="1:40" s="43" customFormat="1" ht="13.5" outlineLevel="1" x14ac:dyDescent="0.15">
      <c r="A120" s="34">
        <v>1</v>
      </c>
      <c r="B120" s="85">
        <f t="shared" si="44"/>
        <v>118</v>
      </c>
      <c r="C120" s="70" t="s">
        <v>145</v>
      </c>
      <c r="D120" s="110"/>
      <c r="E120" s="113">
        <f t="shared" si="62"/>
        <v>0</v>
      </c>
      <c r="F120" s="148"/>
      <c r="G120" s="74">
        <f t="shared" si="63"/>
        <v>0</v>
      </c>
      <c r="H120" s="75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34">
        <f t="shared" si="46"/>
        <v>1</v>
      </c>
      <c r="V120" s="69">
        <f t="shared" si="46"/>
        <v>118</v>
      </c>
      <c r="W120" s="100" t="s">
        <v>146</v>
      </c>
      <c r="X120" s="101"/>
      <c r="Y120" s="161">
        <f t="shared" si="64"/>
        <v>0</v>
      </c>
      <c r="Z120" s="95"/>
      <c r="AA120" s="102">
        <f t="shared" si="65"/>
        <v>0</v>
      </c>
      <c r="AB120" s="96"/>
      <c r="AC120" s="97"/>
      <c r="AD120" s="97"/>
      <c r="AE120" s="97"/>
      <c r="AF120" s="97"/>
      <c r="AG120" s="97"/>
      <c r="AH120" s="97"/>
      <c r="AI120" s="97"/>
      <c r="AJ120" s="97"/>
      <c r="AK120" s="97"/>
      <c r="AL120" s="97"/>
      <c r="AM120" s="97"/>
      <c r="AN120" s="97"/>
    </row>
    <row r="121" spans="1:40" s="43" customFormat="1" ht="13.5" outlineLevel="1" x14ac:dyDescent="0.15">
      <c r="A121" s="34">
        <v>1</v>
      </c>
      <c r="B121" s="85">
        <f t="shared" si="44"/>
        <v>119</v>
      </c>
      <c r="C121" s="70" t="s">
        <v>147</v>
      </c>
      <c r="D121" s="110"/>
      <c r="E121" s="113">
        <f t="shared" si="62"/>
        <v>0</v>
      </c>
      <c r="F121" s="148"/>
      <c r="G121" s="74">
        <f t="shared" si="63"/>
        <v>0</v>
      </c>
      <c r="H121" s="75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34">
        <f t="shared" si="46"/>
        <v>1</v>
      </c>
      <c r="V121" s="69">
        <f t="shared" si="46"/>
        <v>119</v>
      </c>
      <c r="W121" s="100" t="s">
        <v>148</v>
      </c>
      <c r="X121" s="101"/>
      <c r="Y121" s="161">
        <f t="shared" si="64"/>
        <v>0</v>
      </c>
      <c r="Z121" s="95"/>
      <c r="AA121" s="102">
        <f t="shared" si="65"/>
        <v>0</v>
      </c>
      <c r="AB121" s="96"/>
      <c r="AC121" s="97">
        <v>1796243260</v>
      </c>
      <c r="AD121" s="97">
        <v>1796243260</v>
      </c>
      <c r="AE121" s="97">
        <v>1680309457</v>
      </c>
      <c r="AF121" s="97">
        <v>1796243260</v>
      </c>
      <c r="AG121" s="97">
        <v>1796243260</v>
      </c>
      <c r="AH121" s="97">
        <v>13442357</v>
      </c>
      <c r="AI121" s="97"/>
      <c r="AJ121" s="97"/>
      <c r="AK121" s="97">
        <v>1945152728</v>
      </c>
      <c r="AL121" s="97"/>
      <c r="AM121" s="97"/>
      <c r="AN121" s="97"/>
    </row>
    <row r="122" spans="1:40" s="43" customFormat="1" ht="13.5" outlineLevel="1" x14ac:dyDescent="0.15">
      <c r="A122" s="34">
        <v>1</v>
      </c>
      <c r="B122" s="85">
        <f t="shared" si="44"/>
        <v>120</v>
      </c>
      <c r="C122" s="70" t="s">
        <v>149</v>
      </c>
      <c r="D122" s="141"/>
      <c r="E122" s="113">
        <f t="shared" si="62"/>
        <v>755415133</v>
      </c>
      <c r="F122" s="148"/>
      <c r="G122" s="74">
        <f t="shared" si="63"/>
        <v>755415133</v>
      </c>
      <c r="H122" s="75"/>
      <c r="I122" s="76">
        <v>538241166</v>
      </c>
      <c r="J122" s="76">
        <v>714056359</v>
      </c>
      <c r="K122" s="76">
        <v>712858714</v>
      </c>
      <c r="L122" s="76">
        <v>760958689</v>
      </c>
      <c r="M122" s="76">
        <v>744852843</v>
      </c>
      <c r="N122" s="76">
        <v>768780909</v>
      </c>
      <c r="O122" s="76">
        <v>766464889</v>
      </c>
      <c r="P122" s="76">
        <v>764140339</v>
      </c>
      <c r="Q122" s="76">
        <v>779201059</v>
      </c>
      <c r="R122" s="76">
        <v>774292492</v>
      </c>
      <c r="S122" s="76">
        <v>769021757</v>
      </c>
      <c r="T122" s="76">
        <v>755415133</v>
      </c>
      <c r="U122" s="34">
        <f t="shared" si="46"/>
        <v>1</v>
      </c>
      <c r="V122" s="77">
        <f t="shared" si="46"/>
        <v>120</v>
      </c>
      <c r="W122" s="107" t="s">
        <v>150</v>
      </c>
      <c r="X122" s="108"/>
      <c r="Y122" s="160">
        <f t="shared" si="64"/>
        <v>234563486</v>
      </c>
      <c r="Z122" s="103"/>
      <c r="AA122" s="109">
        <f t="shared" si="65"/>
        <v>234563486</v>
      </c>
      <c r="AB122" s="104"/>
      <c r="AC122" s="105">
        <v>535244202</v>
      </c>
      <c r="AD122" s="105">
        <v>524557158</v>
      </c>
      <c r="AE122" s="105">
        <v>490902182</v>
      </c>
      <c r="AF122" s="105">
        <v>468938151</v>
      </c>
      <c r="AG122" s="105">
        <v>439789009</v>
      </c>
      <c r="AH122" s="105">
        <v>409524914</v>
      </c>
      <c r="AI122" s="105">
        <v>379199225</v>
      </c>
      <c r="AJ122" s="105">
        <v>348811821</v>
      </c>
      <c r="AK122" s="105">
        <v>316598499</v>
      </c>
      <c r="AL122" s="105">
        <v>286829548</v>
      </c>
      <c r="AM122" s="105">
        <v>256214802</v>
      </c>
      <c r="AN122" s="97">
        <v>234563486</v>
      </c>
    </row>
    <row r="123" spans="1:40" s="43" customFormat="1" ht="13.5" x14ac:dyDescent="0.15">
      <c r="A123" s="34">
        <v>1</v>
      </c>
      <c r="B123" s="85">
        <f t="shared" si="44"/>
        <v>121</v>
      </c>
      <c r="C123" s="54" t="s">
        <v>151</v>
      </c>
      <c r="D123" s="55"/>
      <c r="E123" s="56">
        <f t="shared" si="62"/>
        <v>1727696570</v>
      </c>
      <c r="F123" s="57"/>
      <c r="G123" s="58">
        <f t="shared" si="63"/>
        <v>1727696570</v>
      </c>
      <c r="H123" s="59"/>
      <c r="I123" s="120">
        <v>2539667383</v>
      </c>
      <c r="J123" s="120">
        <v>2744669301</v>
      </c>
      <c r="K123" s="120">
        <v>2514759707</v>
      </c>
      <c r="L123" s="120">
        <v>2582620217</v>
      </c>
      <c r="M123" s="120">
        <v>2964822887</v>
      </c>
      <c r="N123" s="120">
        <v>2658980544</v>
      </c>
      <c r="O123" s="120">
        <v>2977954781</v>
      </c>
      <c r="P123" s="120">
        <v>1719171939</v>
      </c>
      <c r="Q123" s="120">
        <v>1724265539</v>
      </c>
      <c r="R123" s="120">
        <v>1715498035</v>
      </c>
      <c r="S123" s="120">
        <f>1715498035+12198535</f>
        <v>1727696570</v>
      </c>
      <c r="T123" s="120">
        <v>1727696570</v>
      </c>
      <c r="U123" s="34">
        <f t="shared" si="46"/>
        <v>1</v>
      </c>
      <c r="V123" s="53">
        <f t="shared" si="46"/>
        <v>121</v>
      </c>
      <c r="W123" s="54" t="s">
        <v>151</v>
      </c>
      <c r="X123" s="55"/>
      <c r="Y123" s="56">
        <f t="shared" si="64"/>
        <v>2334412014</v>
      </c>
      <c r="Z123" s="57"/>
      <c r="AA123" s="58">
        <f t="shared" si="65"/>
        <v>2334412014</v>
      </c>
      <c r="AB123" s="59"/>
      <c r="AC123" s="120">
        <v>1515865066</v>
      </c>
      <c r="AD123" s="120">
        <v>1642143318</v>
      </c>
      <c r="AE123" s="120">
        <v>2060179430</v>
      </c>
      <c r="AF123" s="120">
        <v>944084555</v>
      </c>
      <c r="AG123" s="120">
        <v>1178779325</v>
      </c>
      <c r="AH123" s="120">
        <v>1979986020</v>
      </c>
      <c r="AI123" s="120">
        <v>2222196128</v>
      </c>
      <c r="AJ123" s="120">
        <v>1325718934</v>
      </c>
      <c r="AK123" s="120">
        <v>1427592336</v>
      </c>
      <c r="AL123" s="120">
        <v>1746716844</v>
      </c>
      <c r="AM123" s="120">
        <v>1878563909</v>
      </c>
      <c r="AN123" s="120">
        <v>2334412014</v>
      </c>
    </row>
    <row r="124" spans="1:40" s="43" customFormat="1" ht="13.5" x14ac:dyDescent="0.15">
      <c r="A124" s="34">
        <v>1</v>
      </c>
      <c r="B124" s="85">
        <f t="shared" si="44"/>
        <v>122</v>
      </c>
      <c r="C124" s="54" t="s">
        <v>152</v>
      </c>
      <c r="D124" s="55"/>
      <c r="E124" s="56">
        <f>SUM(E125:E128)</f>
        <v>318391704</v>
      </c>
      <c r="F124" s="57"/>
      <c r="G124" s="58">
        <f>SUM(G125:G128)</f>
        <v>318391704</v>
      </c>
      <c r="H124" s="59"/>
      <c r="I124" s="60">
        <f t="shared" ref="I124:S124" si="66">SUM(I125:I128)</f>
        <v>542999891</v>
      </c>
      <c r="J124" s="60">
        <f t="shared" si="66"/>
        <v>1428633476</v>
      </c>
      <c r="K124" s="60">
        <f t="shared" si="66"/>
        <v>916640120</v>
      </c>
      <c r="L124" s="60">
        <f t="shared" si="66"/>
        <v>1926054378</v>
      </c>
      <c r="M124" s="60">
        <f t="shared" si="66"/>
        <v>2806297650</v>
      </c>
      <c r="N124" s="60">
        <f t="shared" si="66"/>
        <v>4623497328</v>
      </c>
      <c r="O124" s="60">
        <f t="shared" si="66"/>
        <v>4423752951</v>
      </c>
      <c r="P124" s="60">
        <f t="shared" si="66"/>
        <v>4881771448</v>
      </c>
      <c r="Q124" s="60">
        <f>SUM(Q125:Q128)</f>
        <v>1188650621</v>
      </c>
      <c r="R124" s="60">
        <f>SUM(R125:R128)</f>
        <v>2526630173</v>
      </c>
      <c r="S124" s="60">
        <f t="shared" si="66"/>
        <v>3169072283</v>
      </c>
      <c r="T124" s="60">
        <f>SUM(T125:T128)</f>
        <v>318391704</v>
      </c>
      <c r="U124" s="34">
        <f t="shared" si="46"/>
        <v>1</v>
      </c>
      <c r="V124" s="53">
        <f t="shared" si="46"/>
        <v>122</v>
      </c>
      <c r="W124" s="54" t="s">
        <v>152</v>
      </c>
      <c r="X124" s="55"/>
      <c r="Y124" s="56">
        <f>SUM(Y125:Y128)</f>
        <v>55754680</v>
      </c>
      <c r="Z124" s="57"/>
      <c r="AA124" s="58">
        <f>SUM(AA125:AA128)</f>
        <v>55754680</v>
      </c>
      <c r="AB124" s="59"/>
      <c r="AC124" s="60">
        <f t="shared" ref="AC124:AM124" si="67">SUM(AC125:AC128)</f>
        <v>510952136</v>
      </c>
      <c r="AD124" s="60">
        <f t="shared" si="67"/>
        <v>867953334</v>
      </c>
      <c r="AE124" s="60">
        <f t="shared" si="67"/>
        <v>448217579</v>
      </c>
      <c r="AF124" s="60">
        <f t="shared" si="67"/>
        <v>741734356</v>
      </c>
      <c r="AG124" s="60">
        <f t="shared" si="67"/>
        <v>1104606649</v>
      </c>
      <c r="AH124" s="60">
        <f t="shared" si="67"/>
        <v>38407500</v>
      </c>
      <c r="AI124" s="60">
        <f t="shared" si="67"/>
        <v>528660422</v>
      </c>
      <c r="AJ124" s="60">
        <f t="shared" si="67"/>
        <v>944445129</v>
      </c>
      <c r="AK124" s="60">
        <f t="shared" si="67"/>
        <v>708842425</v>
      </c>
      <c r="AL124" s="60">
        <f t="shared" si="67"/>
        <v>1044173601</v>
      </c>
      <c r="AM124" s="60">
        <f t="shared" si="67"/>
        <v>1302750214</v>
      </c>
      <c r="AN124" s="60">
        <f>SUM(AN125:AN128)</f>
        <v>55754680</v>
      </c>
    </row>
    <row r="125" spans="1:40" s="43" customFormat="1" ht="13.5" outlineLevel="1" x14ac:dyDescent="0.15">
      <c r="A125" s="34">
        <v>1</v>
      </c>
      <c r="B125" s="85">
        <f t="shared" si="44"/>
        <v>123</v>
      </c>
      <c r="C125" s="62" t="s">
        <v>153</v>
      </c>
      <c r="D125" s="63"/>
      <c r="E125" s="64">
        <f>HLOOKUP($A$1,$I$3:$T$365,B125,0)</f>
        <v>284250689</v>
      </c>
      <c r="F125" s="65"/>
      <c r="G125" s="66">
        <f>E125</f>
        <v>284250689</v>
      </c>
      <c r="H125" s="67"/>
      <c r="I125" s="68">
        <v>170139</v>
      </c>
      <c r="J125" s="68">
        <v>65639503</v>
      </c>
      <c r="K125" s="68">
        <v>65649774</v>
      </c>
      <c r="L125" s="68">
        <v>144749857</v>
      </c>
      <c r="M125" s="68">
        <v>88388858</v>
      </c>
      <c r="N125" s="68">
        <v>4595155803</v>
      </c>
      <c r="O125" s="68">
        <v>2229903060</v>
      </c>
      <c r="P125" s="68">
        <v>1845357308</v>
      </c>
      <c r="Q125" s="68">
        <v>183166548</v>
      </c>
      <c r="R125" s="68">
        <v>977416083</v>
      </c>
      <c r="S125" s="68">
        <f>936911537+15800</f>
        <v>936927337</v>
      </c>
      <c r="T125" s="68">
        <f>283996092+254597</f>
        <v>284250689</v>
      </c>
      <c r="U125" s="34">
        <f t="shared" si="46"/>
        <v>1</v>
      </c>
      <c r="V125" s="61">
        <f t="shared" si="46"/>
        <v>123</v>
      </c>
      <c r="W125" s="62" t="s">
        <v>153</v>
      </c>
      <c r="X125" s="63"/>
      <c r="Y125" s="64">
        <f>HLOOKUP($U$1,$AC$3:$AN$365,V125,0)</f>
        <v>0</v>
      </c>
      <c r="Z125" s="65"/>
      <c r="AA125" s="66">
        <f>Y125</f>
        <v>0</v>
      </c>
      <c r="AB125" s="67"/>
      <c r="AC125" s="68"/>
      <c r="AD125" s="68"/>
      <c r="AE125" s="68"/>
      <c r="AF125" s="68"/>
      <c r="AG125" s="68"/>
      <c r="AH125" s="68"/>
      <c r="AI125" s="68"/>
      <c r="AJ125" s="68"/>
      <c r="AK125" s="68">
        <v>256810000</v>
      </c>
      <c r="AL125" s="68">
        <v>256810000</v>
      </c>
      <c r="AM125" s="68">
        <v>256810000</v>
      </c>
      <c r="AN125" s="68"/>
    </row>
    <row r="126" spans="1:40" s="43" customFormat="1" ht="13.5" outlineLevel="1" x14ac:dyDescent="0.15">
      <c r="A126" s="34">
        <v>1</v>
      </c>
      <c r="B126" s="85">
        <f t="shared" si="44"/>
        <v>124</v>
      </c>
      <c r="C126" s="70" t="s">
        <v>154</v>
      </c>
      <c r="D126" s="71"/>
      <c r="E126" s="72">
        <f>HLOOKUP($A$1,$I$3:$T$365,B126,0)</f>
        <v>34141015</v>
      </c>
      <c r="F126" s="73"/>
      <c r="G126" s="74">
        <f>E126</f>
        <v>34141015</v>
      </c>
      <c r="H126" s="75"/>
      <c r="I126" s="76">
        <v>95127880</v>
      </c>
      <c r="J126" s="76">
        <v>101453670</v>
      </c>
      <c r="K126" s="76">
        <v>95244320</v>
      </c>
      <c r="L126" s="76">
        <v>70542660</v>
      </c>
      <c r="M126" s="76">
        <v>33998185</v>
      </c>
      <c r="N126" s="76">
        <v>28341525</v>
      </c>
      <c r="O126" s="76">
        <v>48823785</v>
      </c>
      <c r="P126" s="76">
        <v>48754775</v>
      </c>
      <c r="Q126" s="76">
        <v>40757955</v>
      </c>
      <c r="R126" s="76">
        <v>40943735</v>
      </c>
      <c r="S126" s="76">
        <v>35878935</v>
      </c>
      <c r="T126" s="76">
        <v>34141015</v>
      </c>
      <c r="U126" s="34">
        <f t="shared" si="46"/>
        <v>1</v>
      </c>
      <c r="V126" s="69">
        <f t="shared" si="46"/>
        <v>124</v>
      </c>
      <c r="W126" s="70" t="s">
        <v>154</v>
      </c>
      <c r="X126" s="71"/>
      <c r="Y126" s="72">
        <f>HLOOKUP($U$1,$AC$3:$AN$365,V126,0)</f>
        <v>55754680</v>
      </c>
      <c r="Z126" s="73"/>
      <c r="AA126" s="74">
        <f>Y126</f>
        <v>55754680</v>
      </c>
      <c r="AB126" s="75"/>
      <c r="AC126" s="76">
        <v>77413571</v>
      </c>
      <c r="AD126" s="76">
        <v>52187940</v>
      </c>
      <c r="AE126" s="76">
        <v>59729879</v>
      </c>
      <c r="AF126" s="76">
        <v>41132149</v>
      </c>
      <c r="AG126" s="76">
        <v>88662412</v>
      </c>
      <c r="AH126" s="76">
        <v>38407490</v>
      </c>
      <c r="AI126" s="76">
        <v>57098968</v>
      </c>
      <c r="AJ126" s="76">
        <v>65235409</v>
      </c>
      <c r="AK126" s="76">
        <v>61309777</v>
      </c>
      <c r="AL126" s="76">
        <v>59283250</v>
      </c>
      <c r="AM126" s="76">
        <v>55829110</v>
      </c>
      <c r="AN126" s="76">
        <v>55754680</v>
      </c>
    </row>
    <row r="127" spans="1:40" s="43" customFormat="1" ht="13.5" outlineLevel="1" x14ac:dyDescent="0.15">
      <c r="A127" s="34">
        <v>1</v>
      </c>
      <c r="B127" s="85">
        <f t="shared" si="44"/>
        <v>125</v>
      </c>
      <c r="C127" s="70" t="s">
        <v>155</v>
      </c>
      <c r="D127" s="71"/>
      <c r="E127" s="72">
        <f>HLOOKUP($A$1,$I$3:$T$365,B127,0)</f>
        <v>0</v>
      </c>
      <c r="F127" s="73"/>
      <c r="G127" s="74">
        <f>E127</f>
        <v>0</v>
      </c>
      <c r="H127" s="75"/>
      <c r="I127" s="76"/>
      <c r="J127" s="76"/>
      <c r="K127" s="76">
        <v>755746026</v>
      </c>
      <c r="L127" s="76">
        <v>503830684</v>
      </c>
      <c r="M127" s="76">
        <v>251915342</v>
      </c>
      <c r="N127" s="76">
        <v>0</v>
      </c>
      <c r="O127" s="76"/>
      <c r="P127" s="76"/>
      <c r="Q127" s="76">
        <v>964726118</v>
      </c>
      <c r="R127" s="76">
        <v>643150746</v>
      </c>
      <c r="S127" s="76">
        <v>321575374</v>
      </c>
      <c r="T127" s="76">
        <v>0</v>
      </c>
      <c r="U127" s="34">
        <f t="shared" si="46"/>
        <v>1</v>
      </c>
      <c r="V127" s="69">
        <f t="shared" si="46"/>
        <v>125</v>
      </c>
      <c r="W127" s="70" t="s">
        <v>155</v>
      </c>
      <c r="X127" s="71"/>
      <c r="Y127" s="72">
        <f>HLOOKUP($U$1,$AC$3:$AN$365,V127,0)</f>
        <v>0</v>
      </c>
      <c r="Z127" s="73"/>
      <c r="AA127" s="74">
        <f>Y127</f>
        <v>0</v>
      </c>
      <c r="AB127" s="75"/>
      <c r="AC127" s="76">
        <v>266790</v>
      </c>
      <c r="AD127" s="76"/>
      <c r="AE127" s="76">
        <v>388487700</v>
      </c>
      <c r="AF127" s="76">
        <v>266881800</v>
      </c>
      <c r="AG127" s="76">
        <v>133440900</v>
      </c>
      <c r="AH127" s="76">
        <v>10</v>
      </c>
      <c r="AI127" s="76"/>
      <c r="AJ127" s="76"/>
      <c r="AK127" s="76">
        <v>390722648</v>
      </c>
      <c r="AL127" s="76">
        <v>268374097</v>
      </c>
      <c r="AM127" s="76">
        <v>134187047</v>
      </c>
      <c r="AN127" s="76"/>
    </row>
    <row r="128" spans="1:40" s="43" customFormat="1" ht="13.5" outlineLevel="1" x14ac:dyDescent="0.15">
      <c r="A128" s="34">
        <v>1</v>
      </c>
      <c r="B128" s="85">
        <f t="shared" si="44"/>
        <v>126</v>
      </c>
      <c r="C128" s="78" t="s">
        <v>156</v>
      </c>
      <c r="D128" s="79"/>
      <c r="E128" s="80">
        <f>HLOOKUP($A$1,$I$3:$T$365,B128,0)</f>
        <v>0</v>
      </c>
      <c r="F128" s="81"/>
      <c r="G128" s="82">
        <f>E128</f>
        <v>0</v>
      </c>
      <c r="H128" s="83"/>
      <c r="I128" s="84">
        <v>447701872</v>
      </c>
      <c r="J128" s="84">
        <v>1261540303</v>
      </c>
      <c r="K128" s="84"/>
      <c r="L128" s="84">
        <v>1206931177</v>
      </c>
      <c r="M128" s="84">
        <v>2431995265</v>
      </c>
      <c r="N128" s="84">
        <v>0</v>
      </c>
      <c r="O128" s="84">
        <v>2145026106</v>
      </c>
      <c r="P128" s="84">
        <v>2987659365</v>
      </c>
      <c r="Q128" s="84">
        <v>0</v>
      </c>
      <c r="R128" s="84">
        <v>865119609</v>
      </c>
      <c r="S128" s="84">
        <v>1874690637</v>
      </c>
      <c r="T128" s="84"/>
      <c r="U128" s="34">
        <f t="shared" si="46"/>
        <v>1</v>
      </c>
      <c r="V128" s="77">
        <f t="shared" si="46"/>
        <v>126</v>
      </c>
      <c r="W128" s="78" t="s">
        <v>156</v>
      </c>
      <c r="X128" s="79"/>
      <c r="Y128" s="80">
        <f>HLOOKUP($U$1,$AC$3:$AN$365,V128,0)</f>
        <v>0</v>
      </c>
      <c r="Z128" s="81"/>
      <c r="AA128" s="82">
        <f>Y128</f>
        <v>0</v>
      </c>
      <c r="AB128" s="83"/>
      <c r="AC128" s="84">
        <v>433271775</v>
      </c>
      <c r="AD128" s="84">
        <v>815765394</v>
      </c>
      <c r="AE128" s="84"/>
      <c r="AF128" s="84">
        <v>433720407</v>
      </c>
      <c r="AG128" s="84">
        <v>882503337</v>
      </c>
      <c r="AH128" s="84"/>
      <c r="AI128" s="84">
        <v>471561454</v>
      </c>
      <c r="AJ128" s="84">
        <v>879209720</v>
      </c>
      <c r="AK128" s="84"/>
      <c r="AL128" s="84">
        <v>459706254</v>
      </c>
      <c r="AM128" s="84">
        <v>855924057</v>
      </c>
      <c r="AN128" s="84"/>
    </row>
    <row r="129" spans="1:40" s="52" customFormat="1" ht="13.5" x14ac:dyDescent="0.15">
      <c r="A129" s="34">
        <v>1</v>
      </c>
      <c r="B129" s="85">
        <f t="shared" si="44"/>
        <v>127</v>
      </c>
      <c r="C129" s="121" t="s">
        <v>157</v>
      </c>
      <c r="D129" s="122"/>
      <c r="E129" s="123">
        <f>E130+E144+E147+E148</f>
        <v>38053362930</v>
      </c>
      <c r="F129" s="124"/>
      <c r="G129" s="125">
        <f>G130+G144+G147+G148</f>
        <v>38053362930</v>
      </c>
      <c r="H129" s="126"/>
      <c r="I129" s="123">
        <f t="shared" ref="I129:T129" si="68">I130+I144+I147+I148</f>
        <v>39395886678</v>
      </c>
      <c r="J129" s="123">
        <f t="shared" si="68"/>
        <v>40394696590</v>
      </c>
      <c r="K129" s="123">
        <f t="shared" si="68"/>
        <v>40710447136</v>
      </c>
      <c r="L129" s="123">
        <f t="shared" si="68"/>
        <v>41649127284</v>
      </c>
      <c r="M129" s="123">
        <f t="shared" si="68"/>
        <v>41316601150</v>
      </c>
      <c r="N129" s="123">
        <f t="shared" si="68"/>
        <v>41569977976</v>
      </c>
      <c r="O129" s="123">
        <f t="shared" si="68"/>
        <v>42087047204</v>
      </c>
      <c r="P129" s="123">
        <f t="shared" si="68"/>
        <v>42366924685</v>
      </c>
      <c r="Q129" s="123">
        <f t="shared" si="68"/>
        <v>35048329098</v>
      </c>
      <c r="R129" s="123">
        <f>R130+R144+R147+R148</f>
        <v>35324597606</v>
      </c>
      <c r="S129" s="123">
        <f t="shared" si="68"/>
        <v>39581011351</v>
      </c>
      <c r="T129" s="123">
        <f t="shared" si="68"/>
        <v>38053362930</v>
      </c>
      <c r="U129" s="34">
        <f t="shared" si="46"/>
        <v>1</v>
      </c>
      <c r="V129" s="127">
        <f t="shared" si="46"/>
        <v>127</v>
      </c>
      <c r="W129" s="121" t="s">
        <v>157</v>
      </c>
      <c r="X129" s="122"/>
      <c r="Y129" s="123">
        <f>Y130+Y144+Y147+Y148</f>
        <v>40033053704</v>
      </c>
      <c r="Z129" s="124"/>
      <c r="AA129" s="125">
        <f>AA130+AA144+AA147+AA148</f>
        <v>40033053704</v>
      </c>
      <c r="AB129" s="126"/>
      <c r="AC129" s="123">
        <f t="shared" ref="AC129:AN129" si="69">AC130+AC144+AC147+AC148</f>
        <v>17460339978</v>
      </c>
      <c r="AD129" s="123">
        <f t="shared" si="69"/>
        <v>17620767751</v>
      </c>
      <c r="AE129" s="123">
        <f t="shared" si="69"/>
        <v>17686179476</v>
      </c>
      <c r="AF129" s="123">
        <f t="shared" si="69"/>
        <v>17938546569</v>
      </c>
      <c r="AG129" s="123">
        <f t="shared" si="69"/>
        <v>17907687828</v>
      </c>
      <c r="AH129" s="123">
        <f t="shared" si="69"/>
        <v>18100270493</v>
      </c>
      <c r="AI129" s="123">
        <f t="shared" si="69"/>
        <v>18229275064</v>
      </c>
      <c r="AJ129" s="123">
        <f t="shared" si="69"/>
        <v>18495142363</v>
      </c>
      <c r="AK129" s="123">
        <f t="shared" si="69"/>
        <v>32583198712</v>
      </c>
      <c r="AL129" s="123">
        <f t="shared" si="69"/>
        <v>33290489578</v>
      </c>
      <c r="AM129" s="123">
        <f t="shared" si="69"/>
        <v>33541780204</v>
      </c>
      <c r="AN129" s="123">
        <f t="shared" si="69"/>
        <v>40033053704</v>
      </c>
    </row>
    <row r="130" spans="1:40" s="43" customFormat="1" ht="13.5" x14ac:dyDescent="0.15">
      <c r="A130" s="34">
        <v>1</v>
      </c>
      <c r="B130" s="85">
        <f t="shared" si="44"/>
        <v>128</v>
      </c>
      <c r="C130" s="54" t="s">
        <v>158</v>
      </c>
      <c r="D130" s="55"/>
      <c r="E130" s="56">
        <f>SUM(E131:E143)</f>
        <v>11511566836</v>
      </c>
      <c r="F130" s="57"/>
      <c r="G130" s="58">
        <f>SUM(G131:G143)</f>
        <v>11511566836</v>
      </c>
      <c r="H130" s="59"/>
      <c r="I130" s="60">
        <f t="shared" ref="I130:T130" si="70">SUM(I131:I143)</f>
        <v>15983010951</v>
      </c>
      <c r="J130" s="60">
        <f t="shared" si="70"/>
        <v>16233182397</v>
      </c>
      <c r="K130" s="60">
        <f t="shared" si="70"/>
        <v>16558201669</v>
      </c>
      <c r="L130" s="60">
        <f t="shared" si="70"/>
        <v>16322715627</v>
      </c>
      <c r="M130" s="60">
        <f t="shared" si="70"/>
        <v>15639081386</v>
      </c>
      <c r="N130" s="60">
        <f t="shared" si="70"/>
        <v>15451931567</v>
      </c>
      <c r="O130" s="60">
        <f t="shared" si="70"/>
        <v>15658556216</v>
      </c>
      <c r="P130" s="60">
        <f t="shared" si="70"/>
        <v>15656956768</v>
      </c>
      <c r="Q130" s="60">
        <f t="shared" si="70"/>
        <v>7600215100</v>
      </c>
      <c r="R130" s="60">
        <f t="shared" si="70"/>
        <v>7564464869</v>
      </c>
      <c r="S130" s="60">
        <f t="shared" si="70"/>
        <v>11600930355</v>
      </c>
      <c r="T130" s="60">
        <f t="shared" si="70"/>
        <v>11511566836</v>
      </c>
      <c r="U130" s="34">
        <f t="shared" si="46"/>
        <v>1</v>
      </c>
      <c r="V130" s="53">
        <f t="shared" si="46"/>
        <v>128</v>
      </c>
      <c r="W130" s="54" t="s">
        <v>158</v>
      </c>
      <c r="X130" s="55"/>
      <c r="Y130" s="56">
        <f>SUM(Y131:Y143)</f>
        <v>16066637383</v>
      </c>
      <c r="Z130" s="57"/>
      <c r="AA130" s="58">
        <f>SUM(AA131:AA143)</f>
        <v>16066637383</v>
      </c>
      <c r="AB130" s="59"/>
      <c r="AC130" s="60">
        <f t="shared" ref="AC130:AN130" si="71">SUM(AC131:AC143)</f>
        <v>1066831208</v>
      </c>
      <c r="AD130" s="60">
        <f t="shared" si="71"/>
        <v>1079323581</v>
      </c>
      <c r="AE130" s="60">
        <f t="shared" si="71"/>
        <v>1028380776</v>
      </c>
      <c r="AF130" s="60">
        <f t="shared" si="71"/>
        <v>1025927153</v>
      </c>
      <c r="AG130" s="60">
        <f t="shared" si="71"/>
        <v>1007479646</v>
      </c>
      <c r="AH130" s="60">
        <f t="shared" si="71"/>
        <v>971229126</v>
      </c>
      <c r="AI130" s="60">
        <f t="shared" si="71"/>
        <v>953703941</v>
      </c>
      <c r="AJ130" s="60">
        <f t="shared" si="71"/>
        <v>936112804</v>
      </c>
      <c r="AK130" s="60">
        <f t="shared" si="71"/>
        <v>14550865880</v>
      </c>
      <c r="AL130" s="60">
        <f t="shared" si="71"/>
        <v>15170142090</v>
      </c>
      <c r="AM130" s="60">
        <f t="shared" si="71"/>
        <v>15260702590</v>
      </c>
      <c r="AN130" s="60">
        <f t="shared" si="71"/>
        <v>16066637383</v>
      </c>
    </row>
    <row r="131" spans="1:40" s="43" customFormat="1" ht="13.5" outlineLevel="1" x14ac:dyDescent="0.15">
      <c r="A131" s="34">
        <v>1</v>
      </c>
      <c r="B131" s="85">
        <f t="shared" si="44"/>
        <v>129</v>
      </c>
      <c r="C131" s="62" t="s">
        <v>159</v>
      </c>
      <c r="D131" s="63"/>
      <c r="E131" s="64">
        <f t="shared" ref="E131:E143" si="72">HLOOKUP($A$1,$I$3:$T$365,B131,0)</f>
        <v>10000000000</v>
      </c>
      <c r="F131" s="65"/>
      <c r="G131" s="66">
        <f t="shared" ref="G131:G143" si="73">E131</f>
        <v>10000000000</v>
      </c>
      <c r="H131" s="67"/>
      <c r="I131" s="68">
        <v>14333000000</v>
      </c>
      <c r="J131" s="68">
        <v>14396000000</v>
      </c>
      <c r="K131" s="68">
        <v>14665000000</v>
      </c>
      <c r="L131" s="68">
        <v>14385000000</v>
      </c>
      <c r="M131" s="68">
        <v>13757000000</v>
      </c>
      <c r="N131" s="68">
        <v>13564000000</v>
      </c>
      <c r="O131" s="68">
        <v>13829000000</v>
      </c>
      <c r="P131" s="68">
        <v>13886000000</v>
      </c>
      <c r="Q131" s="68">
        <v>5900000000</v>
      </c>
      <c r="R131" s="68">
        <v>5900000000</v>
      </c>
      <c r="S131" s="68">
        <v>10000000000</v>
      </c>
      <c r="T131" s="68">
        <v>10000000000</v>
      </c>
      <c r="U131" s="34">
        <f t="shared" si="46"/>
        <v>1</v>
      </c>
      <c r="V131" s="61">
        <f t="shared" si="46"/>
        <v>129</v>
      </c>
      <c r="W131" s="62" t="s">
        <v>159</v>
      </c>
      <c r="X131" s="63"/>
      <c r="Y131" s="64">
        <f t="shared" ref="Y131:Y143" si="74">HLOOKUP($U$1,$AC$3:$AN$365,V131,0)</f>
        <v>14700000000</v>
      </c>
      <c r="Z131" s="65"/>
      <c r="AA131" s="66">
        <f t="shared" ref="AA131:AA143" si="75">Y131</f>
        <v>14700000000</v>
      </c>
      <c r="AB131" s="67"/>
      <c r="AC131" s="68"/>
      <c r="AD131" s="68"/>
      <c r="AE131" s="68"/>
      <c r="AF131" s="68"/>
      <c r="AG131" s="68"/>
      <c r="AH131" s="68"/>
      <c r="AI131" s="68"/>
      <c r="AJ131" s="68"/>
      <c r="AK131" s="68">
        <v>13196000000</v>
      </c>
      <c r="AL131" s="68">
        <v>13833000000</v>
      </c>
      <c r="AM131" s="68">
        <v>13947000000</v>
      </c>
      <c r="AN131" s="68">
        <v>14700000000</v>
      </c>
    </row>
    <row r="132" spans="1:40" s="43" customFormat="1" ht="13.5" outlineLevel="1" x14ac:dyDescent="0.15">
      <c r="A132" s="34">
        <v>1</v>
      </c>
      <c r="B132" s="85">
        <f t="shared" si="44"/>
        <v>130</v>
      </c>
      <c r="C132" s="70" t="s">
        <v>160</v>
      </c>
      <c r="D132" s="71"/>
      <c r="E132" s="72">
        <f t="shared" si="72"/>
        <v>0</v>
      </c>
      <c r="F132" s="73"/>
      <c r="G132" s="74">
        <f t="shared" si="73"/>
        <v>0</v>
      </c>
      <c r="H132" s="75"/>
      <c r="I132" s="76"/>
      <c r="J132" s="76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34">
        <f t="shared" si="46"/>
        <v>1</v>
      </c>
      <c r="V132" s="69">
        <f t="shared" si="46"/>
        <v>130</v>
      </c>
      <c r="W132" s="70" t="s">
        <v>160</v>
      </c>
      <c r="X132" s="71"/>
      <c r="Y132" s="72">
        <f t="shared" si="74"/>
        <v>0</v>
      </c>
      <c r="Z132" s="73"/>
      <c r="AA132" s="74">
        <f t="shared" si="75"/>
        <v>0</v>
      </c>
      <c r="AB132" s="75"/>
      <c r="AC132" s="76"/>
      <c r="AD132" s="76"/>
      <c r="AE132" s="76"/>
      <c r="AF132" s="76"/>
      <c r="AG132" s="76"/>
      <c r="AH132" s="76"/>
      <c r="AI132" s="76"/>
      <c r="AJ132" s="76"/>
      <c r="AK132" s="76"/>
      <c r="AL132" s="76"/>
      <c r="AM132" s="76"/>
      <c r="AN132" s="76"/>
    </row>
    <row r="133" spans="1:40" s="43" customFormat="1" ht="13.5" outlineLevel="1" x14ac:dyDescent="0.15">
      <c r="A133" s="34">
        <v>1</v>
      </c>
      <c r="B133" s="85">
        <f t="shared" si="44"/>
        <v>131</v>
      </c>
      <c r="C133" s="70" t="s">
        <v>161</v>
      </c>
      <c r="D133" s="71"/>
      <c r="E133" s="72">
        <f t="shared" si="72"/>
        <v>0</v>
      </c>
      <c r="F133" s="73"/>
      <c r="G133" s="74">
        <f t="shared" si="73"/>
        <v>0</v>
      </c>
      <c r="H133" s="75"/>
      <c r="I133" s="76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34">
        <f t="shared" si="46"/>
        <v>1</v>
      </c>
      <c r="V133" s="69">
        <f t="shared" si="46"/>
        <v>131</v>
      </c>
      <c r="W133" s="70" t="s">
        <v>162</v>
      </c>
      <c r="X133" s="71"/>
      <c r="Y133" s="72">
        <f t="shared" si="74"/>
        <v>0</v>
      </c>
      <c r="Z133" s="73"/>
      <c r="AA133" s="74">
        <f>Y133</f>
        <v>0</v>
      </c>
      <c r="AB133" s="75"/>
      <c r="AC133" s="76"/>
      <c r="AD133" s="76"/>
      <c r="AE133" s="76"/>
      <c r="AF133" s="76"/>
      <c r="AG133" s="76"/>
      <c r="AH133" s="76"/>
      <c r="AI133" s="76"/>
      <c r="AJ133" s="76"/>
      <c r="AK133" s="76"/>
      <c r="AL133" s="76"/>
      <c r="AM133" s="76"/>
      <c r="AN133" s="76"/>
    </row>
    <row r="134" spans="1:40" s="43" customFormat="1" ht="13.5" outlineLevel="1" x14ac:dyDescent="0.15">
      <c r="A134" s="34">
        <v>1</v>
      </c>
      <c r="B134" s="85">
        <f t="shared" ref="B134:B197" si="76">B133+1</f>
        <v>132</v>
      </c>
      <c r="C134" s="70" t="s">
        <v>163</v>
      </c>
      <c r="D134" s="71"/>
      <c r="E134" s="72">
        <f t="shared" si="72"/>
        <v>22656231</v>
      </c>
      <c r="F134" s="73"/>
      <c r="G134" s="74">
        <f t="shared" si="73"/>
        <v>22656231</v>
      </c>
      <c r="H134" s="75"/>
      <c r="I134" s="76">
        <v>78796666</v>
      </c>
      <c r="J134" s="76">
        <v>78796666</v>
      </c>
      <c r="K134" s="76">
        <v>90528892</v>
      </c>
      <c r="L134" s="76">
        <v>90528892</v>
      </c>
      <c r="M134" s="76">
        <v>90528892</v>
      </c>
      <c r="N134" s="76">
        <v>73843897</v>
      </c>
      <c r="O134" s="76">
        <v>73843897</v>
      </c>
      <c r="P134" s="76">
        <v>73843897</v>
      </c>
      <c r="Q134" s="76">
        <v>61926634</v>
      </c>
      <c r="R134" s="76">
        <v>61926634</v>
      </c>
      <c r="S134" s="76">
        <v>61926634</v>
      </c>
      <c r="T134" s="76">
        <v>22656231</v>
      </c>
      <c r="U134" s="34">
        <f t="shared" si="46"/>
        <v>1</v>
      </c>
      <c r="V134" s="69">
        <f t="shared" si="46"/>
        <v>132</v>
      </c>
      <c r="W134" s="70" t="s">
        <v>164</v>
      </c>
      <c r="X134" s="71"/>
      <c r="Y134" s="72">
        <f t="shared" si="74"/>
        <v>78796666</v>
      </c>
      <c r="Z134" s="73"/>
      <c r="AA134" s="74">
        <f>Y134</f>
        <v>78796666</v>
      </c>
      <c r="AB134" s="75"/>
      <c r="AC134" s="76">
        <v>57697691</v>
      </c>
      <c r="AD134" s="76">
        <v>57697691</v>
      </c>
      <c r="AE134" s="76">
        <v>37862626</v>
      </c>
      <c r="AF134" s="76">
        <v>37862626</v>
      </c>
      <c r="AG134" s="76">
        <v>37862626</v>
      </c>
      <c r="AH134" s="76">
        <v>19071586</v>
      </c>
      <c r="AI134" s="76">
        <v>19071586</v>
      </c>
      <c r="AJ134" s="76">
        <v>19071586</v>
      </c>
      <c r="AK134" s="76"/>
      <c r="AL134" s="76"/>
      <c r="AM134" s="76"/>
      <c r="AN134" s="76">
        <v>78796666</v>
      </c>
    </row>
    <row r="135" spans="1:40" s="43" customFormat="1" ht="13.5" outlineLevel="1" x14ac:dyDescent="0.15">
      <c r="A135" s="34">
        <v>1</v>
      </c>
      <c r="B135" s="85">
        <f t="shared" si="76"/>
        <v>133</v>
      </c>
      <c r="C135" s="70" t="s">
        <v>165</v>
      </c>
      <c r="D135" s="71"/>
      <c r="E135" s="72">
        <f t="shared" si="72"/>
        <v>0</v>
      </c>
      <c r="F135" s="73"/>
      <c r="G135" s="74">
        <f t="shared" si="73"/>
        <v>0</v>
      </c>
      <c r="H135" s="75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34">
        <f t="shared" si="46"/>
        <v>1</v>
      </c>
      <c r="V135" s="69">
        <f t="shared" si="46"/>
        <v>133</v>
      </c>
      <c r="W135" s="70" t="s">
        <v>165</v>
      </c>
      <c r="X135" s="71"/>
      <c r="Y135" s="72">
        <f t="shared" si="74"/>
        <v>0</v>
      </c>
      <c r="Z135" s="73"/>
      <c r="AA135" s="74">
        <f t="shared" si="75"/>
        <v>0</v>
      </c>
      <c r="AB135" s="75"/>
      <c r="AC135" s="76"/>
      <c r="AD135" s="76"/>
      <c r="AE135" s="76"/>
      <c r="AF135" s="76"/>
      <c r="AG135" s="76"/>
      <c r="AH135" s="76"/>
      <c r="AI135" s="76"/>
      <c r="AJ135" s="76"/>
      <c r="AK135" s="76"/>
      <c r="AL135" s="76"/>
      <c r="AM135" s="76"/>
      <c r="AN135" s="76"/>
    </row>
    <row r="136" spans="1:40" s="43" customFormat="1" ht="13.5" outlineLevel="1" x14ac:dyDescent="0.15">
      <c r="A136" s="34">
        <v>1</v>
      </c>
      <c r="B136" s="85">
        <f t="shared" si="76"/>
        <v>134</v>
      </c>
      <c r="C136" s="70" t="s">
        <v>138</v>
      </c>
      <c r="D136" s="71"/>
      <c r="E136" s="72">
        <f t="shared" si="72"/>
        <v>0</v>
      </c>
      <c r="F136" s="73"/>
      <c r="G136" s="74">
        <f t="shared" si="73"/>
        <v>0</v>
      </c>
      <c r="H136" s="75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34">
        <f t="shared" si="46"/>
        <v>1</v>
      </c>
      <c r="V136" s="69">
        <f t="shared" si="46"/>
        <v>134</v>
      </c>
      <c r="W136" s="70" t="s">
        <v>138</v>
      </c>
      <c r="X136" s="71"/>
      <c r="Y136" s="72">
        <f t="shared" si="74"/>
        <v>0</v>
      </c>
      <c r="Z136" s="73"/>
      <c r="AA136" s="74">
        <f t="shared" si="75"/>
        <v>0</v>
      </c>
      <c r="AB136" s="75"/>
      <c r="AC136" s="76"/>
      <c r="AD136" s="76"/>
      <c r="AE136" s="76"/>
      <c r="AF136" s="76"/>
      <c r="AG136" s="76"/>
      <c r="AH136" s="76"/>
      <c r="AI136" s="76"/>
      <c r="AJ136" s="76"/>
      <c r="AK136" s="76"/>
      <c r="AL136" s="76"/>
      <c r="AM136" s="76"/>
      <c r="AN136" s="76"/>
    </row>
    <row r="137" spans="1:40" s="43" customFormat="1" ht="13.5" outlineLevel="1" x14ac:dyDescent="0.15">
      <c r="A137" s="34">
        <v>1</v>
      </c>
      <c r="B137" s="85">
        <f t="shared" si="76"/>
        <v>135</v>
      </c>
      <c r="C137" s="70" t="s">
        <v>166</v>
      </c>
      <c r="D137" s="71"/>
      <c r="E137" s="72">
        <f t="shared" si="72"/>
        <v>0</v>
      </c>
      <c r="F137" s="73"/>
      <c r="G137" s="74">
        <f t="shared" si="73"/>
        <v>0</v>
      </c>
      <c r="H137" s="75"/>
      <c r="I137" s="76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34">
        <f t="shared" si="46"/>
        <v>1</v>
      </c>
      <c r="V137" s="69">
        <f t="shared" si="46"/>
        <v>135</v>
      </c>
      <c r="W137" s="70" t="s">
        <v>166</v>
      </c>
      <c r="X137" s="71"/>
      <c r="Y137" s="72">
        <f t="shared" si="74"/>
        <v>0</v>
      </c>
      <c r="Z137" s="73"/>
      <c r="AA137" s="74">
        <f t="shared" si="75"/>
        <v>0</v>
      </c>
      <c r="AB137" s="75"/>
      <c r="AC137" s="76"/>
      <c r="AD137" s="76"/>
      <c r="AE137" s="76"/>
      <c r="AF137" s="76"/>
      <c r="AG137" s="76"/>
      <c r="AH137" s="76"/>
      <c r="AI137" s="76"/>
      <c r="AJ137" s="76"/>
      <c r="AK137" s="76"/>
      <c r="AL137" s="76"/>
      <c r="AM137" s="76"/>
      <c r="AN137" s="76"/>
    </row>
    <row r="138" spans="1:40" s="43" customFormat="1" ht="13.5" outlineLevel="1" x14ac:dyDescent="0.15">
      <c r="A138" s="34">
        <v>1</v>
      </c>
      <c r="B138" s="85">
        <f t="shared" si="76"/>
        <v>136</v>
      </c>
      <c r="C138" s="70" t="s">
        <v>167</v>
      </c>
      <c r="D138" s="71"/>
      <c r="E138" s="72">
        <f t="shared" si="72"/>
        <v>0</v>
      </c>
      <c r="F138" s="73"/>
      <c r="G138" s="74">
        <f t="shared" si="73"/>
        <v>0</v>
      </c>
      <c r="H138" s="75"/>
      <c r="I138" s="76"/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34">
        <f t="shared" si="46"/>
        <v>1</v>
      </c>
      <c r="V138" s="69">
        <f t="shared" si="46"/>
        <v>136</v>
      </c>
      <c r="W138" s="70" t="s">
        <v>167</v>
      </c>
      <c r="X138" s="71"/>
      <c r="Y138" s="72">
        <f t="shared" si="74"/>
        <v>0</v>
      </c>
      <c r="Z138" s="73"/>
      <c r="AA138" s="74">
        <f t="shared" si="75"/>
        <v>0</v>
      </c>
      <c r="AB138" s="75"/>
      <c r="AC138" s="76"/>
      <c r="AD138" s="76"/>
      <c r="AE138" s="76"/>
      <c r="AF138" s="76"/>
      <c r="AG138" s="76"/>
      <c r="AH138" s="76"/>
      <c r="AI138" s="76"/>
      <c r="AJ138" s="76"/>
      <c r="AK138" s="76"/>
      <c r="AL138" s="76"/>
      <c r="AM138" s="76"/>
      <c r="AN138" s="76"/>
    </row>
    <row r="139" spans="1:40" s="43" customFormat="1" ht="13.5" outlineLevel="1" x14ac:dyDescent="0.15">
      <c r="A139" s="34">
        <v>1</v>
      </c>
      <c r="B139" s="85">
        <f t="shared" si="76"/>
        <v>137</v>
      </c>
      <c r="C139" s="70" t="s">
        <v>168</v>
      </c>
      <c r="D139" s="71"/>
      <c r="E139" s="72">
        <f t="shared" si="72"/>
        <v>0</v>
      </c>
      <c r="F139" s="73"/>
      <c r="G139" s="74">
        <f t="shared" si="73"/>
        <v>0</v>
      </c>
      <c r="H139" s="75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34">
        <f t="shared" si="46"/>
        <v>1</v>
      </c>
      <c r="V139" s="69">
        <f t="shared" si="46"/>
        <v>137</v>
      </c>
      <c r="W139" s="70" t="s">
        <v>168</v>
      </c>
      <c r="X139" s="71"/>
      <c r="Y139" s="72">
        <f t="shared" si="74"/>
        <v>0</v>
      </c>
      <c r="Z139" s="73"/>
      <c r="AA139" s="74">
        <f t="shared" si="75"/>
        <v>0</v>
      </c>
      <c r="AB139" s="75"/>
      <c r="AC139" s="76"/>
      <c r="AD139" s="76"/>
      <c r="AE139" s="76"/>
      <c r="AF139" s="76"/>
      <c r="AG139" s="76"/>
      <c r="AH139" s="76"/>
      <c r="AI139" s="76"/>
      <c r="AJ139" s="76"/>
      <c r="AK139" s="76"/>
      <c r="AL139" s="76"/>
      <c r="AM139" s="76"/>
      <c r="AN139" s="76"/>
    </row>
    <row r="140" spans="1:40" s="43" customFormat="1" ht="13.5" outlineLevel="1" x14ac:dyDescent="0.15">
      <c r="A140" s="34">
        <v>1</v>
      </c>
      <c r="B140" s="85">
        <f t="shared" si="76"/>
        <v>138</v>
      </c>
      <c r="C140" s="70" t="s">
        <v>169</v>
      </c>
      <c r="D140" s="71"/>
      <c r="E140" s="72">
        <f t="shared" si="72"/>
        <v>0</v>
      </c>
      <c r="F140" s="73"/>
      <c r="G140" s="74">
        <f t="shared" si="73"/>
        <v>0</v>
      </c>
      <c r="H140" s="75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34">
        <f t="shared" si="46"/>
        <v>1</v>
      </c>
      <c r="V140" s="69">
        <f t="shared" si="46"/>
        <v>138</v>
      </c>
      <c r="W140" s="70" t="s">
        <v>169</v>
      </c>
      <c r="X140" s="71"/>
      <c r="Y140" s="72">
        <f t="shared" si="74"/>
        <v>0</v>
      </c>
      <c r="Z140" s="73"/>
      <c r="AA140" s="74">
        <f t="shared" si="75"/>
        <v>0</v>
      </c>
      <c r="AB140" s="75"/>
      <c r="AC140" s="76"/>
      <c r="AD140" s="76"/>
      <c r="AE140" s="76"/>
      <c r="AF140" s="76"/>
      <c r="AG140" s="76"/>
      <c r="AH140" s="76"/>
      <c r="AI140" s="76"/>
      <c r="AJ140" s="76"/>
      <c r="AK140" s="76"/>
      <c r="AL140" s="76"/>
      <c r="AM140" s="76"/>
      <c r="AN140" s="76"/>
    </row>
    <row r="141" spans="1:40" s="43" customFormat="1" ht="13.5" outlineLevel="1" x14ac:dyDescent="0.15">
      <c r="A141" s="34">
        <v>1</v>
      </c>
      <c r="B141" s="85">
        <f t="shared" si="76"/>
        <v>139</v>
      </c>
      <c r="C141" s="70" t="s">
        <v>170</v>
      </c>
      <c r="D141" s="71"/>
      <c r="E141" s="72">
        <f t="shared" si="72"/>
        <v>0</v>
      </c>
      <c r="F141" s="73"/>
      <c r="G141" s="74">
        <f t="shared" si="73"/>
        <v>0</v>
      </c>
      <c r="H141" s="75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34">
        <f t="shared" si="46"/>
        <v>1</v>
      </c>
      <c r="V141" s="69">
        <f t="shared" si="46"/>
        <v>139</v>
      </c>
      <c r="W141" s="70" t="s">
        <v>170</v>
      </c>
      <c r="X141" s="71"/>
      <c r="Y141" s="72">
        <f t="shared" si="74"/>
        <v>0</v>
      </c>
      <c r="Z141" s="73"/>
      <c r="AA141" s="74">
        <f t="shared" si="75"/>
        <v>0</v>
      </c>
      <c r="AB141" s="75"/>
      <c r="AC141" s="76"/>
      <c r="AD141" s="76"/>
      <c r="AE141" s="76"/>
      <c r="AF141" s="76"/>
      <c r="AG141" s="76"/>
      <c r="AH141" s="76"/>
      <c r="AI141" s="76"/>
      <c r="AJ141" s="76"/>
      <c r="AK141" s="76"/>
      <c r="AL141" s="76"/>
      <c r="AM141" s="76"/>
      <c r="AN141" s="76"/>
    </row>
    <row r="142" spans="1:40" s="43" customFormat="1" ht="13.5" outlineLevel="1" x14ac:dyDescent="0.15">
      <c r="A142" s="34">
        <v>1</v>
      </c>
      <c r="B142" s="85">
        <f t="shared" si="76"/>
        <v>140</v>
      </c>
      <c r="C142" s="70" t="s">
        <v>171</v>
      </c>
      <c r="D142" s="71"/>
      <c r="E142" s="72">
        <f t="shared" si="72"/>
        <v>269882605</v>
      </c>
      <c r="F142" s="73"/>
      <c r="G142" s="74">
        <f t="shared" si="73"/>
        <v>269882605</v>
      </c>
      <c r="H142" s="75"/>
      <c r="I142" s="76">
        <v>444461285</v>
      </c>
      <c r="J142" s="76">
        <v>583532731</v>
      </c>
      <c r="K142" s="76">
        <v>609244777</v>
      </c>
      <c r="L142" s="76">
        <v>651458735</v>
      </c>
      <c r="M142" s="76">
        <v>595824494</v>
      </c>
      <c r="N142" s="76">
        <v>618359670</v>
      </c>
      <c r="O142" s="76">
        <v>559984319</v>
      </c>
      <c r="P142" s="76">
        <v>501384871</v>
      </c>
      <c r="Q142" s="76">
        <v>442560466</v>
      </c>
      <c r="R142" s="76">
        <v>383510235</v>
      </c>
      <c r="S142" s="76">
        <v>319975721</v>
      </c>
      <c r="T142" s="76">
        <v>269882605</v>
      </c>
      <c r="U142" s="34">
        <f t="shared" si="46"/>
        <v>1</v>
      </c>
      <c r="V142" s="69">
        <f t="shared" si="46"/>
        <v>140</v>
      </c>
      <c r="W142" s="70" t="s">
        <v>171</v>
      </c>
      <c r="X142" s="71"/>
      <c r="Y142" s="72">
        <f t="shared" si="74"/>
        <v>161087717</v>
      </c>
      <c r="Z142" s="73"/>
      <c r="AA142" s="74">
        <f t="shared" si="75"/>
        <v>161087717</v>
      </c>
      <c r="AB142" s="75"/>
      <c r="AC142" s="76">
        <v>325147517</v>
      </c>
      <c r="AD142" s="76">
        <v>337639890</v>
      </c>
      <c r="AE142" s="76">
        <v>312812150</v>
      </c>
      <c r="AF142" s="76">
        <v>310358527</v>
      </c>
      <c r="AG142" s="76">
        <v>291911020</v>
      </c>
      <c r="AH142" s="76">
        <v>274451540</v>
      </c>
      <c r="AI142" s="76">
        <v>256926355</v>
      </c>
      <c r="AJ142" s="76">
        <v>239335218</v>
      </c>
      <c r="AK142" s="76">
        <v>221677880</v>
      </c>
      <c r="AL142" s="76">
        <v>203954090</v>
      </c>
      <c r="AM142" s="76">
        <v>186949590</v>
      </c>
      <c r="AN142" s="76">
        <v>161087717</v>
      </c>
    </row>
    <row r="143" spans="1:40" s="43" customFormat="1" ht="13.5" outlineLevel="1" x14ac:dyDescent="0.15">
      <c r="A143" s="34">
        <v>1</v>
      </c>
      <c r="B143" s="85">
        <f t="shared" si="76"/>
        <v>141</v>
      </c>
      <c r="C143" s="78" t="s">
        <v>172</v>
      </c>
      <c r="D143" s="79"/>
      <c r="E143" s="80">
        <f t="shared" si="72"/>
        <v>1219028000</v>
      </c>
      <c r="F143" s="81"/>
      <c r="G143" s="82">
        <f t="shared" si="73"/>
        <v>1219028000</v>
      </c>
      <c r="H143" s="83"/>
      <c r="I143" s="84">
        <v>1126753000</v>
      </c>
      <c r="J143" s="84">
        <v>1174853000</v>
      </c>
      <c r="K143" s="84">
        <v>1193428000</v>
      </c>
      <c r="L143" s="84">
        <v>1195728000</v>
      </c>
      <c r="M143" s="84">
        <v>1195728000</v>
      </c>
      <c r="N143" s="84">
        <v>1195728000</v>
      </c>
      <c r="O143" s="84">
        <v>1195728000</v>
      </c>
      <c r="P143" s="84">
        <v>1195728000</v>
      </c>
      <c r="Q143" s="84">
        <v>1195728000</v>
      </c>
      <c r="R143" s="84">
        <v>1219028000</v>
      </c>
      <c r="S143" s="84">
        <v>1219028000</v>
      </c>
      <c r="T143" s="84">
        <v>1219028000</v>
      </c>
      <c r="U143" s="34">
        <f t="shared" si="46"/>
        <v>1</v>
      </c>
      <c r="V143" s="77">
        <f t="shared" si="46"/>
        <v>141</v>
      </c>
      <c r="W143" s="78" t="s">
        <v>172</v>
      </c>
      <c r="X143" s="79"/>
      <c r="Y143" s="72">
        <f t="shared" si="74"/>
        <v>1126753000</v>
      </c>
      <c r="Z143" s="81"/>
      <c r="AA143" s="82">
        <f t="shared" si="75"/>
        <v>1126753000</v>
      </c>
      <c r="AB143" s="83"/>
      <c r="AC143" s="84">
        <v>683986000</v>
      </c>
      <c r="AD143" s="84">
        <v>683986000</v>
      </c>
      <c r="AE143" s="84">
        <v>677706000</v>
      </c>
      <c r="AF143" s="84">
        <v>677706000</v>
      </c>
      <c r="AG143" s="84">
        <v>677706000</v>
      </c>
      <c r="AH143" s="84">
        <v>677706000</v>
      </c>
      <c r="AI143" s="84">
        <v>677706000</v>
      </c>
      <c r="AJ143" s="84">
        <v>677706000</v>
      </c>
      <c r="AK143" s="84">
        <v>1133188000</v>
      </c>
      <c r="AL143" s="84">
        <v>1133188000</v>
      </c>
      <c r="AM143" s="84">
        <v>1126753000</v>
      </c>
      <c r="AN143" s="84">
        <v>1126753000</v>
      </c>
    </row>
    <row r="144" spans="1:40" s="43" customFormat="1" ht="13.5" x14ac:dyDescent="0.15">
      <c r="A144" s="34">
        <v>1</v>
      </c>
      <c r="B144" s="85">
        <f t="shared" si="76"/>
        <v>142</v>
      </c>
      <c r="C144" s="54" t="s">
        <v>173</v>
      </c>
      <c r="D144" s="55"/>
      <c r="E144" s="56">
        <f>SUM(E145:E146)</f>
        <v>26541796094</v>
      </c>
      <c r="F144" s="57"/>
      <c r="G144" s="58">
        <f>SUM(G145:G146)</f>
        <v>26541796094</v>
      </c>
      <c r="H144" s="59"/>
      <c r="I144" s="60">
        <f>SUM(I145:I146)</f>
        <v>23412875727</v>
      </c>
      <c r="J144" s="60">
        <f t="shared" ref="J144:S144" si="77">SUM(J145:J146)</f>
        <v>24161514193</v>
      </c>
      <c r="K144" s="60">
        <f>SUM(K145:K146)</f>
        <v>24152245467</v>
      </c>
      <c r="L144" s="60">
        <f t="shared" si="77"/>
        <v>25326411657</v>
      </c>
      <c r="M144" s="60">
        <f t="shared" si="77"/>
        <v>25677519764</v>
      </c>
      <c r="N144" s="60">
        <f t="shared" si="77"/>
        <v>26118046409</v>
      </c>
      <c r="O144" s="60">
        <f t="shared" si="77"/>
        <v>26428490988</v>
      </c>
      <c r="P144" s="60">
        <f t="shared" si="77"/>
        <v>26709967917</v>
      </c>
      <c r="Q144" s="60">
        <f t="shared" si="77"/>
        <v>27448113998</v>
      </c>
      <c r="R144" s="60">
        <f t="shared" si="77"/>
        <v>27760132737</v>
      </c>
      <c r="S144" s="60">
        <f t="shared" si="77"/>
        <v>27980080996</v>
      </c>
      <c r="T144" s="60">
        <f>SUM(T145:T146)</f>
        <v>26541796094</v>
      </c>
      <c r="U144" s="34">
        <f t="shared" si="46"/>
        <v>1</v>
      </c>
      <c r="V144" s="53">
        <f t="shared" si="46"/>
        <v>142</v>
      </c>
      <c r="W144" s="54" t="s">
        <v>173</v>
      </c>
      <c r="X144" s="55"/>
      <c r="Y144" s="56">
        <f>SUM(Y145:Y146)</f>
        <v>23966416321</v>
      </c>
      <c r="Z144" s="57"/>
      <c r="AA144" s="58">
        <f>SUM(AA145:AA146)</f>
        <v>23966416321</v>
      </c>
      <c r="AB144" s="59"/>
      <c r="AC144" s="60">
        <f>SUM(AC145:AC146)</f>
        <v>16393508770</v>
      </c>
      <c r="AD144" s="60">
        <f t="shared" ref="AD144:AM144" si="78">SUM(AD145:AD146)</f>
        <v>16541444170</v>
      </c>
      <c r="AE144" s="60">
        <f t="shared" si="78"/>
        <v>16657798700</v>
      </c>
      <c r="AF144" s="60">
        <f t="shared" si="78"/>
        <v>16912619416</v>
      </c>
      <c r="AG144" s="60">
        <f t="shared" si="78"/>
        <v>16900208182</v>
      </c>
      <c r="AH144" s="60">
        <f t="shared" si="78"/>
        <v>17129041367</v>
      </c>
      <c r="AI144" s="60">
        <f t="shared" si="78"/>
        <v>17275571123</v>
      </c>
      <c r="AJ144" s="60">
        <f t="shared" si="78"/>
        <v>17559029559</v>
      </c>
      <c r="AK144" s="60">
        <f t="shared" si="78"/>
        <v>18032332832</v>
      </c>
      <c r="AL144" s="60">
        <f t="shared" si="78"/>
        <v>18120347488</v>
      </c>
      <c r="AM144" s="60">
        <f t="shared" si="78"/>
        <v>18281077614</v>
      </c>
      <c r="AN144" s="60">
        <f>SUM(AN145:AN146)</f>
        <v>23966416321</v>
      </c>
    </row>
    <row r="145" spans="1:43" s="43" customFormat="1" ht="13.5" outlineLevel="1" x14ac:dyDescent="0.15">
      <c r="A145" s="34">
        <v>1</v>
      </c>
      <c r="B145" s="85">
        <f t="shared" si="76"/>
        <v>143</v>
      </c>
      <c r="C145" s="62" t="s">
        <v>174</v>
      </c>
      <c r="D145" s="63"/>
      <c r="E145" s="64">
        <f>HLOOKUP($A$1,$I$3:$T$365,B145,0)</f>
        <v>29045389086</v>
      </c>
      <c r="F145" s="65"/>
      <c r="G145" s="66">
        <f>E145</f>
        <v>29045389086</v>
      </c>
      <c r="H145" s="67"/>
      <c r="I145" s="68">
        <v>25264181638</v>
      </c>
      <c r="J145" s="68">
        <v>26622677182</v>
      </c>
      <c r="K145" s="68">
        <v>26628443595</v>
      </c>
      <c r="L145" s="68">
        <v>27800624084</v>
      </c>
      <c r="M145" s="68">
        <v>28151732191</v>
      </c>
      <c r="N145" s="68">
        <v>28611211213</v>
      </c>
      <c r="O145" s="68">
        <v>28921655792</v>
      </c>
      <c r="P145" s="68">
        <v>29187921085</v>
      </c>
      <c r="Q145" s="68">
        <v>29944045221</v>
      </c>
      <c r="R145" s="68">
        <v>30256063960</v>
      </c>
      <c r="S145" s="68">
        <v>30476012219</v>
      </c>
      <c r="T145" s="68">
        <v>29045389086</v>
      </c>
      <c r="U145" s="34">
        <f t="shared" si="46"/>
        <v>1</v>
      </c>
      <c r="V145" s="61">
        <f t="shared" si="46"/>
        <v>143</v>
      </c>
      <c r="W145" s="62" t="s">
        <v>174</v>
      </c>
      <c r="X145" s="63"/>
      <c r="Y145" s="64">
        <f>HLOOKUP($U$1,$AC$3:$AN$365,V145,0)</f>
        <v>25817722232</v>
      </c>
      <c r="Z145" s="65"/>
      <c r="AA145" s="66">
        <f>Y145</f>
        <v>25817722232</v>
      </c>
      <c r="AB145" s="67"/>
      <c r="AC145" s="68">
        <v>18191890833</v>
      </c>
      <c r="AD145" s="68">
        <v>18339826233</v>
      </c>
      <c r="AE145" s="68">
        <v>18469623592</v>
      </c>
      <c r="AF145" s="68">
        <v>18724444308</v>
      </c>
      <c r="AG145" s="68">
        <v>18712033074</v>
      </c>
      <c r="AH145" s="68">
        <v>18956309370</v>
      </c>
      <c r="AI145" s="68">
        <v>19102839126</v>
      </c>
      <c r="AJ145" s="68">
        <v>19386297562</v>
      </c>
      <c r="AK145" s="68">
        <v>19875463488</v>
      </c>
      <c r="AL145" s="68">
        <v>19963478144</v>
      </c>
      <c r="AM145" s="68">
        <v>20124208270</v>
      </c>
      <c r="AN145" s="68">
        <v>25817722232</v>
      </c>
    </row>
    <row r="146" spans="1:43" s="43" customFormat="1" ht="13.5" outlineLevel="1" x14ac:dyDescent="0.15">
      <c r="A146" s="34">
        <v>1</v>
      </c>
      <c r="B146" s="85">
        <f t="shared" si="76"/>
        <v>144</v>
      </c>
      <c r="C146" s="78" t="s">
        <v>175</v>
      </c>
      <c r="D146" s="79"/>
      <c r="E146" s="80">
        <f>HLOOKUP($A$1,$I$3:$T$365,B146,0)</f>
        <v>-2503592992</v>
      </c>
      <c r="F146" s="81"/>
      <c r="G146" s="82">
        <f>E146</f>
        <v>-2503592992</v>
      </c>
      <c r="H146" s="83"/>
      <c r="I146" s="84">
        <v>-1851305911</v>
      </c>
      <c r="J146" s="84">
        <f>-2460910989-252000</f>
        <v>-2461162989</v>
      </c>
      <c r="K146" s="84">
        <f>-2475946128-252000</f>
        <v>-2476198128</v>
      </c>
      <c r="L146" s="84">
        <v>-2474212427</v>
      </c>
      <c r="M146" s="84">
        <f>-2473960427-252000</f>
        <v>-2474212427</v>
      </c>
      <c r="N146" s="84">
        <v>-2493164804</v>
      </c>
      <c r="O146" s="84">
        <f>-252000-2492912804</f>
        <v>-2493164804</v>
      </c>
      <c r="P146" s="84">
        <v>-2477953168</v>
      </c>
      <c r="Q146" s="84">
        <v>-2495931223</v>
      </c>
      <c r="R146" s="84">
        <v>-2495931223</v>
      </c>
      <c r="S146" s="84">
        <v>-2495931223</v>
      </c>
      <c r="T146" s="84">
        <v>-2503592992</v>
      </c>
      <c r="U146" s="34">
        <f t="shared" si="46"/>
        <v>1</v>
      </c>
      <c r="V146" s="77">
        <f t="shared" si="46"/>
        <v>144</v>
      </c>
      <c r="W146" s="78" t="s">
        <v>175</v>
      </c>
      <c r="X146" s="79"/>
      <c r="Y146" s="80">
        <f>HLOOKUP($U$1,$AC$3:$AN$365,V146,0)</f>
        <v>-1851305911</v>
      </c>
      <c r="Z146" s="81"/>
      <c r="AA146" s="82">
        <f>Y146</f>
        <v>-1851305911</v>
      </c>
      <c r="AB146" s="83"/>
      <c r="AC146" s="84">
        <v>-1798382063</v>
      </c>
      <c r="AD146" s="84">
        <v>-1798382063</v>
      </c>
      <c r="AE146" s="84">
        <v>-1811824892</v>
      </c>
      <c r="AF146" s="84">
        <v>-1811824892</v>
      </c>
      <c r="AG146" s="84">
        <v>-1811824892</v>
      </c>
      <c r="AH146" s="84">
        <v>-1827268003</v>
      </c>
      <c r="AI146" s="84">
        <v>-1827268003</v>
      </c>
      <c r="AJ146" s="84">
        <v>-1827268003</v>
      </c>
      <c r="AK146" s="84">
        <v>-1843130656</v>
      </c>
      <c r="AL146" s="84">
        <v>-1843130656</v>
      </c>
      <c r="AM146" s="84">
        <v>-1843130656</v>
      </c>
      <c r="AN146" s="84">
        <v>-1851305911</v>
      </c>
    </row>
    <row r="147" spans="1:43" s="43" customFormat="1" ht="13.5" x14ac:dyDescent="0.15">
      <c r="A147" s="34">
        <v>1</v>
      </c>
      <c r="B147" s="85">
        <f t="shared" si="76"/>
        <v>145</v>
      </c>
      <c r="C147" s="54" t="s">
        <v>176</v>
      </c>
      <c r="D147" s="55"/>
      <c r="E147" s="56">
        <f>HLOOKUP($A$1,$I$3:$T$365,B147,0)</f>
        <v>0</v>
      </c>
      <c r="F147" s="57"/>
      <c r="G147" s="58">
        <f>E147</f>
        <v>0</v>
      </c>
      <c r="H147" s="59"/>
      <c r="I147" s="12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34">
        <f t="shared" si="46"/>
        <v>1</v>
      </c>
      <c r="V147" s="53">
        <f t="shared" si="46"/>
        <v>145</v>
      </c>
      <c r="W147" s="54" t="s">
        <v>176</v>
      </c>
      <c r="X147" s="55"/>
      <c r="Y147" s="56">
        <f>HLOOKUP($U$1,$AC$3:$AN$365,V147,0)</f>
        <v>0</v>
      </c>
      <c r="Z147" s="57"/>
      <c r="AA147" s="58">
        <f>Y147</f>
        <v>0</v>
      </c>
      <c r="AB147" s="59"/>
      <c r="AC147" s="120"/>
      <c r="AD147" s="120"/>
      <c r="AE147" s="120"/>
      <c r="AF147" s="120"/>
      <c r="AG147" s="120"/>
      <c r="AH147" s="120"/>
      <c r="AI147" s="120"/>
      <c r="AJ147" s="120"/>
      <c r="AK147" s="120"/>
      <c r="AL147" s="120"/>
      <c r="AM147" s="120"/>
      <c r="AN147" s="120"/>
    </row>
    <row r="148" spans="1:43" s="43" customFormat="1" ht="13.5" x14ac:dyDescent="0.15">
      <c r="A148" s="34">
        <v>1</v>
      </c>
      <c r="B148" s="85">
        <f t="shared" si="76"/>
        <v>146</v>
      </c>
      <c r="C148" s="54" t="s">
        <v>177</v>
      </c>
      <c r="D148" s="55"/>
      <c r="E148" s="56">
        <f>HLOOKUP($A$1,$I$3:$T$365,B148,0)</f>
        <v>0</v>
      </c>
      <c r="F148" s="57"/>
      <c r="G148" s="58">
        <f>E148</f>
        <v>0</v>
      </c>
      <c r="H148" s="59"/>
      <c r="I148" s="120">
        <v>0</v>
      </c>
      <c r="J148" s="120">
        <v>0</v>
      </c>
      <c r="K148" s="120">
        <v>0</v>
      </c>
      <c r="L148" s="120">
        <v>0</v>
      </c>
      <c r="M148" s="120">
        <v>0</v>
      </c>
      <c r="N148" s="120">
        <v>0</v>
      </c>
      <c r="O148" s="120">
        <v>0</v>
      </c>
      <c r="P148" s="120">
        <v>0</v>
      </c>
      <c r="Q148" s="120">
        <v>0</v>
      </c>
      <c r="R148" s="120">
        <v>0</v>
      </c>
      <c r="S148" s="120">
        <v>0</v>
      </c>
      <c r="T148" s="120">
        <v>0</v>
      </c>
      <c r="U148" s="34">
        <f t="shared" si="46"/>
        <v>1</v>
      </c>
      <c r="V148" s="53">
        <f t="shared" si="46"/>
        <v>146</v>
      </c>
      <c r="W148" s="54" t="s">
        <v>177</v>
      </c>
      <c r="X148" s="55"/>
      <c r="Y148" s="56">
        <f>HLOOKUP($U$1,$AC$3:$AN$365,V148,0)</f>
        <v>0</v>
      </c>
      <c r="Z148" s="57"/>
      <c r="AA148" s="58">
        <f>Y148</f>
        <v>0</v>
      </c>
      <c r="AB148" s="59"/>
      <c r="AC148" s="120"/>
      <c r="AD148" s="120"/>
      <c r="AE148" s="120"/>
      <c r="AF148" s="120"/>
      <c r="AG148" s="120"/>
      <c r="AH148" s="120"/>
      <c r="AI148" s="120"/>
      <c r="AJ148" s="120"/>
      <c r="AK148" s="120"/>
      <c r="AL148" s="120"/>
      <c r="AM148" s="120"/>
      <c r="AN148" s="120">
        <v>0</v>
      </c>
    </row>
    <row r="149" spans="1:43" s="158" customFormat="1" ht="13.5" x14ac:dyDescent="0.15">
      <c r="A149" s="34">
        <v>1</v>
      </c>
      <c r="B149" s="85">
        <f t="shared" si="76"/>
        <v>147</v>
      </c>
      <c r="C149" s="151" t="s">
        <v>178</v>
      </c>
      <c r="D149" s="152"/>
      <c r="E149" s="153">
        <f>E102+E129</f>
        <v>360403344926</v>
      </c>
      <c r="F149" s="154"/>
      <c r="G149" s="155">
        <f>G102+G129</f>
        <v>360403344926</v>
      </c>
      <c r="H149" s="156"/>
      <c r="I149" s="153">
        <f t="shared" ref="I149:T149" si="79">I102+I129</f>
        <v>298832539209</v>
      </c>
      <c r="J149" s="153">
        <f t="shared" si="79"/>
        <v>300900866574</v>
      </c>
      <c r="K149" s="153">
        <f t="shared" si="79"/>
        <v>313192220483</v>
      </c>
      <c r="L149" s="153">
        <f t="shared" si="79"/>
        <v>311101863845</v>
      </c>
      <c r="M149" s="153">
        <f t="shared" si="79"/>
        <v>316490948309</v>
      </c>
      <c r="N149" s="153">
        <f t="shared" si="79"/>
        <v>332192361035</v>
      </c>
      <c r="O149" s="153">
        <f t="shared" si="79"/>
        <v>332112599938</v>
      </c>
      <c r="P149" s="153">
        <f t="shared" si="79"/>
        <v>334869395584</v>
      </c>
      <c r="Q149" s="153">
        <f t="shared" si="79"/>
        <v>340454911030</v>
      </c>
      <c r="R149" s="153">
        <f>R102+R129</f>
        <v>349061565584</v>
      </c>
      <c r="S149" s="153">
        <f t="shared" si="79"/>
        <v>361256831324</v>
      </c>
      <c r="T149" s="153">
        <f t="shared" si="79"/>
        <v>360403344926</v>
      </c>
      <c r="U149" s="34">
        <f t="shared" si="46"/>
        <v>1</v>
      </c>
      <c r="V149" s="157">
        <f t="shared" si="46"/>
        <v>147</v>
      </c>
      <c r="W149" s="151" t="s">
        <v>178</v>
      </c>
      <c r="X149" s="152"/>
      <c r="Y149" s="153">
        <f>Y102+Y129</f>
        <v>298730465565</v>
      </c>
      <c r="Z149" s="154"/>
      <c r="AA149" s="155">
        <f>AA102+AA129</f>
        <v>298730465565</v>
      </c>
      <c r="AB149" s="156"/>
      <c r="AC149" s="153">
        <f t="shared" ref="AC149:AN149" si="80">AC102+AC129</f>
        <v>231107980316</v>
      </c>
      <c r="AD149" s="153">
        <f t="shared" si="80"/>
        <v>229537847818</v>
      </c>
      <c r="AE149" s="153">
        <f t="shared" si="80"/>
        <v>236270154479</v>
      </c>
      <c r="AF149" s="153">
        <f t="shared" si="80"/>
        <v>233378363233</v>
      </c>
      <c r="AG149" s="153">
        <f t="shared" si="80"/>
        <v>232851348381</v>
      </c>
      <c r="AH149" s="153">
        <f t="shared" si="80"/>
        <v>238238300591</v>
      </c>
      <c r="AI149" s="153">
        <f t="shared" si="80"/>
        <v>231532931926</v>
      </c>
      <c r="AJ149" s="153">
        <f t="shared" si="80"/>
        <v>276362247796</v>
      </c>
      <c r="AK149" s="153">
        <f t="shared" si="80"/>
        <v>285255626170</v>
      </c>
      <c r="AL149" s="153">
        <f t="shared" si="80"/>
        <v>282780276585</v>
      </c>
      <c r="AM149" s="153">
        <f t="shared" si="80"/>
        <v>288680692529</v>
      </c>
      <c r="AN149" s="153">
        <f t="shared" si="80"/>
        <v>298730465565</v>
      </c>
      <c r="AQ149" s="52"/>
    </row>
    <row r="150" spans="1:43" s="43" customFormat="1" ht="13.5" x14ac:dyDescent="0.15">
      <c r="A150" s="34">
        <v>1</v>
      </c>
      <c r="B150" s="85">
        <f t="shared" si="76"/>
        <v>148</v>
      </c>
      <c r="C150" s="36" t="s">
        <v>179</v>
      </c>
      <c r="D150" s="37"/>
      <c r="E150" s="38"/>
      <c r="F150" s="39"/>
      <c r="G150" s="40"/>
      <c r="H150" s="41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34">
        <f t="shared" si="46"/>
        <v>1</v>
      </c>
      <c r="V150" s="35">
        <f t="shared" si="46"/>
        <v>148</v>
      </c>
      <c r="W150" s="36" t="s">
        <v>179</v>
      </c>
      <c r="X150" s="37"/>
      <c r="Y150" s="38"/>
      <c r="Z150" s="39"/>
      <c r="AA150" s="40"/>
      <c r="AB150" s="41"/>
      <c r="AC150" s="42"/>
      <c r="AD150" s="42"/>
      <c r="AE150" s="42"/>
      <c r="AF150" s="42"/>
      <c r="AG150" s="42"/>
      <c r="AH150" s="42"/>
      <c r="AI150" s="42"/>
      <c r="AJ150" s="42"/>
      <c r="AK150" s="42"/>
      <c r="AL150" s="42"/>
      <c r="AM150" s="42"/>
      <c r="AN150" s="42"/>
    </row>
    <row r="151" spans="1:43" s="52" customFormat="1" ht="13.5" collapsed="1" x14ac:dyDescent="0.15">
      <c r="A151" s="34">
        <v>1</v>
      </c>
      <c r="B151" s="85">
        <f t="shared" si="76"/>
        <v>149</v>
      </c>
      <c r="C151" s="121" t="s">
        <v>180</v>
      </c>
      <c r="D151" s="122"/>
      <c r="E151" s="123">
        <f>E152+E154+E163+E170+E175</f>
        <v>283863692558</v>
      </c>
      <c r="F151" s="124"/>
      <c r="G151" s="125">
        <f>G152+G154+G163+G170+G175</f>
        <v>283863692558</v>
      </c>
      <c r="H151" s="126"/>
      <c r="I151" s="123">
        <f t="shared" ref="I151:T151" si="81">I152+I154+I163+I170+I175</f>
        <v>258301063420</v>
      </c>
      <c r="J151" s="123">
        <f t="shared" si="81"/>
        <v>258866511923</v>
      </c>
      <c r="K151" s="123">
        <f t="shared" si="81"/>
        <v>260171464672.65146</v>
      </c>
      <c r="L151" s="123">
        <f t="shared" si="81"/>
        <v>262663990629</v>
      </c>
      <c r="M151" s="123">
        <f t="shared" si="81"/>
        <v>266208028867</v>
      </c>
      <c r="N151" s="123">
        <f t="shared" si="81"/>
        <v>263861150654</v>
      </c>
      <c r="O151" s="123">
        <f t="shared" si="81"/>
        <v>266003518514</v>
      </c>
      <c r="P151" s="123">
        <f t="shared" si="81"/>
        <v>266545909801</v>
      </c>
      <c r="Q151" s="123">
        <f t="shared" si="81"/>
        <v>268518022714</v>
      </c>
      <c r="R151" s="123">
        <f t="shared" si="81"/>
        <v>268963247966</v>
      </c>
      <c r="S151" s="123">
        <f t="shared" si="81"/>
        <v>268591314625</v>
      </c>
      <c r="T151" s="123">
        <f t="shared" si="81"/>
        <v>283863692558</v>
      </c>
      <c r="U151" s="34">
        <f t="shared" ref="U151:V215" si="82">A151</f>
        <v>1</v>
      </c>
      <c r="V151" s="127">
        <f t="shared" si="82"/>
        <v>149</v>
      </c>
      <c r="W151" s="121" t="s">
        <v>180</v>
      </c>
      <c r="X151" s="122"/>
      <c r="Y151" s="123">
        <f>Y152+Y154+Y163+Y170+Y175</f>
        <v>256325103853</v>
      </c>
      <c r="Z151" s="124"/>
      <c r="AA151" s="125">
        <f>AA152+AA154+AA163+AA170+AA175</f>
        <v>256325103853</v>
      </c>
      <c r="AB151" s="126"/>
      <c r="AC151" s="123">
        <f t="shared" ref="AC151:AN151" si="83">AC152+AC154+AC163+AC170+AC175</f>
        <v>253045215207</v>
      </c>
      <c r="AD151" s="123">
        <f t="shared" si="83"/>
        <v>253382643509</v>
      </c>
      <c r="AE151" s="123">
        <f t="shared" si="83"/>
        <v>252661814238</v>
      </c>
      <c r="AF151" s="123">
        <f t="shared" si="83"/>
        <v>249806167721</v>
      </c>
      <c r="AG151" s="123">
        <f t="shared" si="83"/>
        <v>250760002762</v>
      </c>
      <c r="AH151" s="123">
        <f t="shared" si="83"/>
        <v>254917884816</v>
      </c>
      <c r="AI151" s="123">
        <f t="shared" si="83"/>
        <v>254982271920</v>
      </c>
      <c r="AJ151" s="123">
        <f t="shared" si="83"/>
        <v>256697528195</v>
      </c>
      <c r="AK151" s="123">
        <f t="shared" si="83"/>
        <v>255502502607</v>
      </c>
      <c r="AL151" s="123">
        <f t="shared" si="83"/>
        <v>256500958357</v>
      </c>
      <c r="AM151" s="123">
        <f t="shared" si="83"/>
        <v>256613678109</v>
      </c>
      <c r="AN151" s="123">
        <f t="shared" si="83"/>
        <v>256325103853</v>
      </c>
    </row>
    <row r="152" spans="1:43" s="43" customFormat="1" ht="13.5" x14ac:dyDescent="0.15">
      <c r="A152" s="34">
        <v>1</v>
      </c>
      <c r="B152" s="85">
        <f t="shared" si="76"/>
        <v>150</v>
      </c>
      <c r="C152" s="54" t="s">
        <v>181</v>
      </c>
      <c r="D152" s="55"/>
      <c r="E152" s="56">
        <f>E153</f>
        <v>4801960500</v>
      </c>
      <c r="F152" s="57"/>
      <c r="G152" s="58">
        <f>G153</f>
        <v>4801960500</v>
      </c>
      <c r="H152" s="59"/>
      <c r="I152" s="60">
        <f>I153</f>
        <v>4801960500</v>
      </c>
      <c r="J152" s="60">
        <f t="shared" ref="J152:T152" si="84">J153</f>
        <v>4801960500</v>
      </c>
      <c r="K152" s="60">
        <f t="shared" si="84"/>
        <v>4801960500</v>
      </c>
      <c r="L152" s="60">
        <f t="shared" si="84"/>
        <v>4801960500</v>
      </c>
      <c r="M152" s="60">
        <f t="shared" si="84"/>
        <v>4801960500</v>
      </c>
      <c r="N152" s="60">
        <f>N153</f>
        <v>4801960500</v>
      </c>
      <c r="O152" s="60">
        <f t="shared" si="84"/>
        <v>4801960500</v>
      </c>
      <c r="P152" s="60">
        <f t="shared" si="84"/>
        <v>4801960500</v>
      </c>
      <c r="Q152" s="60">
        <f t="shared" si="84"/>
        <v>4801960500</v>
      </c>
      <c r="R152" s="60">
        <f t="shared" si="84"/>
        <v>4801960500</v>
      </c>
      <c r="S152" s="60">
        <f t="shared" si="84"/>
        <v>4801960500</v>
      </c>
      <c r="T152" s="60">
        <f t="shared" si="84"/>
        <v>4801960500</v>
      </c>
      <c r="U152" s="34">
        <f t="shared" si="82"/>
        <v>1</v>
      </c>
      <c r="V152" s="53">
        <f t="shared" si="82"/>
        <v>150</v>
      </c>
      <c r="W152" s="54" t="s">
        <v>181</v>
      </c>
      <c r="X152" s="55"/>
      <c r="Y152" s="56">
        <f>Y153</f>
        <v>4801960500</v>
      </c>
      <c r="Z152" s="57"/>
      <c r="AA152" s="58">
        <f>AA153</f>
        <v>4801960500</v>
      </c>
      <c r="AB152" s="59"/>
      <c r="AC152" s="60">
        <f>AC153</f>
        <v>4801960500</v>
      </c>
      <c r="AD152" s="60">
        <f t="shared" ref="AD152:AN152" si="85">AD153</f>
        <v>4801960500</v>
      </c>
      <c r="AE152" s="60">
        <f t="shared" si="85"/>
        <v>4801960500</v>
      </c>
      <c r="AF152" s="60">
        <f t="shared" si="85"/>
        <v>4801960500</v>
      </c>
      <c r="AG152" s="60">
        <f t="shared" si="85"/>
        <v>4801960500</v>
      </c>
      <c r="AH152" s="60">
        <f t="shared" si="85"/>
        <v>4801960500</v>
      </c>
      <c r="AI152" s="60">
        <f t="shared" si="85"/>
        <v>4801960500</v>
      </c>
      <c r="AJ152" s="60">
        <f t="shared" si="85"/>
        <v>4801960500</v>
      </c>
      <c r="AK152" s="60">
        <f t="shared" si="85"/>
        <v>4801960500</v>
      </c>
      <c r="AL152" s="60">
        <f t="shared" si="85"/>
        <v>4801960500</v>
      </c>
      <c r="AM152" s="60">
        <f t="shared" si="85"/>
        <v>4801960500</v>
      </c>
      <c r="AN152" s="60">
        <f t="shared" si="85"/>
        <v>4801960500</v>
      </c>
    </row>
    <row r="153" spans="1:43" s="43" customFormat="1" ht="13.5" outlineLevel="1" x14ac:dyDescent="0.15">
      <c r="A153" s="34">
        <v>1</v>
      </c>
      <c r="B153" s="85">
        <f t="shared" si="76"/>
        <v>151</v>
      </c>
      <c r="C153" s="36" t="s">
        <v>182</v>
      </c>
      <c r="D153" s="37"/>
      <c r="E153" s="135">
        <f>HLOOKUP($A$1,$I$3:$T$365,B153,0)</f>
        <v>4801960500</v>
      </c>
      <c r="F153" s="136"/>
      <c r="G153" s="137">
        <f>E153</f>
        <v>4801960500</v>
      </c>
      <c r="H153" s="138"/>
      <c r="I153" s="139">
        <v>4801960500</v>
      </c>
      <c r="J153" s="139">
        <v>4801960500</v>
      </c>
      <c r="K153" s="139">
        <v>4801960500</v>
      </c>
      <c r="L153" s="139">
        <v>4801960500</v>
      </c>
      <c r="M153" s="139">
        <v>4801960500</v>
      </c>
      <c r="N153" s="139">
        <v>4801960500</v>
      </c>
      <c r="O153" s="139">
        <v>4801960500</v>
      </c>
      <c r="P153" s="139">
        <v>4801960500</v>
      </c>
      <c r="Q153" s="139">
        <v>4801960500</v>
      </c>
      <c r="R153" s="139">
        <v>4801960500</v>
      </c>
      <c r="S153" s="139">
        <v>4801960500</v>
      </c>
      <c r="T153" s="139">
        <v>4801960500</v>
      </c>
      <c r="U153" s="34">
        <f t="shared" si="82"/>
        <v>1</v>
      </c>
      <c r="V153" s="35">
        <f t="shared" si="82"/>
        <v>151</v>
      </c>
      <c r="W153" s="36" t="s">
        <v>182</v>
      </c>
      <c r="X153" s="37"/>
      <c r="Y153" s="135">
        <f>HLOOKUP($U$1,$AC$3:$AN$365,V153,0)</f>
        <v>4801960500</v>
      </c>
      <c r="Z153" s="136"/>
      <c r="AA153" s="137">
        <f>Y153</f>
        <v>4801960500</v>
      </c>
      <c r="AB153" s="138"/>
      <c r="AC153" s="139">
        <v>4801960500</v>
      </c>
      <c r="AD153" s="139">
        <v>4801960500</v>
      </c>
      <c r="AE153" s="139">
        <v>4801960500</v>
      </c>
      <c r="AF153" s="139">
        <v>4801960500</v>
      </c>
      <c r="AG153" s="139">
        <v>4801960500</v>
      </c>
      <c r="AH153" s="139">
        <v>4801960500</v>
      </c>
      <c r="AI153" s="139">
        <v>4801960500</v>
      </c>
      <c r="AJ153" s="139">
        <v>4801960500</v>
      </c>
      <c r="AK153" s="139">
        <v>4801960500</v>
      </c>
      <c r="AL153" s="139">
        <v>4801960500</v>
      </c>
      <c r="AM153" s="139">
        <v>4801960500</v>
      </c>
      <c r="AN153" s="139">
        <v>4801960500</v>
      </c>
    </row>
    <row r="154" spans="1:43" s="43" customFormat="1" ht="13.5" x14ac:dyDescent="0.15">
      <c r="A154" s="34">
        <v>1</v>
      </c>
      <c r="B154" s="85">
        <f t="shared" si="76"/>
        <v>152</v>
      </c>
      <c r="C154" s="54" t="s">
        <v>183</v>
      </c>
      <c r="D154" s="55"/>
      <c r="E154" s="56">
        <f>SUM(E155:E162)</f>
        <v>229242016941</v>
      </c>
      <c r="F154" s="57"/>
      <c r="G154" s="58">
        <f>SUM(G155:G162)</f>
        <v>229242016941</v>
      </c>
      <c r="H154" s="59"/>
      <c r="I154" s="60">
        <f t="shared" ref="I154:T154" si="86">SUM(I155:I162)</f>
        <v>229242016941</v>
      </c>
      <c r="J154" s="60">
        <f t="shared" si="86"/>
        <v>229242016941</v>
      </c>
      <c r="K154" s="60">
        <f t="shared" si="86"/>
        <v>229242016941</v>
      </c>
      <c r="L154" s="60">
        <f t="shared" si="86"/>
        <v>229242016941</v>
      </c>
      <c r="M154" s="60">
        <f t="shared" si="86"/>
        <v>229242016941</v>
      </c>
      <c r="N154" s="60">
        <f t="shared" si="86"/>
        <v>229242016941</v>
      </c>
      <c r="O154" s="60">
        <f t="shared" si="86"/>
        <v>229242016941</v>
      </c>
      <c r="P154" s="60">
        <f t="shared" si="86"/>
        <v>229242016941</v>
      </c>
      <c r="Q154" s="60">
        <f t="shared" si="86"/>
        <v>229242016941</v>
      </c>
      <c r="R154" s="60">
        <f t="shared" si="86"/>
        <v>229242016941</v>
      </c>
      <c r="S154" s="60">
        <f t="shared" si="86"/>
        <v>229242016941</v>
      </c>
      <c r="T154" s="60">
        <f t="shared" si="86"/>
        <v>229242016941</v>
      </c>
      <c r="U154" s="34">
        <f t="shared" si="82"/>
        <v>1</v>
      </c>
      <c r="V154" s="53">
        <f t="shared" si="82"/>
        <v>152</v>
      </c>
      <c r="W154" s="54" t="s">
        <v>183</v>
      </c>
      <c r="X154" s="55"/>
      <c r="Y154" s="56">
        <f>SUM(Y155:Y162)</f>
        <v>229242016941</v>
      </c>
      <c r="Z154" s="57"/>
      <c r="AA154" s="58">
        <f>SUM(AA155:AA162)</f>
        <v>229242016941</v>
      </c>
      <c r="AB154" s="59"/>
      <c r="AC154" s="60">
        <f t="shared" ref="AC154:AN154" si="87">SUM(AC155:AC162)</f>
        <v>229242016941</v>
      </c>
      <c r="AD154" s="60">
        <f t="shared" si="87"/>
        <v>229242016941</v>
      </c>
      <c r="AE154" s="60">
        <f t="shared" si="87"/>
        <v>229242016941</v>
      </c>
      <c r="AF154" s="60">
        <f t="shared" si="87"/>
        <v>229242016941</v>
      </c>
      <c r="AG154" s="60">
        <f t="shared" si="87"/>
        <v>229242016941</v>
      </c>
      <c r="AH154" s="60">
        <f t="shared" si="87"/>
        <v>229242016941</v>
      </c>
      <c r="AI154" s="60">
        <f t="shared" si="87"/>
        <v>229242016941</v>
      </c>
      <c r="AJ154" s="60">
        <f t="shared" si="87"/>
        <v>229242016941</v>
      </c>
      <c r="AK154" s="60">
        <f t="shared" si="87"/>
        <v>229242016941</v>
      </c>
      <c r="AL154" s="60">
        <f t="shared" si="87"/>
        <v>229242016941</v>
      </c>
      <c r="AM154" s="60">
        <f t="shared" si="87"/>
        <v>229242016941</v>
      </c>
      <c r="AN154" s="60">
        <f t="shared" si="87"/>
        <v>229242016941</v>
      </c>
    </row>
    <row r="155" spans="1:43" s="43" customFormat="1" ht="13.5" outlineLevel="1" x14ac:dyDescent="0.15">
      <c r="A155" s="34">
        <v>1</v>
      </c>
      <c r="B155" s="85">
        <f t="shared" si="76"/>
        <v>153</v>
      </c>
      <c r="C155" s="62" t="s">
        <v>184</v>
      </c>
      <c r="D155" s="63"/>
      <c r="E155" s="64">
        <f t="shared" ref="E155:E162" si="88">HLOOKUP($A$1,$I$3:$T$365,B155,0)</f>
        <v>221152793548</v>
      </c>
      <c r="F155" s="65"/>
      <c r="G155" s="66">
        <f t="shared" ref="G155:G162" si="89">E155</f>
        <v>221152793548</v>
      </c>
      <c r="H155" s="67"/>
      <c r="I155" s="68">
        <v>221152793548</v>
      </c>
      <c r="J155" s="68">
        <v>221152793548</v>
      </c>
      <c r="K155" s="68">
        <v>221152793548</v>
      </c>
      <c r="L155" s="68">
        <v>221152793548</v>
      </c>
      <c r="M155" s="68">
        <v>221152793548</v>
      </c>
      <c r="N155" s="68">
        <v>221152793548</v>
      </c>
      <c r="O155" s="68">
        <v>221152793548</v>
      </c>
      <c r="P155" s="68">
        <v>221152793548</v>
      </c>
      <c r="Q155" s="68">
        <v>221152793548</v>
      </c>
      <c r="R155" s="68">
        <v>221152793548</v>
      </c>
      <c r="S155" s="68">
        <v>221152793548</v>
      </c>
      <c r="T155" s="68">
        <v>221152793548</v>
      </c>
      <c r="U155" s="34">
        <f t="shared" si="82"/>
        <v>1</v>
      </c>
      <c r="V155" s="61">
        <f t="shared" si="82"/>
        <v>153</v>
      </c>
      <c r="W155" s="62" t="s">
        <v>184</v>
      </c>
      <c r="X155" s="63"/>
      <c r="Y155" s="64">
        <f t="shared" ref="Y155:Y162" si="90">HLOOKUP($U$1,$AC$3:$AN$365,V155,0)</f>
        <v>221152793548</v>
      </c>
      <c r="Z155" s="65"/>
      <c r="AA155" s="66">
        <f t="shared" ref="AA155:AA162" si="91">Y155</f>
        <v>221152793548</v>
      </c>
      <c r="AB155" s="67"/>
      <c r="AC155" s="68">
        <v>221152793548</v>
      </c>
      <c r="AD155" s="68">
        <v>221152793548</v>
      </c>
      <c r="AE155" s="68">
        <v>221152793548</v>
      </c>
      <c r="AF155" s="68">
        <v>221152793548</v>
      </c>
      <c r="AG155" s="68">
        <v>221152793548</v>
      </c>
      <c r="AH155" s="68">
        <v>221152793548</v>
      </c>
      <c r="AI155" s="68">
        <v>221152793548</v>
      </c>
      <c r="AJ155" s="68">
        <v>221152793548</v>
      </c>
      <c r="AK155" s="68">
        <v>221152793548</v>
      </c>
      <c r="AL155" s="68">
        <v>221152793548</v>
      </c>
      <c r="AM155" s="68">
        <v>221152793548</v>
      </c>
      <c r="AN155" s="68">
        <v>221152793548</v>
      </c>
    </row>
    <row r="156" spans="1:43" s="43" customFormat="1" ht="13.5" outlineLevel="1" x14ac:dyDescent="0.15">
      <c r="A156" s="34">
        <v>1</v>
      </c>
      <c r="B156" s="85">
        <f t="shared" si="76"/>
        <v>154</v>
      </c>
      <c r="C156" s="70" t="s">
        <v>185</v>
      </c>
      <c r="D156" s="71"/>
      <c r="E156" s="72">
        <f t="shared" si="88"/>
        <v>941301173</v>
      </c>
      <c r="F156" s="73"/>
      <c r="G156" s="74">
        <f t="shared" si="89"/>
        <v>941301173</v>
      </c>
      <c r="H156" s="75"/>
      <c r="I156" s="76">
        <v>941301173</v>
      </c>
      <c r="J156" s="76">
        <v>941301173</v>
      </c>
      <c r="K156" s="76">
        <v>941301173</v>
      </c>
      <c r="L156" s="76">
        <v>941301173</v>
      </c>
      <c r="M156" s="76">
        <v>941301173</v>
      </c>
      <c r="N156" s="76">
        <v>941301173</v>
      </c>
      <c r="O156" s="76">
        <v>941301173</v>
      </c>
      <c r="P156" s="76">
        <v>941301173</v>
      </c>
      <c r="Q156" s="76">
        <v>941301173</v>
      </c>
      <c r="R156" s="76">
        <v>941301173</v>
      </c>
      <c r="S156" s="76">
        <v>941301173</v>
      </c>
      <c r="T156" s="76">
        <v>941301173</v>
      </c>
      <c r="U156" s="34">
        <f t="shared" si="82"/>
        <v>1</v>
      </c>
      <c r="V156" s="69">
        <f t="shared" si="82"/>
        <v>154</v>
      </c>
      <c r="W156" s="70" t="s">
        <v>185</v>
      </c>
      <c r="X156" s="71"/>
      <c r="Y156" s="72">
        <f t="shared" si="90"/>
        <v>941301173</v>
      </c>
      <c r="Z156" s="73"/>
      <c r="AA156" s="74">
        <f t="shared" si="91"/>
        <v>941301173</v>
      </c>
      <c r="AB156" s="75"/>
      <c r="AC156" s="76">
        <v>941301173</v>
      </c>
      <c r="AD156" s="76">
        <v>941301173</v>
      </c>
      <c r="AE156" s="76">
        <v>941301173</v>
      </c>
      <c r="AF156" s="76">
        <v>941301173</v>
      </c>
      <c r="AG156" s="76">
        <v>941301173</v>
      </c>
      <c r="AH156" s="76">
        <v>941301173</v>
      </c>
      <c r="AI156" s="76">
        <v>941301173</v>
      </c>
      <c r="AJ156" s="76">
        <v>941301173</v>
      </c>
      <c r="AK156" s="76">
        <v>941301173</v>
      </c>
      <c r="AL156" s="76">
        <v>941301173</v>
      </c>
      <c r="AM156" s="76">
        <v>941301173</v>
      </c>
      <c r="AN156" s="76">
        <v>941301173</v>
      </c>
    </row>
    <row r="157" spans="1:43" s="43" customFormat="1" ht="13.5" outlineLevel="1" x14ac:dyDescent="0.15">
      <c r="A157" s="34">
        <v>1</v>
      </c>
      <c r="B157" s="85">
        <f t="shared" si="76"/>
        <v>155</v>
      </c>
      <c r="C157" s="70" t="s">
        <v>186</v>
      </c>
      <c r="D157" s="71"/>
      <c r="E157" s="72">
        <f t="shared" si="88"/>
        <v>1533182533</v>
      </c>
      <c r="F157" s="73"/>
      <c r="G157" s="74">
        <f t="shared" si="89"/>
        <v>1533182533</v>
      </c>
      <c r="H157" s="75"/>
      <c r="I157" s="76">
        <v>1533182533</v>
      </c>
      <c r="J157" s="76">
        <v>1533182533</v>
      </c>
      <c r="K157" s="76">
        <v>1533182533</v>
      </c>
      <c r="L157" s="76">
        <v>1533182533</v>
      </c>
      <c r="M157" s="76">
        <v>1533182533</v>
      </c>
      <c r="N157" s="76">
        <v>1533182533</v>
      </c>
      <c r="O157" s="76">
        <v>1533182533</v>
      </c>
      <c r="P157" s="76">
        <v>1533182533</v>
      </c>
      <c r="Q157" s="76">
        <v>1533182533</v>
      </c>
      <c r="R157" s="76">
        <v>1533182533</v>
      </c>
      <c r="S157" s="76">
        <v>1533182533</v>
      </c>
      <c r="T157" s="76">
        <v>1533182533</v>
      </c>
      <c r="U157" s="34">
        <f t="shared" si="82"/>
        <v>1</v>
      </c>
      <c r="V157" s="69">
        <f t="shared" si="82"/>
        <v>155</v>
      </c>
      <c r="W157" s="70" t="s">
        <v>186</v>
      </c>
      <c r="X157" s="71"/>
      <c r="Y157" s="72">
        <f t="shared" si="90"/>
        <v>1533182533</v>
      </c>
      <c r="Z157" s="73"/>
      <c r="AA157" s="74">
        <f t="shared" si="91"/>
        <v>1533182533</v>
      </c>
      <c r="AB157" s="75"/>
      <c r="AC157" s="76">
        <v>1533182533</v>
      </c>
      <c r="AD157" s="76">
        <v>1533182533</v>
      </c>
      <c r="AE157" s="76">
        <v>1533182533</v>
      </c>
      <c r="AF157" s="76">
        <v>1533182533</v>
      </c>
      <c r="AG157" s="76">
        <v>1533182533</v>
      </c>
      <c r="AH157" s="76">
        <v>1533182533</v>
      </c>
      <c r="AI157" s="76">
        <v>1533182533</v>
      </c>
      <c r="AJ157" s="76">
        <v>1533182533</v>
      </c>
      <c r="AK157" s="76">
        <v>1533182533</v>
      </c>
      <c r="AL157" s="76">
        <v>1533182533</v>
      </c>
      <c r="AM157" s="76">
        <v>1533182533</v>
      </c>
      <c r="AN157" s="76">
        <v>1533182533</v>
      </c>
    </row>
    <row r="158" spans="1:43" s="43" customFormat="1" ht="13.5" outlineLevel="1" x14ac:dyDescent="0.15">
      <c r="A158" s="34">
        <v>1</v>
      </c>
      <c r="B158" s="85">
        <f t="shared" si="76"/>
        <v>156</v>
      </c>
      <c r="C158" s="70" t="s">
        <v>187</v>
      </c>
      <c r="D158" s="71"/>
      <c r="E158" s="72">
        <f t="shared" si="88"/>
        <v>0</v>
      </c>
      <c r="F158" s="73"/>
      <c r="G158" s="74">
        <f t="shared" si="89"/>
        <v>0</v>
      </c>
      <c r="H158" s="75"/>
      <c r="I158" s="76">
        <v>0</v>
      </c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34">
        <f t="shared" si="82"/>
        <v>1</v>
      </c>
      <c r="V158" s="69">
        <f t="shared" si="82"/>
        <v>156</v>
      </c>
      <c r="W158" s="70" t="s">
        <v>187</v>
      </c>
      <c r="X158" s="71"/>
      <c r="Y158" s="72">
        <f t="shared" si="90"/>
        <v>0</v>
      </c>
      <c r="Z158" s="73"/>
      <c r="AA158" s="74">
        <f t="shared" si="91"/>
        <v>0</v>
      </c>
      <c r="AB158" s="75"/>
      <c r="AC158" s="76"/>
      <c r="AD158" s="76"/>
      <c r="AE158" s="76"/>
      <c r="AF158" s="76"/>
      <c r="AG158" s="76"/>
      <c r="AH158" s="76"/>
      <c r="AI158" s="76"/>
      <c r="AJ158" s="76"/>
      <c r="AK158" s="76"/>
      <c r="AL158" s="76"/>
      <c r="AM158" s="76"/>
      <c r="AN158" s="76"/>
    </row>
    <row r="159" spans="1:43" s="43" customFormat="1" ht="13.5" outlineLevel="1" x14ac:dyDescent="0.15">
      <c r="A159" s="34">
        <v>1</v>
      </c>
      <c r="B159" s="85">
        <f t="shared" si="76"/>
        <v>157</v>
      </c>
      <c r="C159" s="70" t="s">
        <v>188</v>
      </c>
      <c r="D159" s="71"/>
      <c r="E159" s="72">
        <f t="shared" si="88"/>
        <v>0</v>
      </c>
      <c r="F159" s="73"/>
      <c r="G159" s="74">
        <f t="shared" si="89"/>
        <v>0</v>
      </c>
      <c r="H159" s="75"/>
      <c r="I159" s="76">
        <v>0</v>
      </c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34">
        <f t="shared" si="82"/>
        <v>1</v>
      </c>
      <c r="V159" s="69">
        <f t="shared" si="82"/>
        <v>157</v>
      </c>
      <c r="W159" s="70" t="s">
        <v>188</v>
      </c>
      <c r="X159" s="71"/>
      <c r="Y159" s="72">
        <f t="shared" si="90"/>
        <v>0</v>
      </c>
      <c r="Z159" s="73"/>
      <c r="AA159" s="74">
        <f t="shared" si="91"/>
        <v>0</v>
      </c>
      <c r="AB159" s="75"/>
      <c r="AC159" s="76"/>
      <c r="AD159" s="76"/>
      <c r="AE159" s="76"/>
      <c r="AF159" s="76"/>
      <c r="AG159" s="76"/>
      <c r="AH159" s="76"/>
      <c r="AI159" s="76"/>
      <c r="AJ159" s="76"/>
      <c r="AK159" s="76"/>
      <c r="AL159" s="76"/>
      <c r="AM159" s="76"/>
      <c r="AN159" s="76"/>
    </row>
    <row r="160" spans="1:43" s="43" customFormat="1" ht="13.5" outlineLevel="1" x14ac:dyDescent="0.15">
      <c r="A160" s="34">
        <v>1</v>
      </c>
      <c r="B160" s="85">
        <f t="shared" si="76"/>
        <v>158</v>
      </c>
      <c r="C160" s="70" t="s">
        <v>189</v>
      </c>
      <c r="D160" s="71"/>
      <c r="E160" s="72">
        <f t="shared" si="88"/>
        <v>6347289438</v>
      </c>
      <c r="F160" s="73"/>
      <c r="G160" s="74">
        <f t="shared" si="89"/>
        <v>6347289438</v>
      </c>
      <c r="H160" s="75"/>
      <c r="I160" s="76">
        <v>6347289438</v>
      </c>
      <c r="J160" s="76">
        <v>6347289438</v>
      </c>
      <c r="K160" s="76">
        <v>6347289438</v>
      </c>
      <c r="L160" s="76">
        <v>6347289438</v>
      </c>
      <c r="M160" s="76">
        <v>6347289438</v>
      </c>
      <c r="N160" s="76">
        <v>6347289438</v>
      </c>
      <c r="O160" s="76">
        <v>6347289438</v>
      </c>
      <c r="P160" s="76">
        <v>6347289438</v>
      </c>
      <c r="Q160" s="76">
        <v>6347289438</v>
      </c>
      <c r="R160" s="76">
        <v>6347289438</v>
      </c>
      <c r="S160" s="76">
        <v>6347289438</v>
      </c>
      <c r="T160" s="76">
        <v>6347289438</v>
      </c>
      <c r="U160" s="34">
        <f t="shared" si="82"/>
        <v>1</v>
      </c>
      <c r="V160" s="69">
        <f t="shared" si="82"/>
        <v>158</v>
      </c>
      <c r="W160" s="70" t="s">
        <v>189</v>
      </c>
      <c r="X160" s="71"/>
      <c r="Y160" s="72">
        <f t="shared" si="90"/>
        <v>6347289438</v>
      </c>
      <c r="Z160" s="73"/>
      <c r="AA160" s="74">
        <f>Y160</f>
        <v>6347289438</v>
      </c>
      <c r="AB160" s="75"/>
      <c r="AC160" s="76">
        <v>6347289438</v>
      </c>
      <c r="AD160" s="76">
        <v>6347289438</v>
      </c>
      <c r="AE160" s="76">
        <v>6347289438</v>
      </c>
      <c r="AF160" s="76">
        <v>6347289438</v>
      </c>
      <c r="AG160" s="76">
        <v>6347289438</v>
      </c>
      <c r="AH160" s="76">
        <v>6347289438</v>
      </c>
      <c r="AI160" s="76">
        <v>6347289438</v>
      </c>
      <c r="AJ160" s="76">
        <v>6347289438</v>
      </c>
      <c r="AK160" s="76">
        <v>6347289438</v>
      </c>
      <c r="AL160" s="76">
        <v>6347289438</v>
      </c>
      <c r="AM160" s="76">
        <v>6347289438</v>
      </c>
      <c r="AN160" s="76">
        <v>6347289438</v>
      </c>
    </row>
    <row r="161" spans="1:40" s="43" customFormat="1" ht="13.5" outlineLevel="1" x14ac:dyDescent="0.15">
      <c r="A161" s="34">
        <v>1</v>
      </c>
      <c r="B161" s="85">
        <f t="shared" si="76"/>
        <v>159</v>
      </c>
      <c r="C161" s="70" t="s">
        <v>190</v>
      </c>
      <c r="D161" s="71"/>
      <c r="E161" s="72">
        <f t="shared" si="88"/>
        <v>-732549751</v>
      </c>
      <c r="F161" s="73"/>
      <c r="G161" s="74">
        <f t="shared" si="89"/>
        <v>-732549751</v>
      </c>
      <c r="H161" s="75"/>
      <c r="I161" s="76">
        <v>-732549751</v>
      </c>
      <c r="J161" s="76">
        <v>-732549751</v>
      </c>
      <c r="K161" s="76">
        <v>-732549751</v>
      </c>
      <c r="L161" s="76">
        <v>-732549751</v>
      </c>
      <c r="M161" s="76">
        <v>-732549751</v>
      </c>
      <c r="N161" s="76">
        <v>-732549751</v>
      </c>
      <c r="O161" s="76">
        <v>-732549751</v>
      </c>
      <c r="P161" s="76">
        <v>-732549751</v>
      </c>
      <c r="Q161" s="76">
        <v>-732549751</v>
      </c>
      <c r="R161" s="76">
        <v>-732549751</v>
      </c>
      <c r="S161" s="76">
        <v>-732549751</v>
      </c>
      <c r="T161" s="76">
        <v>-732549751</v>
      </c>
      <c r="U161" s="34">
        <f t="shared" si="82"/>
        <v>1</v>
      </c>
      <c r="V161" s="69">
        <f t="shared" si="82"/>
        <v>159</v>
      </c>
      <c r="W161" s="70" t="s">
        <v>190</v>
      </c>
      <c r="X161" s="71"/>
      <c r="Y161" s="72">
        <f t="shared" si="90"/>
        <v>-732549751</v>
      </c>
      <c r="Z161" s="73"/>
      <c r="AA161" s="74">
        <f>Y161</f>
        <v>-732549751</v>
      </c>
      <c r="AB161" s="75"/>
      <c r="AC161" s="76">
        <v>-732549751</v>
      </c>
      <c r="AD161" s="76">
        <v>-732549751</v>
      </c>
      <c r="AE161" s="76">
        <v>-732549751</v>
      </c>
      <c r="AF161" s="76">
        <v>-732549751</v>
      </c>
      <c r="AG161" s="76">
        <v>-732549751</v>
      </c>
      <c r="AH161" s="76">
        <v>-732549751</v>
      </c>
      <c r="AI161" s="76">
        <v>-732549751</v>
      </c>
      <c r="AJ161" s="76">
        <v>-732549751</v>
      </c>
      <c r="AK161" s="76">
        <v>-732549751</v>
      </c>
      <c r="AL161" s="76">
        <v>-732549751</v>
      </c>
      <c r="AM161" s="76">
        <v>-732549751</v>
      </c>
      <c r="AN161" s="76">
        <v>-732549751</v>
      </c>
    </row>
    <row r="162" spans="1:40" s="43" customFormat="1" ht="13.5" outlineLevel="1" x14ac:dyDescent="0.15">
      <c r="A162" s="34">
        <v>1</v>
      </c>
      <c r="B162" s="85">
        <f t="shared" si="76"/>
        <v>160</v>
      </c>
      <c r="C162" s="78" t="s">
        <v>191</v>
      </c>
      <c r="D162" s="79"/>
      <c r="E162" s="80">
        <f t="shared" si="88"/>
        <v>0</v>
      </c>
      <c r="F162" s="81"/>
      <c r="G162" s="82">
        <f t="shared" si="89"/>
        <v>0</v>
      </c>
      <c r="H162" s="83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34">
        <f t="shared" si="82"/>
        <v>1</v>
      </c>
      <c r="V162" s="77">
        <f t="shared" si="82"/>
        <v>160</v>
      </c>
      <c r="W162" s="78" t="s">
        <v>191</v>
      </c>
      <c r="X162" s="79"/>
      <c r="Y162" s="80">
        <f t="shared" si="90"/>
        <v>0</v>
      </c>
      <c r="Z162" s="81"/>
      <c r="AA162" s="82">
        <f t="shared" si="91"/>
        <v>0</v>
      </c>
      <c r="AB162" s="83"/>
      <c r="AC162" s="84"/>
      <c r="AD162" s="84"/>
      <c r="AE162" s="84"/>
      <c r="AF162" s="84"/>
      <c r="AG162" s="84"/>
      <c r="AH162" s="84"/>
      <c r="AI162" s="84"/>
      <c r="AJ162" s="84"/>
      <c r="AK162" s="84"/>
      <c r="AL162" s="84"/>
      <c r="AM162" s="84"/>
      <c r="AN162" s="84"/>
    </row>
    <row r="163" spans="1:40" s="43" customFormat="1" ht="13.5" x14ac:dyDescent="0.15">
      <c r="A163" s="34">
        <v>1</v>
      </c>
      <c r="B163" s="85">
        <f t="shared" si="76"/>
        <v>161</v>
      </c>
      <c r="C163" s="54" t="s">
        <v>192</v>
      </c>
      <c r="D163" s="55"/>
      <c r="E163" s="56">
        <f>SUM(E164:E169)</f>
        <v>-39673554335</v>
      </c>
      <c r="F163" s="57"/>
      <c r="G163" s="58">
        <f>SUM(G164:G169)</f>
        <v>-39673554335</v>
      </c>
      <c r="H163" s="59"/>
      <c r="I163" s="60">
        <f>SUM(I164:I169)</f>
        <v>-39673554335</v>
      </c>
      <c r="J163" s="60">
        <f t="shared" ref="J163:T163" si="92">SUM(J164:J169)</f>
        <v>-39673554335</v>
      </c>
      <c r="K163" s="60">
        <f t="shared" si="92"/>
        <v>-39673554335</v>
      </c>
      <c r="L163" s="60">
        <f t="shared" si="92"/>
        <v>-39673554335</v>
      </c>
      <c r="M163" s="60">
        <f t="shared" si="92"/>
        <v>-39673554335</v>
      </c>
      <c r="N163" s="60">
        <f t="shared" si="92"/>
        <v>-39673554335</v>
      </c>
      <c r="O163" s="60">
        <f t="shared" si="92"/>
        <v>-39673554335</v>
      </c>
      <c r="P163" s="60">
        <f t="shared" si="92"/>
        <v>-39673554335</v>
      </c>
      <c r="Q163" s="60">
        <f t="shared" si="92"/>
        <v>-39673554335</v>
      </c>
      <c r="R163" s="60">
        <f t="shared" si="92"/>
        <v>-39673554335</v>
      </c>
      <c r="S163" s="60">
        <f t="shared" si="92"/>
        <v>-39673554335</v>
      </c>
      <c r="T163" s="60">
        <f t="shared" si="92"/>
        <v>-39673554335</v>
      </c>
      <c r="U163" s="34">
        <f t="shared" si="82"/>
        <v>1</v>
      </c>
      <c r="V163" s="53">
        <f t="shared" si="82"/>
        <v>161</v>
      </c>
      <c r="W163" s="54" t="s">
        <v>192</v>
      </c>
      <c r="X163" s="55"/>
      <c r="Y163" s="56">
        <f>SUM(Y164:Y169)</f>
        <v>-39673554335</v>
      </c>
      <c r="Z163" s="57"/>
      <c r="AA163" s="58">
        <f>SUM(AA164:AA169)</f>
        <v>-39673554335</v>
      </c>
      <c r="AB163" s="59"/>
      <c r="AC163" s="60">
        <f>SUM(AC164:AC169)</f>
        <v>-39673554335</v>
      </c>
      <c r="AD163" s="60">
        <f t="shared" ref="AD163:AN163" si="93">SUM(AD164:AD169)</f>
        <v>-39673554335</v>
      </c>
      <c r="AE163" s="60">
        <f>SUM(AE164:AE169)</f>
        <v>-39673554335</v>
      </c>
      <c r="AF163" s="60">
        <f t="shared" si="93"/>
        <v>-39673554335</v>
      </c>
      <c r="AG163" s="60">
        <f t="shared" si="93"/>
        <v>-39673554335</v>
      </c>
      <c r="AH163" s="60">
        <f t="shared" si="93"/>
        <v>-39673554335</v>
      </c>
      <c r="AI163" s="60">
        <f t="shared" si="93"/>
        <v>-39673554335</v>
      </c>
      <c r="AJ163" s="60">
        <f t="shared" si="93"/>
        <v>-39673554335</v>
      </c>
      <c r="AK163" s="60">
        <f t="shared" si="93"/>
        <v>-39673554335</v>
      </c>
      <c r="AL163" s="60">
        <f t="shared" si="93"/>
        <v>-39673554335</v>
      </c>
      <c r="AM163" s="60">
        <f t="shared" si="93"/>
        <v>-39673554335</v>
      </c>
      <c r="AN163" s="60">
        <f t="shared" si="93"/>
        <v>-39673554335</v>
      </c>
    </row>
    <row r="164" spans="1:40" s="43" customFormat="1" ht="13.5" outlineLevel="1" x14ac:dyDescent="0.15">
      <c r="A164" s="34">
        <v>1</v>
      </c>
      <c r="B164" s="85">
        <f t="shared" si="76"/>
        <v>162</v>
      </c>
      <c r="C164" s="62" t="s">
        <v>193</v>
      </c>
      <c r="D164" s="63"/>
      <c r="E164" s="64">
        <f t="shared" ref="E164:E169" si="94">HLOOKUP($A$1,$I$3:$T$365,B164,0)</f>
        <v>0</v>
      </c>
      <c r="F164" s="65"/>
      <c r="G164" s="66">
        <f t="shared" ref="G164:G169" si="95">E164</f>
        <v>0</v>
      </c>
      <c r="H164" s="67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76"/>
      <c r="U164" s="34">
        <f t="shared" si="82"/>
        <v>1</v>
      </c>
      <c r="V164" s="61">
        <f t="shared" si="82"/>
        <v>162</v>
      </c>
      <c r="W164" s="62" t="s">
        <v>193</v>
      </c>
      <c r="X164" s="63"/>
      <c r="Y164" s="64">
        <f t="shared" ref="Y164:Y169" si="96">HLOOKUP($U$1,$AC$3:$AN$365,V164,0)</f>
        <v>0</v>
      </c>
      <c r="Z164" s="65"/>
      <c r="AA164" s="66">
        <f t="shared" ref="AA164:AA169" si="97">Y164</f>
        <v>0</v>
      </c>
      <c r="AB164" s="67"/>
      <c r="AC164" s="68"/>
      <c r="AD164" s="68"/>
      <c r="AE164" s="68"/>
      <c r="AF164" s="68"/>
      <c r="AG164" s="68"/>
      <c r="AH164" s="68"/>
      <c r="AI164" s="68"/>
      <c r="AJ164" s="68"/>
      <c r="AK164" s="68"/>
      <c r="AL164" s="68"/>
      <c r="AM164" s="68"/>
      <c r="AN164" s="76"/>
    </row>
    <row r="165" spans="1:40" s="43" customFormat="1" ht="13.5" outlineLevel="1" x14ac:dyDescent="0.15">
      <c r="A165" s="34">
        <v>1</v>
      </c>
      <c r="B165" s="85">
        <f t="shared" si="76"/>
        <v>163</v>
      </c>
      <c r="C165" s="70" t="s">
        <v>194</v>
      </c>
      <c r="D165" s="71"/>
      <c r="E165" s="72">
        <f t="shared" si="94"/>
        <v>-501171604</v>
      </c>
      <c r="F165" s="73"/>
      <c r="G165" s="74">
        <f t="shared" si="95"/>
        <v>-501171604</v>
      </c>
      <c r="H165" s="75"/>
      <c r="I165" s="76">
        <v>-501171604</v>
      </c>
      <c r="J165" s="76">
        <v>-501171604</v>
      </c>
      <c r="K165" s="76">
        <v>-501171604</v>
      </c>
      <c r="L165" s="76">
        <v>-501171604</v>
      </c>
      <c r="M165" s="76">
        <v>-501171604</v>
      </c>
      <c r="N165" s="76">
        <v>-501171604</v>
      </c>
      <c r="O165" s="76">
        <v>-501171604</v>
      </c>
      <c r="P165" s="76">
        <v>-501171604</v>
      </c>
      <c r="Q165" s="76">
        <v>-501171604</v>
      </c>
      <c r="R165" s="76">
        <v>-501171604</v>
      </c>
      <c r="S165" s="76">
        <v>-501171604</v>
      </c>
      <c r="T165" s="76">
        <v>-501171604</v>
      </c>
      <c r="U165" s="34">
        <f t="shared" si="82"/>
        <v>1</v>
      </c>
      <c r="V165" s="69">
        <f t="shared" si="82"/>
        <v>163</v>
      </c>
      <c r="W165" s="70" t="s">
        <v>194</v>
      </c>
      <c r="X165" s="71"/>
      <c r="Y165" s="72">
        <f t="shared" si="96"/>
        <v>-501171604</v>
      </c>
      <c r="Z165" s="73"/>
      <c r="AA165" s="74">
        <f t="shared" si="97"/>
        <v>-501171604</v>
      </c>
      <c r="AB165" s="75"/>
      <c r="AC165" s="76">
        <v>-501171604</v>
      </c>
      <c r="AD165" s="76">
        <v>-501171604</v>
      </c>
      <c r="AE165" s="76">
        <v>-501171604</v>
      </c>
      <c r="AF165" s="76">
        <v>-501171604</v>
      </c>
      <c r="AG165" s="76">
        <v>-501171604</v>
      </c>
      <c r="AH165" s="76">
        <v>-501171604</v>
      </c>
      <c r="AI165" s="76">
        <v>-501171604</v>
      </c>
      <c r="AJ165" s="76">
        <v>-501171604</v>
      </c>
      <c r="AK165" s="76">
        <v>-501171604</v>
      </c>
      <c r="AL165" s="76">
        <v>-501171604</v>
      </c>
      <c r="AM165" s="76">
        <v>-501171604</v>
      </c>
      <c r="AN165" s="76">
        <v>-501171604</v>
      </c>
    </row>
    <row r="166" spans="1:40" s="43" customFormat="1" ht="13.5" outlineLevel="1" x14ac:dyDescent="0.15">
      <c r="A166" s="34">
        <v>1</v>
      </c>
      <c r="B166" s="85">
        <f t="shared" si="76"/>
        <v>164</v>
      </c>
      <c r="C166" s="70" t="s">
        <v>195</v>
      </c>
      <c r="D166" s="71"/>
      <c r="E166" s="72">
        <f t="shared" si="94"/>
        <v>-39172382731</v>
      </c>
      <c r="F166" s="73"/>
      <c r="G166" s="74">
        <f t="shared" si="95"/>
        <v>-39172382731</v>
      </c>
      <c r="H166" s="75"/>
      <c r="I166" s="76">
        <v>-39172382731</v>
      </c>
      <c r="J166" s="76">
        <v>-39172382731</v>
      </c>
      <c r="K166" s="76">
        <v>-39172382731</v>
      </c>
      <c r="L166" s="76">
        <v>-39172382731</v>
      </c>
      <c r="M166" s="76">
        <v>-39172382731</v>
      </c>
      <c r="N166" s="76">
        <v>-39172382731</v>
      </c>
      <c r="O166" s="76">
        <v>-39172382731</v>
      </c>
      <c r="P166" s="76">
        <v>-39172382731</v>
      </c>
      <c r="Q166" s="76">
        <v>-39172382731</v>
      </c>
      <c r="R166" s="76">
        <v>-39172382731</v>
      </c>
      <c r="S166" s="76">
        <v>-39172382731</v>
      </c>
      <c r="T166" s="76">
        <v>-39172382731</v>
      </c>
      <c r="U166" s="34">
        <f t="shared" si="82"/>
        <v>1</v>
      </c>
      <c r="V166" s="69">
        <f t="shared" si="82"/>
        <v>164</v>
      </c>
      <c r="W166" s="70" t="s">
        <v>195</v>
      </c>
      <c r="X166" s="71"/>
      <c r="Y166" s="72">
        <f t="shared" si="96"/>
        <v>-39172382731</v>
      </c>
      <c r="Z166" s="73"/>
      <c r="AA166" s="74">
        <f t="shared" si="97"/>
        <v>-39172382731</v>
      </c>
      <c r="AB166" s="75"/>
      <c r="AC166" s="76">
        <v>-39172382731</v>
      </c>
      <c r="AD166" s="76">
        <v>-39172382731</v>
      </c>
      <c r="AE166" s="76">
        <v>-39172382731</v>
      </c>
      <c r="AF166" s="76">
        <v>-39172382731</v>
      </c>
      <c r="AG166" s="76">
        <v>-39172382731</v>
      </c>
      <c r="AH166" s="76">
        <v>-39172382731</v>
      </c>
      <c r="AI166" s="76">
        <v>-39172382731</v>
      </c>
      <c r="AJ166" s="76">
        <v>-39172382731</v>
      </c>
      <c r="AK166" s="76">
        <v>-39172382731</v>
      </c>
      <c r="AL166" s="76">
        <v>-39172382731</v>
      </c>
      <c r="AM166" s="76">
        <v>-39172382731</v>
      </c>
      <c r="AN166" s="76">
        <v>-39172382731</v>
      </c>
    </row>
    <row r="167" spans="1:40" s="43" customFormat="1" ht="13.5" outlineLevel="1" x14ac:dyDescent="0.15">
      <c r="A167" s="34">
        <v>1</v>
      </c>
      <c r="B167" s="85">
        <f t="shared" si="76"/>
        <v>165</v>
      </c>
      <c r="C167" s="70" t="s">
        <v>196</v>
      </c>
      <c r="D167" s="71"/>
      <c r="E167" s="72">
        <f t="shared" si="94"/>
        <v>0</v>
      </c>
      <c r="F167" s="73"/>
      <c r="G167" s="74">
        <f t="shared" si="95"/>
        <v>0</v>
      </c>
      <c r="H167" s="75"/>
      <c r="I167" s="76"/>
      <c r="J167" s="76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34">
        <f t="shared" si="82"/>
        <v>1</v>
      </c>
      <c r="V167" s="69">
        <f t="shared" si="82"/>
        <v>165</v>
      </c>
      <c r="W167" s="70" t="s">
        <v>196</v>
      </c>
      <c r="X167" s="71"/>
      <c r="Y167" s="72">
        <f t="shared" si="96"/>
        <v>0</v>
      </c>
      <c r="Z167" s="73"/>
      <c r="AA167" s="74">
        <f t="shared" si="97"/>
        <v>0</v>
      </c>
      <c r="AB167" s="75"/>
      <c r="AC167" s="76"/>
      <c r="AD167" s="76"/>
      <c r="AE167" s="76"/>
      <c r="AF167" s="76"/>
      <c r="AG167" s="76"/>
      <c r="AH167" s="76"/>
      <c r="AI167" s="76"/>
      <c r="AJ167" s="76"/>
      <c r="AK167" s="76"/>
      <c r="AL167" s="76"/>
      <c r="AM167" s="76"/>
      <c r="AN167" s="76"/>
    </row>
    <row r="168" spans="1:40" s="43" customFormat="1" ht="13.5" outlineLevel="1" x14ac:dyDescent="0.15">
      <c r="A168" s="34">
        <v>1</v>
      </c>
      <c r="B168" s="85">
        <f t="shared" si="76"/>
        <v>166</v>
      </c>
      <c r="C168" s="70" t="s">
        <v>197</v>
      </c>
      <c r="D168" s="71"/>
      <c r="E168" s="72">
        <f t="shared" si="94"/>
        <v>0</v>
      </c>
      <c r="F168" s="73"/>
      <c r="G168" s="74">
        <f t="shared" si="95"/>
        <v>0</v>
      </c>
      <c r="H168" s="75"/>
      <c r="I168" s="76"/>
      <c r="J168" s="76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34">
        <f t="shared" si="82"/>
        <v>1</v>
      </c>
      <c r="V168" s="69">
        <f t="shared" si="82"/>
        <v>166</v>
      </c>
      <c r="W168" s="70" t="s">
        <v>197</v>
      </c>
      <c r="X168" s="71"/>
      <c r="Y168" s="72">
        <f t="shared" si="96"/>
        <v>0</v>
      </c>
      <c r="Z168" s="73"/>
      <c r="AA168" s="74">
        <f t="shared" si="97"/>
        <v>0</v>
      </c>
      <c r="AB168" s="75"/>
      <c r="AC168" s="76"/>
      <c r="AD168" s="76"/>
      <c r="AE168" s="76"/>
      <c r="AF168" s="76"/>
      <c r="AG168" s="76"/>
      <c r="AH168" s="76"/>
      <c r="AI168" s="76"/>
      <c r="AJ168" s="76"/>
      <c r="AK168" s="76"/>
      <c r="AL168" s="76"/>
      <c r="AM168" s="76"/>
      <c r="AN168" s="76"/>
    </row>
    <row r="169" spans="1:40" s="43" customFormat="1" ht="13.5" outlineLevel="1" x14ac:dyDescent="0.15">
      <c r="A169" s="34">
        <v>1</v>
      </c>
      <c r="B169" s="85">
        <f t="shared" si="76"/>
        <v>167</v>
      </c>
      <c r="C169" s="78" t="s">
        <v>198</v>
      </c>
      <c r="D169" s="79"/>
      <c r="E169" s="80">
        <f t="shared" si="94"/>
        <v>0</v>
      </c>
      <c r="F169" s="81"/>
      <c r="G169" s="82">
        <f t="shared" si="95"/>
        <v>0</v>
      </c>
      <c r="H169" s="83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76"/>
      <c r="U169" s="34">
        <f t="shared" si="82"/>
        <v>1</v>
      </c>
      <c r="V169" s="77">
        <f t="shared" si="82"/>
        <v>167</v>
      </c>
      <c r="W169" s="78" t="s">
        <v>198</v>
      </c>
      <c r="X169" s="79"/>
      <c r="Y169" s="80">
        <f t="shared" si="96"/>
        <v>0</v>
      </c>
      <c r="Z169" s="81"/>
      <c r="AA169" s="82">
        <f t="shared" si="97"/>
        <v>0</v>
      </c>
      <c r="AB169" s="83"/>
      <c r="AC169" s="84"/>
      <c r="AD169" s="84"/>
      <c r="AE169" s="84"/>
      <c r="AF169" s="84"/>
      <c r="AG169" s="84"/>
      <c r="AH169" s="84"/>
      <c r="AI169" s="84"/>
      <c r="AJ169" s="84"/>
      <c r="AK169" s="84"/>
      <c r="AL169" s="84"/>
      <c r="AM169" s="84"/>
      <c r="AN169" s="76"/>
    </row>
    <row r="170" spans="1:40" s="43" customFormat="1" ht="13.5" x14ac:dyDescent="0.15">
      <c r="A170" s="34">
        <v>1</v>
      </c>
      <c r="B170" s="85">
        <f t="shared" si="76"/>
        <v>168</v>
      </c>
      <c r="C170" s="54" t="s">
        <v>199</v>
      </c>
      <c r="D170" s="55"/>
      <c r="E170" s="56">
        <f>SUM(E171:E174)</f>
        <v>-689301678</v>
      </c>
      <c r="F170" s="57"/>
      <c r="G170" s="58">
        <f>SUM(G171:G174)</f>
        <v>-689301678</v>
      </c>
      <c r="H170" s="59"/>
      <c r="I170" s="60">
        <f>SUM(I171:I174)</f>
        <v>-8501461392</v>
      </c>
      <c r="J170" s="60">
        <f t="shared" ref="J170:T170" si="98">SUM(J171:J174)</f>
        <v>-8711881392</v>
      </c>
      <c r="K170" s="60">
        <f t="shared" si="98"/>
        <v>-9492612650</v>
      </c>
      <c r="L170" s="60">
        <f t="shared" si="98"/>
        <v>-8453976345</v>
      </c>
      <c r="M170" s="60">
        <f t="shared" si="98"/>
        <v>-6356456345</v>
      </c>
      <c r="N170" s="60">
        <f t="shared" si="98"/>
        <v>-9794329950</v>
      </c>
      <c r="O170" s="60">
        <f t="shared" si="98"/>
        <v>-8859180373</v>
      </c>
      <c r="P170" s="60">
        <f t="shared" si="98"/>
        <v>-8916180373</v>
      </c>
      <c r="Q170" s="60">
        <f t="shared" si="98"/>
        <v>-9846154491</v>
      </c>
      <c r="R170" s="60">
        <f t="shared" si="98"/>
        <v>-9367746964</v>
      </c>
      <c r="S170" s="60">
        <f t="shared" si="98"/>
        <v>-9804850564</v>
      </c>
      <c r="T170" s="60">
        <f t="shared" si="98"/>
        <v>-689301678</v>
      </c>
      <c r="U170" s="34">
        <f t="shared" si="82"/>
        <v>1</v>
      </c>
      <c r="V170" s="53">
        <f t="shared" si="82"/>
        <v>168</v>
      </c>
      <c r="W170" s="54" t="s">
        <v>199</v>
      </c>
      <c r="X170" s="55"/>
      <c r="Y170" s="56">
        <f>SUM(Y171:Y174)</f>
        <v>-9727241392</v>
      </c>
      <c r="Z170" s="57"/>
      <c r="AA170" s="58">
        <f>SUM(AA171:AA174)</f>
        <v>-9727241392</v>
      </c>
      <c r="AB170" s="59"/>
      <c r="AC170" s="60">
        <f>SUM(AC171:AC174)</f>
        <v>-13087862622</v>
      </c>
      <c r="AD170" s="60">
        <f t="shared" ref="AD170:AN170" si="99">SUM(AD171:AD174)</f>
        <v>-13201422622</v>
      </c>
      <c r="AE170" s="60">
        <f t="shared" si="99"/>
        <v>-12117691234</v>
      </c>
      <c r="AF170" s="60">
        <f t="shared" si="99"/>
        <v>-15120569545</v>
      </c>
      <c r="AG170" s="60">
        <f t="shared" si="99"/>
        <v>-15047089545</v>
      </c>
      <c r="AH170" s="60">
        <f t="shared" si="99"/>
        <v>-11933584925</v>
      </c>
      <c r="AI170" s="60">
        <f t="shared" si="99"/>
        <v>-12760871543</v>
      </c>
      <c r="AJ170" s="60">
        <f t="shared" si="99"/>
        <v>-11114251543</v>
      </c>
      <c r="AK170" s="60">
        <f t="shared" si="99"/>
        <v>-12518662365</v>
      </c>
      <c r="AL170" s="60">
        <f t="shared" si="99"/>
        <v>-12701089637</v>
      </c>
      <c r="AM170" s="60">
        <f t="shared" si="99"/>
        <v>-13081849637</v>
      </c>
      <c r="AN170" s="60">
        <f t="shared" si="99"/>
        <v>-9727241392</v>
      </c>
    </row>
    <row r="171" spans="1:40" s="43" customFormat="1" ht="13.5" outlineLevel="1" x14ac:dyDescent="0.15">
      <c r="A171" s="34">
        <v>1</v>
      </c>
      <c r="B171" s="85">
        <f t="shared" si="76"/>
        <v>169</v>
      </c>
      <c r="C171" s="62" t="s">
        <v>200</v>
      </c>
      <c r="D171" s="63"/>
      <c r="E171" s="64">
        <f>HLOOKUP($A$1,$I$3:$T$365,B171,0)</f>
        <v>-683947675</v>
      </c>
      <c r="F171" s="65"/>
      <c r="G171" s="66">
        <f>E171</f>
        <v>-683947675</v>
      </c>
      <c r="H171" s="67"/>
      <c r="I171" s="68">
        <v>-9642918274</v>
      </c>
      <c r="J171" s="68">
        <v>-9642918274</v>
      </c>
      <c r="K171" s="68">
        <v>-9578471391</v>
      </c>
      <c r="L171" s="68">
        <v>-9578471391</v>
      </c>
      <c r="M171" s="68">
        <v>-9578471391</v>
      </c>
      <c r="N171" s="68">
        <v>-9708848971</v>
      </c>
      <c r="O171" s="68">
        <v>-9708848971</v>
      </c>
      <c r="P171" s="68">
        <v>-9708848971</v>
      </c>
      <c r="Q171" s="76">
        <v>-9803183473</v>
      </c>
      <c r="R171" s="76">
        <v>-9803183473</v>
      </c>
      <c r="S171" s="68">
        <v>-9776287073</v>
      </c>
      <c r="T171" s="68">
        <v>-683947675</v>
      </c>
      <c r="U171" s="34">
        <f t="shared" si="82"/>
        <v>1</v>
      </c>
      <c r="V171" s="61">
        <f t="shared" si="82"/>
        <v>169</v>
      </c>
      <c r="W171" s="62" t="s">
        <v>201</v>
      </c>
      <c r="X171" s="63"/>
      <c r="Y171" s="64">
        <f>HLOOKUP($U$1,$AC$3:$AN$365,V171,0)</f>
        <v>-9642918274</v>
      </c>
      <c r="Z171" s="65"/>
      <c r="AA171" s="66">
        <f>Y171</f>
        <v>-9642918274</v>
      </c>
      <c r="AB171" s="67"/>
      <c r="AC171" s="68">
        <v>-12307931197</v>
      </c>
      <c r="AD171" s="68">
        <v>-12307931197</v>
      </c>
      <c r="AE171" s="68">
        <v>-12467339197</v>
      </c>
      <c r="AF171" s="68">
        <v>-12467339197</v>
      </c>
      <c r="AG171" s="68">
        <v>-12467339197</v>
      </c>
      <c r="AH171" s="68">
        <v>-11965147909</v>
      </c>
      <c r="AI171" s="68">
        <v>-11965147909</v>
      </c>
      <c r="AJ171" s="68">
        <v>-11965147909</v>
      </c>
      <c r="AK171" s="68">
        <v>-12296580757</v>
      </c>
      <c r="AL171" s="68">
        <v>-12296580757</v>
      </c>
      <c r="AM171" s="68">
        <v>-12296580757</v>
      </c>
      <c r="AN171" s="68">
        <v>-9642918274</v>
      </c>
    </row>
    <row r="172" spans="1:40" s="43" customFormat="1" ht="13.5" outlineLevel="1" x14ac:dyDescent="0.15">
      <c r="A172" s="34">
        <v>1</v>
      </c>
      <c r="B172" s="85">
        <f t="shared" si="76"/>
        <v>170</v>
      </c>
      <c r="C172" s="70" t="s">
        <v>202</v>
      </c>
      <c r="D172" s="71"/>
      <c r="E172" s="72">
        <f>HLOOKUP($A$1,$I$3:$T$365,B172,0)</f>
        <v>-5354003</v>
      </c>
      <c r="F172" s="73"/>
      <c r="G172" s="74">
        <f>E172</f>
        <v>-5354003</v>
      </c>
      <c r="H172" s="75"/>
      <c r="I172" s="76">
        <v>1141456882</v>
      </c>
      <c r="J172" s="76">
        <v>931036882</v>
      </c>
      <c r="K172" s="76">
        <v>85858741</v>
      </c>
      <c r="L172" s="76">
        <v>1124495046</v>
      </c>
      <c r="M172" s="76">
        <v>3222015046</v>
      </c>
      <c r="N172" s="76">
        <v>-85480979</v>
      </c>
      <c r="O172" s="76">
        <v>849668598</v>
      </c>
      <c r="P172" s="76">
        <v>792668598</v>
      </c>
      <c r="Q172" s="98">
        <v>-42971018</v>
      </c>
      <c r="R172" s="76">
        <v>435436509</v>
      </c>
      <c r="S172" s="76">
        <v>-28563491</v>
      </c>
      <c r="T172" s="76">
        <v>-5354003</v>
      </c>
      <c r="U172" s="34">
        <f t="shared" si="82"/>
        <v>1</v>
      </c>
      <c r="V172" s="69">
        <f t="shared" si="82"/>
        <v>170</v>
      </c>
      <c r="W172" s="70" t="s">
        <v>203</v>
      </c>
      <c r="X172" s="71"/>
      <c r="Y172" s="72">
        <f>HLOOKUP($U$1,$AC$3:$AN$365,V172,0)</f>
        <v>-84323118</v>
      </c>
      <c r="Z172" s="73"/>
      <c r="AA172" s="74">
        <f>Y172</f>
        <v>-84323118</v>
      </c>
      <c r="AB172" s="75"/>
      <c r="AC172" s="76">
        <v>-779931425</v>
      </c>
      <c r="AD172" s="76">
        <v>-893491425</v>
      </c>
      <c r="AE172" s="76">
        <v>349647963</v>
      </c>
      <c r="AF172" s="76">
        <v>-2653230348</v>
      </c>
      <c r="AG172" s="76">
        <v>-2579750348</v>
      </c>
      <c r="AH172" s="76">
        <v>31562984</v>
      </c>
      <c r="AI172" s="76">
        <v>-795723634</v>
      </c>
      <c r="AJ172" s="76">
        <v>850896366</v>
      </c>
      <c r="AK172" s="76">
        <v>-222081608</v>
      </c>
      <c r="AL172" s="76">
        <v>-404508880</v>
      </c>
      <c r="AM172" s="76">
        <v>-785268880</v>
      </c>
      <c r="AN172" s="76">
        <v>-84323118</v>
      </c>
    </row>
    <row r="173" spans="1:40" s="43" customFormat="1" ht="13.5" outlineLevel="1" x14ac:dyDescent="0.15">
      <c r="A173" s="34">
        <v>1</v>
      </c>
      <c r="B173" s="85">
        <f t="shared" si="76"/>
        <v>171</v>
      </c>
      <c r="C173" s="70" t="s">
        <v>204</v>
      </c>
      <c r="D173" s="71"/>
      <c r="E173" s="72">
        <f>HLOOKUP($A$1,$I$3:$T$365,B173,0)</f>
        <v>0</v>
      </c>
      <c r="F173" s="73"/>
      <c r="G173" s="74">
        <f>E173</f>
        <v>0</v>
      </c>
      <c r="H173" s="75"/>
      <c r="I173" s="76"/>
      <c r="J173" s="76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34">
        <f t="shared" si="82"/>
        <v>1</v>
      </c>
      <c r="V173" s="69">
        <f t="shared" si="82"/>
        <v>171</v>
      </c>
      <c r="W173" s="70" t="s">
        <v>204</v>
      </c>
      <c r="X173" s="71"/>
      <c r="Y173" s="72">
        <f>HLOOKUP($U$1,$AC$3:$AN$365,V173,0)</f>
        <v>0</v>
      </c>
      <c r="Z173" s="73"/>
      <c r="AA173" s="74">
        <f>Y173</f>
        <v>0</v>
      </c>
      <c r="AB173" s="75"/>
      <c r="AC173" s="76"/>
      <c r="AD173" s="76"/>
      <c r="AE173" s="76"/>
      <c r="AF173" s="76"/>
      <c r="AG173" s="76"/>
      <c r="AH173" s="76"/>
      <c r="AI173" s="76"/>
      <c r="AJ173" s="76"/>
      <c r="AK173" s="76"/>
      <c r="AL173" s="76"/>
      <c r="AM173" s="76"/>
      <c r="AN173" s="76"/>
    </row>
    <row r="174" spans="1:40" s="43" customFormat="1" ht="13.5" outlineLevel="1" x14ac:dyDescent="0.15">
      <c r="A174" s="34">
        <v>1</v>
      </c>
      <c r="B174" s="85">
        <f t="shared" si="76"/>
        <v>172</v>
      </c>
      <c r="C174" s="78" t="s">
        <v>205</v>
      </c>
      <c r="D174" s="79"/>
      <c r="E174" s="80">
        <f>HLOOKUP($A$1,$I$3:$T$365,B174,0)</f>
        <v>0</v>
      </c>
      <c r="F174" s="81"/>
      <c r="G174" s="82">
        <f>E174</f>
        <v>0</v>
      </c>
      <c r="H174" s="83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76"/>
      <c r="U174" s="34">
        <f t="shared" si="82"/>
        <v>1</v>
      </c>
      <c r="V174" s="77">
        <f t="shared" si="82"/>
        <v>172</v>
      </c>
      <c r="W174" s="78" t="s">
        <v>205</v>
      </c>
      <c r="X174" s="79"/>
      <c r="Y174" s="80">
        <f>HLOOKUP($U$1,$AC$3:$AN$365,V174,0)</f>
        <v>0</v>
      </c>
      <c r="Z174" s="81"/>
      <c r="AA174" s="82">
        <f>Y174</f>
        <v>0</v>
      </c>
      <c r="AB174" s="83"/>
      <c r="AC174" s="84"/>
      <c r="AD174" s="84"/>
      <c r="AE174" s="84"/>
      <c r="AF174" s="84"/>
      <c r="AG174" s="84"/>
      <c r="AH174" s="84"/>
      <c r="AI174" s="84"/>
      <c r="AJ174" s="84"/>
      <c r="AK174" s="84"/>
      <c r="AL174" s="84"/>
      <c r="AM174" s="84"/>
      <c r="AN174" s="76"/>
    </row>
    <row r="175" spans="1:40" s="43" customFormat="1" ht="13.5" x14ac:dyDescent="0.15">
      <c r="A175" s="34">
        <v>1</v>
      </c>
      <c r="B175" s="85">
        <f t="shared" si="76"/>
        <v>173</v>
      </c>
      <c r="C175" s="54" t="s">
        <v>206</v>
      </c>
      <c r="D175" s="55"/>
      <c r="E175" s="56">
        <f>SUM(E176:E181)</f>
        <v>90182571130</v>
      </c>
      <c r="F175" s="57">
        <f>SUM(F176:F181)</f>
        <v>14023382580</v>
      </c>
      <c r="G175" s="58">
        <f>SUM(G176:G181)</f>
        <v>90182571130</v>
      </c>
      <c r="H175" s="59"/>
      <c r="I175" s="60">
        <f>SUM(I176:I181)</f>
        <v>72432101706</v>
      </c>
      <c r="J175" s="60">
        <f>SUM(J176:J181)</f>
        <v>73207970209</v>
      </c>
      <c r="K175" s="60">
        <f>SUM(K176:K181)</f>
        <v>75293654216.651459</v>
      </c>
      <c r="L175" s="60">
        <f t="shared" ref="L175:R175" si="100">SUM(L176:L181)</f>
        <v>76747543868</v>
      </c>
      <c r="M175" s="60">
        <f t="shared" si="100"/>
        <v>78194062106</v>
      </c>
      <c r="N175" s="60">
        <f>SUM(N176:N181)</f>
        <v>79285057498</v>
      </c>
      <c r="O175" s="60">
        <f>SUM(O176:O181)</f>
        <v>80492275781</v>
      </c>
      <c r="P175" s="60">
        <f t="shared" si="100"/>
        <v>81091667068</v>
      </c>
      <c r="Q175" s="60">
        <f t="shared" si="100"/>
        <v>83993754099</v>
      </c>
      <c r="R175" s="60">
        <f t="shared" si="100"/>
        <v>83960571824</v>
      </c>
      <c r="S175" s="60">
        <f>SUM(S176:S181)</f>
        <v>84025742083</v>
      </c>
      <c r="T175" s="60">
        <f>SUM(T176:T181)</f>
        <v>90182571130</v>
      </c>
      <c r="U175" s="34">
        <f t="shared" si="82"/>
        <v>1</v>
      </c>
      <c r="V175" s="53">
        <f t="shared" si="82"/>
        <v>173</v>
      </c>
      <c r="W175" s="54" t="s">
        <v>206</v>
      </c>
      <c r="X175" s="55"/>
      <c r="Y175" s="56">
        <f>SUM(Y176:Y181)</f>
        <v>71681922139</v>
      </c>
      <c r="Z175" s="57"/>
      <c r="AA175" s="58">
        <f>SUM(AA176:AA181)</f>
        <v>71681922139</v>
      </c>
      <c r="AB175" s="59"/>
      <c r="AC175" s="60">
        <f>SUM(AC176:AC181)</f>
        <v>71762654723</v>
      </c>
      <c r="AD175" s="60">
        <f>SUM(AD176:AD181)</f>
        <v>72213643025</v>
      </c>
      <c r="AE175" s="60">
        <f>SUM(AE176:AE181)</f>
        <v>70409082366</v>
      </c>
      <c r="AF175" s="60">
        <f t="shared" ref="AF175:AM175" si="101">SUM(AF176:AF181)</f>
        <v>70556314160</v>
      </c>
      <c r="AG175" s="60">
        <f t="shared" si="101"/>
        <v>71436669201</v>
      </c>
      <c r="AH175" s="60">
        <f>SUM(AH176:AH181)</f>
        <v>72481046635</v>
      </c>
      <c r="AI175" s="60">
        <f t="shared" si="101"/>
        <v>73372720357</v>
      </c>
      <c r="AJ175" s="60">
        <f t="shared" si="101"/>
        <v>73441356632</v>
      </c>
      <c r="AK175" s="60">
        <f t="shared" si="101"/>
        <v>73650741866</v>
      </c>
      <c r="AL175" s="60">
        <f t="shared" si="101"/>
        <v>74831624888</v>
      </c>
      <c r="AM175" s="60">
        <f t="shared" si="101"/>
        <v>75325104640</v>
      </c>
      <c r="AN175" s="60">
        <f>SUM(AN176:AN181)</f>
        <v>71681922139</v>
      </c>
    </row>
    <row r="176" spans="1:40" s="43" customFormat="1" ht="13.5" outlineLevel="1" x14ac:dyDescent="0.15">
      <c r="A176" s="34">
        <v>1</v>
      </c>
      <c r="B176" s="85">
        <f t="shared" si="76"/>
        <v>174</v>
      </c>
      <c r="C176" s="62" t="s">
        <v>207</v>
      </c>
      <c r="D176" s="63"/>
      <c r="E176" s="64">
        <f t="shared" ref="E176:E190" si="102">HLOOKUP($A$1,$I$3:$T$365,B176,0)</f>
        <v>3868552499</v>
      </c>
      <c r="F176" s="65">
        <f>AN176</f>
        <v>3868552499</v>
      </c>
      <c r="G176" s="66">
        <f>E176</f>
        <v>3868552499</v>
      </c>
      <c r="H176" s="67"/>
      <c r="I176" s="68">
        <v>3868552499</v>
      </c>
      <c r="J176" s="68">
        <v>3868552499</v>
      </c>
      <c r="K176" s="68">
        <v>3868552499</v>
      </c>
      <c r="L176" s="68">
        <v>3868552499</v>
      </c>
      <c r="M176" s="68">
        <v>3868552499</v>
      </c>
      <c r="N176" s="68">
        <v>3868552499</v>
      </c>
      <c r="O176" s="68">
        <v>3868552499</v>
      </c>
      <c r="P176" s="68">
        <v>3868552499</v>
      </c>
      <c r="Q176" s="68">
        <v>3868552499</v>
      </c>
      <c r="R176" s="68">
        <v>3868552499</v>
      </c>
      <c r="S176" s="68">
        <v>3868552499</v>
      </c>
      <c r="T176" s="76">
        <v>3868552499</v>
      </c>
      <c r="U176" s="34">
        <f t="shared" si="82"/>
        <v>1</v>
      </c>
      <c r="V176" s="61">
        <f t="shared" si="82"/>
        <v>174</v>
      </c>
      <c r="W176" s="62" t="s">
        <v>207</v>
      </c>
      <c r="X176" s="63"/>
      <c r="Y176" s="64">
        <f t="shared" ref="Y176:Y187" si="103">HLOOKUP($U$1,$AC$3:$AN$365,V176,0)</f>
        <v>3868552499</v>
      </c>
      <c r="Z176" s="65"/>
      <c r="AA176" s="66">
        <f>Y176</f>
        <v>3868552499</v>
      </c>
      <c r="AB176" s="67"/>
      <c r="AC176" s="68">
        <v>3534133134</v>
      </c>
      <c r="AD176" s="68">
        <v>3534133134</v>
      </c>
      <c r="AE176" s="68">
        <v>3868552499</v>
      </c>
      <c r="AF176" s="68">
        <v>3868552499</v>
      </c>
      <c r="AG176" s="68">
        <v>3868552499</v>
      </c>
      <c r="AH176" s="68">
        <v>3868552499</v>
      </c>
      <c r="AI176" s="68">
        <v>3868552499</v>
      </c>
      <c r="AJ176" s="68">
        <v>3868552499</v>
      </c>
      <c r="AK176" s="68">
        <v>3868552499</v>
      </c>
      <c r="AL176" s="68">
        <v>3868552499</v>
      </c>
      <c r="AM176" s="68">
        <v>3868552499</v>
      </c>
      <c r="AN176" s="76">
        <v>3868552499</v>
      </c>
    </row>
    <row r="177" spans="1:43" s="43" customFormat="1" ht="13.5" outlineLevel="1" x14ac:dyDescent="0.15">
      <c r="A177" s="34">
        <v>1</v>
      </c>
      <c r="B177" s="85">
        <f t="shared" si="76"/>
        <v>175</v>
      </c>
      <c r="C177" s="70" t="s">
        <v>208</v>
      </c>
      <c r="D177" s="71"/>
      <c r="E177" s="72">
        <f t="shared" si="102"/>
        <v>631000000</v>
      </c>
      <c r="F177" s="73">
        <f>AN177</f>
        <v>631000000</v>
      </c>
      <c r="G177" s="74">
        <f>E177</f>
        <v>631000000</v>
      </c>
      <c r="H177" s="75"/>
      <c r="I177" s="76">
        <v>631000000</v>
      </c>
      <c r="J177" s="76">
        <v>631000000</v>
      </c>
      <c r="K177" s="76">
        <v>631000000</v>
      </c>
      <c r="L177" s="76">
        <v>631000000</v>
      </c>
      <c r="M177" s="76">
        <v>631000000</v>
      </c>
      <c r="N177" s="76">
        <v>631000000</v>
      </c>
      <c r="O177" s="76">
        <v>631000000</v>
      </c>
      <c r="P177" s="76">
        <v>631000000</v>
      </c>
      <c r="Q177" s="76">
        <v>631000000</v>
      </c>
      <c r="R177" s="76">
        <v>631000000</v>
      </c>
      <c r="S177" s="76">
        <v>631000000</v>
      </c>
      <c r="T177" s="76">
        <v>631000000</v>
      </c>
      <c r="U177" s="34">
        <f t="shared" si="82"/>
        <v>1</v>
      </c>
      <c r="V177" s="69">
        <f t="shared" si="82"/>
        <v>175</v>
      </c>
      <c r="W177" s="70" t="s">
        <v>208</v>
      </c>
      <c r="X177" s="71"/>
      <c r="Y177" s="72">
        <f t="shared" si="103"/>
        <v>631000000</v>
      </c>
      <c r="Z177" s="73"/>
      <c r="AA177" s="74">
        <f>Y177</f>
        <v>631000000</v>
      </c>
      <c r="AB177" s="75"/>
      <c r="AC177" s="76">
        <v>631000000</v>
      </c>
      <c r="AD177" s="76">
        <v>631000000</v>
      </c>
      <c r="AE177" s="76">
        <v>631000000</v>
      </c>
      <c r="AF177" s="76">
        <v>631000000</v>
      </c>
      <c r="AG177" s="76">
        <v>631000000</v>
      </c>
      <c r="AH177" s="76">
        <v>631000000</v>
      </c>
      <c r="AI177" s="76">
        <v>631000000</v>
      </c>
      <c r="AJ177" s="76">
        <v>631000000</v>
      </c>
      <c r="AK177" s="76">
        <v>631000000</v>
      </c>
      <c r="AL177" s="76">
        <v>631000000</v>
      </c>
      <c r="AM177" s="76">
        <v>631000000</v>
      </c>
      <c r="AN177" s="76">
        <v>631000000</v>
      </c>
    </row>
    <row r="178" spans="1:43" s="43" customFormat="1" ht="13.5" outlineLevel="1" x14ac:dyDescent="0.15">
      <c r="A178" s="34">
        <v>1</v>
      </c>
      <c r="B178" s="85">
        <f t="shared" si="76"/>
        <v>176</v>
      </c>
      <c r="C178" s="70" t="s">
        <v>209</v>
      </c>
      <c r="D178" s="71"/>
      <c r="E178" s="72">
        <f t="shared" si="102"/>
        <v>22292333334</v>
      </c>
      <c r="F178" s="73">
        <f>AN178</f>
        <v>22292333334</v>
      </c>
      <c r="G178" s="74">
        <f>E178</f>
        <v>22292333334</v>
      </c>
      <c r="H178" s="75"/>
      <c r="I178" s="76">
        <v>22292333334</v>
      </c>
      <c r="J178" s="76">
        <v>22292333334</v>
      </c>
      <c r="K178" s="76">
        <v>22292333334</v>
      </c>
      <c r="L178" s="76">
        <v>22292333334</v>
      </c>
      <c r="M178" s="76">
        <v>22292333334</v>
      </c>
      <c r="N178" s="76">
        <v>22292333334</v>
      </c>
      <c r="O178" s="76">
        <v>22292333334</v>
      </c>
      <c r="P178" s="76">
        <v>22292333334</v>
      </c>
      <c r="Q178" s="76">
        <v>22292333334</v>
      </c>
      <c r="R178" s="76">
        <v>22292333334</v>
      </c>
      <c r="S178" s="76">
        <v>22292333334</v>
      </c>
      <c r="T178" s="76">
        <v>22292333334</v>
      </c>
      <c r="U178" s="34">
        <f t="shared" si="82"/>
        <v>1</v>
      </c>
      <c r="V178" s="69">
        <f t="shared" si="82"/>
        <v>176</v>
      </c>
      <c r="W178" s="70" t="s">
        <v>209</v>
      </c>
      <c r="X178" s="71"/>
      <c r="Y178" s="72">
        <f t="shared" si="103"/>
        <v>22292333334</v>
      </c>
      <c r="Z178" s="73"/>
      <c r="AA178" s="74">
        <f>Y178</f>
        <v>22292333334</v>
      </c>
      <c r="AB178" s="75"/>
      <c r="AC178" s="76">
        <v>22292333334</v>
      </c>
      <c r="AD178" s="76">
        <v>22292333334</v>
      </c>
      <c r="AE178" s="76">
        <v>22292333334</v>
      </c>
      <c r="AF178" s="76">
        <v>22292333334</v>
      </c>
      <c r="AG178" s="76">
        <v>22292333334</v>
      </c>
      <c r="AH178" s="76">
        <v>22292333334</v>
      </c>
      <c r="AI178" s="76">
        <v>22292333334</v>
      </c>
      <c r="AJ178" s="76">
        <v>22292333334</v>
      </c>
      <c r="AK178" s="76">
        <v>22292333334</v>
      </c>
      <c r="AL178" s="76">
        <v>22292333334</v>
      </c>
      <c r="AM178" s="76">
        <v>22292333334</v>
      </c>
      <c r="AN178" s="76">
        <v>22292333334</v>
      </c>
    </row>
    <row r="179" spans="1:43" s="43" customFormat="1" ht="13.5" outlineLevel="1" x14ac:dyDescent="0.15">
      <c r="A179" s="34">
        <v>1</v>
      </c>
      <c r="B179" s="85">
        <f t="shared" si="76"/>
        <v>177</v>
      </c>
      <c r="C179" s="70" t="s">
        <v>210</v>
      </c>
      <c r="D179" s="71"/>
      <c r="E179" s="72">
        <f t="shared" si="102"/>
        <v>0</v>
      </c>
      <c r="F179" s="73">
        <f>AN179</f>
        <v>0</v>
      </c>
      <c r="G179" s="74">
        <f>E179</f>
        <v>0</v>
      </c>
      <c r="H179" s="75"/>
      <c r="I179" s="76"/>
      <c r="J179" s="76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34">
        <f t="shared" si="82"/>
        <v>1</v>
      </c>
      <c r="V179" s="69">
        <f t="shared" si="82"/>
        <v>177</v>
      </c>
      <c r="W179" s="70" t="s">
        <v>210</v>
      </c>
      <c r="X179" s="71"/>
      <c r="Y179" s="72">
        <f t="shared" si="103"/>
        <v>0</v>
      </c>
      <c r="Z179" s="73"/>
      <c r="AA179" s="74">
        <f>Y179</f>
        <v>0</v>
      </c>
      <c r="AB179" s="75"/>
      <c r="AC179" s="76"/>
      <c r="AD179" s="76"/>
      <c r="AE179" s="76"/>
      <c r="AF179" s="76"/>
      <c r="AG179" s="76"/>
      <c r="AH179" s="76"/>
      <c r="AI179" s="76"/>
      <c r="AJ179" s="76"/>
      <c r="AK179" s="76"/>
      <c r="AL179" s="76"/>
      <c r="AM179" s="76"/>
      <c r="AN179" s="76"/>
    </row>
    <row r="180" spans="1:43" s="43" customFormat="1" ht="13.5" outlineLevel="1" x14ac:dyDescent="0.15">
      <c r="A180" s="34">
        <v>1</v>
      </c>
      <c r="B180" s="85">
        <f t="shared" si="76"/>
        <v>178</v>
      </c>
      <c r="C180" s="70" t="s">
        <v>211</v>
      </c>
      <c r="D180" s="71"/>
      <c r="E180" s="72">
        <f t="shared" si="102"/>
        <v>0</v>
      </c>
      <c r="F180" s="73">
        <f>AN180</f>
        <v>0</v>
      </c>
      <c r="G180" s="74">
        <f>E180</f>
        <v>0</v>
      </c>
      <c r="H180" s="75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34">
        <f t="shared" si="82"/>
        <v>1</v>
      </c>
      <c r="V180" s="69">
        <f t="shared" si="82"/>
        <v>178</v>
      </c>
      <c r="W180" s="70" t="s">
        <v>211</v>
      </c>
      <c r="X180" s="71"/>
      <c r="Y180" s="72">
        <f t="shared" si="103"/>
        <v>0</v>
      </c>
      <c r="Z180" s="73"/>
      <c r="AA180" s="74">
        <f>Y180</f>
        <v>0</v>
      </c>
      <c r="AB180" s="75"/>
      <c r="AC180" s="76"/>
      <c r="AD180" s="76"/>
      <c r="AE180" s="76"/>
      <c r="AF180" s="76"/>
      <c r="AG180" s="76"/>
      <c r="AH180" s="76"/>
      <c r="AI180" s="76"/>
      <c r="AJ180" s="76"/>
      <c r="AK180" s="76"/>
      <c r="AL180" s="76"/>
      <c r="AM180" s="76"/>
      <c r="AN180" s="76"/>
    </row>
    <row r="181" spans="1:43" s="43" customFormat="1" ht="13.5" outlineLevel="1" x14ac:dyDescent="0.15">
      <c r="A181" s="34">
        <v>1</v>
      </c>
      <c r="B181" s="85">
        <f t="shared" si="76"/>
        <v>179</v>
      </c>
      <c r="C181" s="78" t="s">
        <v>212</v>
      </c>
      <c r="D181" s="79"/>
      <c r="E181" s="80">
        <f t="shared" si="102"/>
        <v>63390685297</v>
      </c>
      <c r="F181" s="81">
        <f>SUM(F182:F189)</f>
        <v>-12768503253</v>
      </c>
      <c r="G181" s="82">
        <f>IF(G3&lt;=$A$1,SUM(G182:G189),0)</f>
        <v>63390685297</v>
      </c>
      <c r="H181" s="83"/>
      <c r="I181" s="118">
        <f t="shared" ref="I181:S181" si="104">IF(I3&lt;=$A$1,SUM(I182:I189),0)</f>
        <v>45640215873</v>
      </c>
      <c r="J181" s="118">
        <f t="shared" si="104"/>
        <v>46416084376</v>
      </c>
      <c r="K181" s="118">
        <f t="shared" si="104"/>
        <v>48501768383.651459</v>
      </c>
      <c r="L181" s="118">
        <f t="shared" si="104"/>
        <v>49955658035</v>
      </c>
      <c r="M181" s="118">
        <f t="shared" si="104"/>
        <v>51402176273</v>
      </c>
      <c r="N181" s="118">
        <f t="shared" si="104"/>
        <v>52493171665</v>
      </c>
      <c r="O181" s="118">
        <f t="shared" si="104"/>
        <v>53700389948</v>
      </c>
      <c r="P181" s="118">
        <f t="shared" si="104"/>
        <v>54299781235</v>
      </c>
      <c r="Q181" s="118">
        <f t="shared" si="104"/>
        <v>57201868266</v>
      </c>
      <c r="R181" s="118">
        <f t="shared" si="104"/>
        <v>57168685991</v>
      </c>
      <c r="S181" s="118">
        <f t="shared" si="104"/>
        <v>57233856250</v>
      </c>
      <c r="T181" s="118">
        <f>IF(T3&lt;=$A$1,SUM(T182:T189),0)</f>
        <v>63390685297</v>
      </c>
      <c r="U181" s="34">
        <f t="shared" si="82"/>
        <v>1</v>
      </c>
      <c r="V181" s="77">
        <f t="shared" si="82"/>
        <v>179</v>
      </c>
      <c r="W181" s="78" t="s">
        <v>212</v>
      </c>
      <c r="X181" s="79"/>
      <c r="Y181" s="80">
        <f t="shared" si="103"/>
        <v>44890036306</v>
      </c>
      <c r="Z181" s="81"/>
      <c r="AA181" s="82">
        <f>IF(AA3&lt;=$U$1,SUM(AA182:AA189),0)</f>
        <v>44890036306</v>
      </c>
      <c r="AB181" s="83"/>
      <c r="AC181" s="118">
        <f t="shared" ref="AC181:AN181" si="105">IF(AC3&lt;=$U$1,SUM(AC182:AC189),0)</f>
        <v>45305188255</v>
      </c>
      <c r="AD181" s="118">
        <f t="shared" si="105"/>
        <v>45756176557</v>
      </c>
      <c r="AE181" s="118">
        <f t="shared" si="105"/>
        <v>43617196533</v>
      </c>
      <c r="AF181" s="118">
        <f t="shared" si="105"/>
        <v>43764428327</v>
      </c>
      <c r="AG181" s="118">
        <f t="shared" si="105"/>
        <v>44644783368</v>
      </c>
      <c r="AH181" s="118">
        <f t="shared" si="105"/>
        <v>45689160802</v>
      </c>
      <c r="AI181" s="118">
        <f t="shared" si="105"/>
        <v>46580834524</v>
      </c>
      <c r="AJ181" s="118">
        <f t="shared" si="105"/>
        <v>46649470799</v>
      </c>
      <c r="AK181" s="118">
        <f t="shared" si="105"/>
        <v>46858856033</v>
      </c>
      <c r="AL181" s="118">
        <f t="shared" si="105"/>
        <v>48039739055</v>
      </c>
      <c r="AM181" s="118">
        <f t="shared" si="105"/>
        <v>48533218807</v>
      </c>
      <c r="AN181" s="118">
        <f t="shared" si="105"/>
        <v>44890036306</v>
      </c>
    </row>
    <row r="182" spans="1:43" s="43" customFormat="1" ht="13.5" outlineLevel="1" x14ac:dyDescent="0.15">
      <c r="A182" s="34">
        <v>1</v>
      </c>
      <c r="B182" s="85">
        <f t="shared" si="76"/>
        <v>180</v>
      </c>
      <c r="C182" s="162" t="s">
        <v>213</v>
      </c>
      <c r="D182" s="163"/>
      <c r="E182" s="164">
        <f t="shared" si="102"/>
        <v>57658539559</v>
      </c>
      <c r="F182" s="165"/>
      <c r="G182" s="166">
        <f t="shared" ref="G182:G190" si="106">E182</f>
        <v>57658539559</v>
      </c>
      <c r="H182" s="167"/>
      <c r="I182" s="168">
        <f>AN181-AN187</f>
        <v>57658539559</v>
      </c>
      <c r="J182" s="168">
        <f t="shared" ref="J182:T182" si="107">IF(J3&lt;=$A$1,I182,0)</f>
        <v>57658539559</v>
      </c>
      <c r="K182" s="168">
        <f t="shared" si="107"/>
        <v>57658539559</v>
      </c>
      <c r="L182" s="168">
        <f t="shared" si="107"/>
        <v>57658539559</v>
      </c>
      <c r="M182" s="168">
        <f t="shared" si="107"/>
        <v>57658539559</v>
      </c>
      <c r="N182" s="168">
        <f t="shared" si="107"/>
        <v>57658539559</v>
      </c>
      <c r="O182" s="168">
        <f t="shared" si="107"/>
        <v>57658539559</v>
      </c>
      <c r="P182" s="168">
        <f t="shared" si="107"/>
        <v>57658539559</v>
      </c>
      <c r="Q182" s="168">
        <f t="shared" si="107"/>
        <v>57658539559</v>
      </c>
      <c r="R182" s="168">
        <f t="shared" si="107"/>
        <v>57658539559</v>
      </c>
      <c r="S182" s="168">
        <f t="shared" si="107"/>
        <v>57658539559</v>
      </c>
      <c r="T182" s="168">
        <f t="shared" si="107"/>
        <v>57658539559</v>
      </c>
      <c r="U182" s="34">
        <f t="shared" si="82"/>
        <v>1</v>
      </c>
      <c r="V182" s="169">
        <f t="shared" si="82"/>
        <v>180</v>
      </c>
      <c r="W182" s="162" t="s">
        <v>213</v>
      </c>
      <c r="X182" s="163"/>
      <c r="Y182" s="164">
        <f t="shared" si="103"/>
        <v>52671690973</v>
      </c>
      <c r="Z182" s="165"/>
      <c r="AA182" s="166">
        <f>Y182</f>
        <v>52671690973</v>
      </c>
      <c r="AB182" s="167"/>
      <c r="AC182" s="170">
        <v>52671690973</v>
      </c>
      <c r="AD182" s="168">
        <v>52671690973</v>
      </c>
      <c r="AE182" s="168">
        <v>52671690973</v>
      </c>
      <c r="AF182" s="168">
        <v>52671690973</v>
      </c>
      <c r="AG182" s="168">
        <v>52671690973</v>
      </c>
      <c r="AH182" s="168">
        <v>52671690973</v>
      </c>
      <c r="AI182" s="168">
        <v>52671690973</v>
      </c>
      <c r="AJ182" s="168">
        <v>52671690973</v>
      </c>
      <c r="AK182" s="168">
        <v>52671690973</v>
      </c>
      <c r="AL182" s="168">
        <v>52671690973</v>
      </c>
      <c r="AM182" s="168">
        <v>52671690973</v>
      </c>
      <c r="AN182" s="168">
        <v>52671690973</v>
      </c>
    </row>
    <row r="183" spans="1:43" s="43" customFormat="1" ht="13.5" outlineLevel="1" x14ac:dyDescent="0.15">
      <c r="A183" s="34">
        <v>1</v>
      </c>
      <c r="B183" s="85">
        <f t="shared" si="76"/>
        <v>181</v>
      </c>
      <c r="C183" s="162" t="s">
        <v>214</v>
      </c>
      <c r="D183" s="163"/>
      <c r="E183" s="164">
        <f t="shared" si="102"/>
        <v>0</v>
      </c>
      <c r="F183" s="165"/>
      <c r="G183" s="166">
        <f t="shared" si="106"/>
        <v>0</v>
      </c>
      <c r="H183" s="167"/>
      <c r="I183" s="171"/>
      <c r="J183" s="171"/>
      <c r="K183" s="171"/>
      <c r="L183" s="171"/>
      <c r="M183" s="171"/>
      <c r="N183" s="171"/>
      <c r="O183" s="171"/>
      <c r="P183" s="171"/>
      <c r="Q183" s="171"/>
      <c r="R183" s="171"/>
      <c r="S183" s="171"/>
      <c r="T183" s="171"/>
      <c r="U183" s="34">
        <f t="shared" si="82"/>
        <v>1</v>
      </c>
      <c r="V183" s="169">
        <f t="shared" si="82"/>
        <v>181</v>
      </c>
      <c r="W183" s="162" t="s">
        <v>214</v>
      </c>
      <c r="X183" s="163"/>
      <c r="Y183" s="164">
        <f t="shared" si="103"/>
        <v>0</v>
      </c>
      <c r="Z183" s="165"/>
      <c r="AA183" s="166">
        <f t="shared" ref="AA183:AA189" si="108">Y183</f>
        <v>0</v>
      </c>
      <c r="AB183" s="167"/>
      <c r="AC183" s="171"/>
      <c r="AD183" s="171"/>
      <c r="AE183" s="171"/>
      <c r="AF183" s="171"/>
      <c r="AG183" s="171"/>
      <c r="AH183" s="171"/>
      <c r="AI183" s="171"/>
      <c r="AJ183" s="171"/>
      <c r="AK183" s="171"/>
      <c r="AL183" s="171"/>
      <c r="AM183" s="171"/>
      <c r="AN183" s="171"/>
    </row>
    <row r="184" spans="1:43" s="43" customFormat="1" ht="13.5" outlineLevel="1" x14ac:dyDescent="0.15">
      <c r="A184" s="34">
        <v>1</v>
      </c>
      <c r="B184" s="85">
        <f t="shared" si="76"/>
        <v>182</v>
      </c>
      <c r="C184" s="162" t="s">
        <v>215</v>
      </c>
      <c r="D184" s="163"/>
      <c r="E184" s="164">
        <f t="shared" si="102"/>
        <v>0</v>
      </c>
      <c r="F184" s="165"/>
      <c r="G184" s="166">
        <f t="shared" si="106"/>
        <v>0</v>
      </c>
      <c r="H184" s="167"/>
      <c r="I184" s="171"/>
      <c r="J184" s="171"/>
      <c r="K184" s="171"/>
      <c r="L184" s="171"/>
      <c r="M184" s="171"/>
      <c r="N184" s="171"/>
      <c r="O184" s="171"/>
      <c r="P184" s="171"/>
      <c r="Q184" s="171"/>
      <c r="R184" s="171"/>
      <c r="S184" s="171"/>
      <c r="T184" s="171"/>
      <c r="U184" s="34">
        <f t="shared" si="82"/>
        <v>1</v>
      </c>
      <c r="V184" s="169">
        <f t="shared" si="82"/>
        <v>182</v>
      </c>
      <c r="W184" s="162" t="s">
        <v>215</v>
      </c>
      <c r="X184" s="163"/>
      <c r="Y184" s="164">
        <f t="shared" si="103"/>
        <v>-334419365</v>
      </c>
      <c r="Z184" s="165"/>
      <c r="AA184" s="166">
        <f t="shared" si="108"/>
        <v>-334419365</v>
      </c>
      <c r="AB184" s="167"/>
      <c r="AC184" s="171"/>
      <c r="AD184" s="171"/>
      <c r="AE184" s="171">
        <v>-334419365</v>
      </c>
      <c r="AF184" s="171">
        <v>-334419365</v>
      </c>
      <c r="AG184" s="171">
        <v>-334419365</v>
      </c>
      <c r="AH184" s="171">
        <v>-334419365</v>
      </c>
      <c r="AI184" s="171">
        <v>-334419365</v>
      </c>
      <c r="AJ184" s="171">
        <v>-334419365</v>
      </c>
      <c r="AK184" s="171">
        <v>-334419365</v>
      </c>
      <c r="AL184" s="171">
        <v>-334419365</v>
      </c>
      <c r="AM184" s="171">
        <v>-334419365</v>
      </c>
      <c r="AN184" s="171">
        <v>-334419365</v>
      </c>
    </row>
    <row r="185" spans="1:43" s="43" customFormat="1" ht="13.5" outlineLevel="1" x14ac:dyDescent="0.15">
      <c r="A185" s="34">
        <v>1</v>
      </c>
      <c r="B185" s="85">
        <f t="shared" si="76"/>
        <v>183</v>
      </c>
      <c r="C185" s="162" t="s">
        <v>216</v>
      </c>
      <c r="D185" s="163"/>
      <c r="E185" s="164">
        <f t="shared" si="102"/>
        <v>-4299677550</v>
      </c>
      <c r="F185" s="165"/>
      <c r="G185" s="166">
        <f t="shared" si="106"/>
        <v>-4299677550</v>
      </c>
      <c r="H185" s="167"/>
      <c r="I185" s="171"/>
      <c r="J185" s="171"/>
      <c r="K185" s="171">
        <v>-4299677550</v>
      </c>
      <c r="L185" s="171">
        <f t="shared" ref="L185:T185" si="109">+K185</f>
        <v>-4299677550</v>
      </c>
      <c r="M185" s="171">
        <f t="shared" si="109"/>
        <v>-4299677550</v>
      </c>
      <c r="N185" s="171">
        <f t="shared" si="109"/>
        <v>-4299677550</v>
      </c>
      <c r="O185" s="171">
        <f t="shared" si="109"/>
        <v>-4299677550</v>
      </c>
      <c r="P185" s="171">
        <f t="shared" si="109"/>
        <v>-4299677550</v>
      </c>
      <c r="Q185" s="171">
        <f t="shared" si="109"/>
        <v>-4299677550</v>
      </c>
      <c r="R185" s="171">
        <f t="shared" si="109"/>
        <v>-4299677550</v>
      </c>
      <c r="S185" s="171">
        <f t="shared" si="109"/>
        <v>-4299677550</v>
      </c>
      <c r="T185" s="171">
        <f t="shared" si="109"/>
        <v>-4299677550</v>
      </c>
      <c r="U185" s="34">
        <f t="shared" si="82"/>
        <v>1</v>
      </c>
      <c r="V185" s="169">
        <f t="shared" si="82"/>
        <v>183</v>
      </c>
      <c r="W185" s="162" t="s">
        <v>216</v>
      </c>
      <c r="X185" s="163"/>
      <c r="Y185" s="164">
        <f t="shared" si="103"/>
        <v>-3344193650</v>
      </c>
      <c r="Z185" s="165"/>
      <c r="AA185" s="166">
        <f t="shared" si="108"/>
        <v>-3344193650</v>
      </c>
      <c r="AB185" s="167"/>
      <c r="AC185" s="171"/>
      <c r="AD185" s="171"/>
      <c r="AE185" s="171">
        <v>-3344193650</v>
      </c>
      <c r="AF185" s="171">
        <v>-3344193650</v>
      </c>
      <c r="AG185" s="171">
        <v>-3344193650</v>
      </c>
      <c r="AH185" s="171">
        <v>-3344193650</v>
      </c>
      <c r="AI185" s="171">
        <v>-3344193650</v>
      </c>
      <c r="AJ185" s="171">
        <v>-3344193650</v>
      </c>
      <c r="AK185" s="171">
        <v>-3344193650</v>
      </c>
      <c r="AL185" s="171">
        <v>-3344193650</v>
      </c>
      <c r="AM185" s="171">
        <v>-3344193650</v>
      </c>
      <c r="AN185" s="171">
        <v>-3344193650</v>
      </c>
    </row>
    <row r="186" spans="1:43" s="43" customFormat="1" ht="13.5" outlineLevel="1" x14ac:dyDescent="0.15">
      <c r="A186" s="34">
        <v>1</v>
      </c>
      <c r="B186" s="85">
        <f t="shared" si="76"/>
        <v>184</v>
      </c>
      <c r="C186" s="162" t="s">
        <v>217</v>
      </c>
      <c r="D186" s="163"/>
      <c r="E186" s="164">
        <f t="shared" si="102"/>
        <v>0</v>
      </c>
      <c r="F186" s="165"/>
      <c r="G186" s="166">
        <f t="shared" si="106"/>
        <v>0</v>
      </c>
      <c r="H186" s="167"/>
      <c r="I186" s="171"/>
      <c r="J186" s="171"/>
      <c r="K186" s="171"/>
      <c r="L186" s="171"/>
      <c r="M186" s="171"/>
      <c r="N186" s="171"/>
      <c r="O186" s="171"/>
      <c r="P186" s="171"/>
      <c r="Q186" s="171"/>
      <c r="R186" s="171"/>
      <c r="S186" s="171"/>
      <c r="T186" s="171"/>
      <c r="U186" s="34">
        <f t="shared" si="82"/>
        <v>1</v>
      </c>
      <c r="V186" s="169">
        <f t="shared" si="82"/>
        <v>184</v>
      </c>
      <c r="W186" s="162" t="s">
        <v>217</v>
      </c>
      <c r="X186" s="163"/>
      <c r="Y186" s="164">
        <f t="shared" si="103"/>
        <v>0</v>
      </c>
      <c r="Z186" s="165"/>
      <c r="AA186" s="166">
        <f t="shared" si="108"/>
        <v>0</v>
      </c>
      <c r="AB186" s="167"/>
      <c r="AC186" s="171"/>
      <c r="AD186" s="171"/>
      <c r="AE186" s="171"/>
      <c r="AF186" s="171"/>
      <c r="AG186" s="171"/>
      <c r="AH186" s="171"/>
      <c r="AI186" s="171"/>
      <c r="AJ186" s="171"/>
      <c r="AK186" s="171"/>
      <c r="AL186" s="171"/>
      <c r="AM186" s="171"/>
      <c r="AN186" s="171"/>
    </row>
    <row r="187" spans="1:43" s="43" customFormat="1" ht="13.5" outlineLevel="1" x14ac:dyDescent="0.15">
      <c r="A187" s="34">
        <v>1</v>
      </c>
      <c r="B187" s="85">
        <f t="shared" si="76"/>
        <v>185</v>
      </c>
      <c r="C187" s="162" t="s">
        <v>218</v>
      </c>
      <c r="D187" s="163"/>
      <c r="E187" s="164">
        <f t="shared" si="102"/>
        <v>-11056193945</v>
      </c>
      <c r="F187" s="165">
        <f>AN187</f>
        <v>-12768503253</v>
      </c>
      <c r="G187" s="166">
        <f t="shared" si="106"/>
        <v>-11056193945</v>
      </c>
      <c r="H187" s="167"/>
      <c r="I187" s="168">
        <f>F187+I315</f>
        <v>-12768503253</v>
      </c>
      <c r="J187" s="168">
        <f>IF($A$1&gt;=J3,I187+J315,)</f>
        <v>-12768503253</v>
      </c>
      <c r="K187" s="168">
        <v>-12771493964</v>
      </c>
      <c r="L187" s="168">
        <f>IF($A$1&gt;=L3,K187+L315,)</f>
        <v>-12771493964</v>
      </c>
      <c r="M187" s="168">
        <f>IF($A$1&gt;=M3,L187+M315,)</f>
        <v>-12771493964</v>
      </c>
      <c r="N187" s="168">
        <f t="shared" ref="N187:S187" si="110">IF($A$1&gt;=N3,M187+N315,)</f>
        <v>-12771386140</v>
      </c>
      <c r="O187" s="168">
        <f t="shared" si="110"/>
        <v>-12771386140</v>
      </c>
      <c r="P187" s="168">
        <f t="shared" si="110"/>
        <v>-12771386140</v>
      </c>
      <c r="Q187" s="168">
        <f>IF($A$1&gt;=Q3,P187+Q315,)</f>
        <v>-12772049004</v>
      </c>
      <c r="R187" s="168">
        <f t="shared" si="110"/>
        <v>-12772049004</v>
      </c>
      <c r="S187" s="168">
        <f t="shared" si="110"/>
        <v>-12772049004</v>
      </c>
      <c r="T187" s="168">
        <f>IF($A$1&gt;=T3,S187+T315,)</f>
        <v>-11056193945</v>
      </c>
      <c r="U187" s="34">
        <f t="shared" si="82"/>
        <v>1</v>
      </c>
      <c r="V187" s="169">
        <f t="shared" si="82"/>
        <v>185</v>
      </c>
      <c r="W187" s="162" t="s">
        <v>218</v>
      </c>
      <c r="X187" s="163"/>
      <c r="Y187" s="164">
        <f t="shared" si="103"/>
        <v>-12768503253</v>
      </c>
      <c r="Z187" s="165"/>
      <c r="AA187" s="166">
        <f>Y187</f>
        <v>-12768503253</v>
      </c>
      <c r="AB187" s="167"/>
      <c r="AC187" s="170">
        <v>-8583355663</v>
      </c>
      <c r="AD187" s="168">
        <v>-8583355663</v>
      </c>
      <c r="AE187" s="168">
        <v>-8585126305</v>
      </c>
      <c r="AF187" s="168">
        <v>-8585126305</v>
      </c>
      <c r="AG187" s="168">
        <v>-8585126305</v>
      </c>
      <c r="AH187" s="168">
        <v>-8584540694</v>
      </c>
      <c r="AI187" s="168">
        <v>-8584540694</v>
      </c>
      <c r="AJ187" s="168">
        <v>-8584540694</v>
      </c>
      <c r="AK187" s="168">
        <v>-8584041473</v>
      </c>
      <c r="AL187" s="168">
        <v>-8584041473</v>
      </c>
      <c r="AM187" s="168">
        <v>-8584041473</v>
      </c>
      <c r="AN187" s="168">
        <v>-12768503253</v>
      </c>
    </row>
    <row r="188" spans="1:43" s="43" customFormat="1" ht="13.5" outlineLevel="1" x14ac:dyDescent="0.15">
      <c r="A188" s="34">
        <v>1</v>
      </c>
      <c r="B188" s="85">
        <f t="shared" si="76"/>
        <v>186</v>
      </c>
      <c r="C188" s="172" t="s">
        <v>219</v>
      </c>
      <c r="D188" s="163"/>
      <c r="E188" s="164">
        <f t="shared" si="102"/>
        <v>19002600</v>
      </c>
      <c r="F188" s="165"/>
      <c r="G188" s="166">
        <f t="shared" si="106"/>
        <v>19002600</v>
      </c>
      <c r="H188" s="167"/>
      <c r="I188" s="168"/>
      <c r="J188" s="168"/>
      <c r="K188" s="168"/>
      <c r="L188" s="168"/>
      <c r="M188" s="168"/>
      <c r="N188" s="168"/>
      <c r="O188" s="168"/>
      <c r="P188" s="168"/>
      <c r="Q188" s="168"/>
      <c r="R188" s="168"/>
      <c r="S188" s="168">
        <f>IF($A$1&gt;=S3,R188+S313,)</f>
        <v>19002600</v>
      </c>
      <c r="T188" s="168">
        <f>IF($A$1&gt;=T4,S188+T316,)</f>
        <v>19002600</v>
      </c>
      <c r="U188" s="34">
        <f t="shared" si="82"/>
        <v>1</v>
      </c>
      <c r="V188" s="169">
        <f t="shared" si="82"/>
        <v>186</v>
      </c>
      <c r="W188" s="162" t="s">
        <v>219</v>
      </c>
      <c r="X188" s="163"/>
      <c r="Y188" s="164"/>
      <c r="Z188" s="165"/>
      <c r="AA188" s="166">
        <f>Y188</f>
        <v>0</v>
      </c>
      <c r="AB188" s="167"/>
      <c r="AC188" s="170"/>
      <c r="AD188" s="168"/>
      <c r="AE188" s="168"/>
      <c r="AF188" s="168"/>
      <c r="AG188" s="168"/>
      <c r="AH188" s="168"/>
      <c r="AI188" s="168"/>
      <c r="AJ188" s="168"/>
      <c r="AK188" s="168"/>
      <c r="AL188" s="168"/>
      <c r="AM188" s="168"/>
      <c r="AN188" s="168"/>
    </row>
    <row r="189" spans="1:43" s="43" customFormat="1" ht="13.5" outlineLevel="1" x14ac:dyDescent="0.15">
      <c r="A189" s="34">
        <v>1</v>
      </c>
      <c r="B189" s="85">
        <f t="shared" si="76"/>
        <v>187</v>
      </c>
      <c r="C189" s="173" t="s">
        <v>220</v>
      </c>
      <c r="D189" s="174"/>
      <c r="E189" s="175">
        <f t="shared" si="102"/>
        <v>21069014633</v>
      </c>
      <c r="F189" s="176"/>
      <c r="G189" s="177">
        <f t="shared" si="106"/>
        <v>21069014633</v>
      </c>
      <c r="H189" s="178"/>
      <c r="I189" s="179">
        <f>I310</f>
        <v>750179567</v>
      </c>
      <c r="J189" s="179">
        <f t="shared" ref="J189:T189" si="111">IF($A$1&gt;=J3,I189+J310,)</f>
        <v>1526048070</v>
      </c>
      <c r="K189" s="179">
        <f t="shared" si="111"/>
        <v>7914400338.6514549</v>
      </c>
      <c r="L189" s="179">
        <f t="shared" si="111"/>
        <v>9368289990</v>
      </c>
      <c r="M189" s="179">
        <f>IF($A$1&gt;=M3,L189+M310,)</f>
        <v>10814808228</v>
      </c>
      <c r="N189" s="179">
        <f t="shared" si="111"/>
        <v>11905695796</v>
      </c>
      <c r="O189" s="179">
        <f t="shared" si="111"/>
        <v>13112914079</v>
      </c>
      <c r="P189" s="179">
        <f t="shared" si="111"/>
        <v>13712305366</v>
      </c>
      <c r="Q189" s="179">
        <f t="shared" si="111"/>
        <v>16615055261</v>
      </c>
      <c r="R189" s="179">
        <f t="shared" si="111"/>
        <v>16581872986</v>
      </c>
      <c r="S189" s="179">
        <f t="shared" si="111"/>
        <v>16628040645</v>
      </c>
      <c r="T189" s="179">
        <f t="shared" si="111"/>
        <v>21069014633</v>
      </c>
      <c r="U189" s="34">
        <f t="shared" si="82"/>
        <v>1</v>
      </c>
      <c r="V189" s="180">
        <f t="shared" si="82"/>
        <v>187</v>
      </c>
      <c r="W189" s="173" t="s">
        <v>220</v>
      </c>
      <c r="X189" s="174"/>
      <c r="Y189" s="175">
        <f>HLOOKUP($U$1,$AC$3:$AN$365,V189,0)</f>
        <v>8665461601</v>
      </c>
      <c r="Z189" s="176"/>
      <c r="AA189" s="177">
        <f t="shared" si="108"/>
        <v>8665461601</v>
      </c>
      <c r="AB189" s="178"/>
      <c r="AC189" s="179">
        <f>AC310</f>
        <v>1216852945</v>
      </c>
      <c r="AD189" s="179">
        <f t="shared" ref="AD189:AN189" si="112">IF($U$1&gt;=AD3,AC189+AD310,)</f>
        <v>1667841247</v>
      </c>
      <c r="AE189" s="179">
        <f t="shared" si="112"/>
        <v>3209244880</v>
      </c>
      <c r="AF189" s="179">
        <f t="shared" si="112"/>
        <v>3356476674</v>
      </c>
      <c r="AG189" s="179">
        <f t="shared" si="112"/>
        <v>4236831715</v>
      </c>
      <c r="AH189" s="179">
        <f t="shared" si="112"/>
        <v>5280623538</v>
      </c>
      <c r="AI189" s="179">
        <f t="shared" si="112"/>
        <v>6172297260</v>
      </c>
      <c r="AJ189" s="179">
        <f t="shared" si="112"/>
        <v>6240933535</v>
      </c>
      <c r="AK189" s="179">
        <f t="shared" si="112"/>
        <v>6449819548</v>
      </c>
      <c r="AL189" s="179">
        <f t="shared" si="112"/>
        <v>7630702570</v>
      </c>
      <c r="AM189" s="179">
        <f t="shared" si="112"/>
        <v>8124182322</v>
      </c>
      <c r="AN189" s="179">
        <f t="shared" si="112"/>
        <v>8665461601</v>
      </c>
    </row>
    <row r="190" spans="1:43" s="52" customFormat="1" ht="13.5" x14ac:dyDescent="0.15">
      <c r="A190" s="34">
        <v>1</v>
      </c>
      <c r="B190" s="85">
        <f t="shared" si="76"/>
        <v>188</v>
      </c>
      <c r="C190" s="121" t="s">
        <v>221</v>
      </c>
      <c r="D190" s="122"/>
      <c r="E190" s="123">
        <f t="shared" si="102"/>
        <v>0</v>
      </c>
      <c r="F190" s="124"/>
      <c r="G190" s="125">
        <f t="shared" si="106"/>
        <v>0</v>
      </c>
      <c r="H190" s="126"/>
      <c r="I190" s="123">
        <v>0</v>
      </c>
      <c r="J190" s="123">
        <v>0</v>
      </c>
      <c r="K190" s="123">
        <v>0</v>
      </c>
      <c r="L190" s="123">
        <v>0</v>
      </c>
      <c r="M190" s="123">
        <v>0</v>
      </c>
      <c r="N190" s="123">
        <v>0</v>
      </c>
      <c r="O190" s="123">
        <v>0</v>
      </c>
      <c r="P190" s="123">
        <v>0</v>
      </c>
      <c r="Q190" s="123">
        <v>0</v>
      </c>
      <c r="R190" s="123">
        <v>0</v>
      </c>
      <c r="S190" s="123">
        <v>0</v>
      </c>
      <c r="T190" s="123">
        <v>0</v>
      </c>
      <c r="U190" s="34">
        <f t="shared" si="82"/>
        <v>1</v>
      </c>
      <c r="V190" s="127">
        <f t="shared" si="82"/>
        <v>188</v>
      </c>
      <c r="W190" s="121" t="s">
        <v>221</v>
      </c>
      <c r="X190" s="122"/>
      <c r="Y190" s="123">
        <f>HLOOKUP($U$1,$I$3:$T$365,V190,0)</f>
        <v>0</v>
      </c>
      <c r="Z190" s="124"/>
      <c r="AA190" s="125">
        <f>Y190</f>
        <v>0</v>
      </c>
      <c r="AB190" s="126"/>
      <c r="AC190" s="123">
        <v>0</v>
      </c>
      <c r="AD190" s="123">
        <v>0</v>
      </c>
      <c r="AE190" s="123">
        <v>0</v>
      </c>
      <c r="AF190" s="123">
        <v>0</v>
      </c>
      <c r="AG190" s="123">
        <v>0</v>
      </c>
      <c r="AH190" s="123">
        <v>0</v>
      </c>
      <c r="AI190" s="123">
        <v>0</v>
      </c>
      <c r="AJ190" s="123">
        <v>0</v>
      </c>
      <c r="AK190" s="123">
        <v>0</v>
      </c>
      <c r="AL190" s="123">
        <v>0</v>
      </c>
      <c r="AM190" s="123">
        <v>0</v>
      </c>
      <c r="AN190" s="123">
        <v>0</v>
      </c>
    </row>
    <row r="191" spans="1:43" s="158" customFormat="1" ht="13.5" x14ac:dyDescent="0.15">
      <c r="A191" s="34">
        <v>1</v>
      </c>
      <c r="B191" s="85">
        <f t="shared" si="76"/>
        <v>189</v>
      </c>
      <c r="C191" s="151" t="s">
        <v>222</v>
      </c>
      <c r="D191" s="152"/>
      <c r="E191" s="153">
        <f>E151+E190</f>
        <v>283863692558</v>
      </c>
      <c r="F191" s="154"/>
      <c r="G191" s="155">
        <f>G151+G190</f>
        <v>283863692558</v>
      </c>
      <c r="H191" s="156"/>
      <c r="I191" s="153">
        <f t="shared" ref="I191:T191" si="113">I151+I190</f>
        <v>258301063420</v>
      </c>
      <c r="J191" s="153">
        <f>J151+J190</f>
        <v>258866511923</v>
      </c>
      <c r="K191" s="153">
        <f t="shared" si="113"/>
        <v>260171464672.65146</v>
      </c>
      <c r="L191" s="153">
        <f t="shared" si="113"/>
        <v>262663990629</v>
      </c>
      <c r="M191" s="153">
        <f t="shared" si="113"/>
        <v>266208028867</v>
      </c>
      <c r="N191" s="153">
        <f t="shared" si="113"/>
        <v>263861150654</v>
      </c>
      <c r="O191" s="153">
        <f t="shared" si="113"/>
        <v>266003518514</v>
      </c>
      <c r="P191" s="153">
        <f t="shared" si="113"/>
        <v>266545909801</v>
      </c>
      <c r="Q191" s="153">
        <f t="shared" si="113"/>
        <v>268518022714</v>
      </c>
      <c r="R191" s="153">
        <f t="shared" si="113"/>
        <v>268963247966</v>
      </c>
      <c r="S191" s="153">
        <f t="shared" si="113"/>
        <v>268591314625</v>
      </c>
      <c r="T191" s="153">
        <f t="shared" si="113"/>
        <v>283863692558</v>
      </c>
      <c r="U191" s="34">
        <f t="shared" si="82"/>
        <v>1</v>
      </c>
      <c r="V191" s="157">
        <f t="shared" si="82"/>
        <v>189</v>
      </c>
      <c r="W191" s="151" t="s">
        <v>222</v>
      </c>
      <c r="X191" s="152"/>
      <c r="Y191" s="153">
        <f>Y151+Y190</f>
        <v>256325103853</v>
      </c>
      <c r="Z191" s="154"/>
      <c r="AA191" s="155">
        <f>AA151+AA190</f>
        <v>256325103853</v>
      </c>
      <c r="AB191" s="156"/>
      <c r="AC191" s="153">
        <f t="shared" ref="AC191:AN191" si="114">AC151+AC190</f>
        <v>253045215207</v>
      </c>
      <c r="AD191" s="153">
        <f t="shared" si="114"/>
        <v>253382643509</v>
      </c>
      <c r="AE191" s="153">
        <f t="shared" si="114"/>
        <v>252661814238</v>
      </c>
      <c r="AF191" s="153">
        <f t="shared" si="114"/>
        <v>249806167721</v>
      </c>
      <c r="AG191" s="153">
        <f t="shared" si="114"/>
        <v>250760002762</v>
      </c>
      <c r="AH191" s="153">
        <f t="shared" si="114"/>
        <v>254917884816</v>
      </c>
      <c r="AI191" s="153">
        <f t="shared" si="114"/>
        <v>254982271920</v>
      </c>
      <c r="AJ191" s="153">
        <f t="shared" si="114"/>
        <v>256697528195</v>
      </c>
      <c r="AK191" s="153">
        <f t="shared" si="114"/>
        <v>255502502607</v>
      </c>
      <c r="AL191" s="153">
        <f t="shared" si="114"/>
        <v>256500958357</v>
      </c>
      <c r="AM191" s="153">
        <f t="shared" si="114"/>
        <v>256613678109</v>
      </c>
      <c r="AN191" s="153">
        <f t="shared" si="114"/>
        <v>256325103853</v>
      </c>
      <c r="AP191" s="181"/>
      <c r="AQ191" s="52"/>
    </row>
    <row r="192" spans="1:43" s="43" customFormat="1" ht="13.5" x14ac:dyDescent="0.15">
      <c r="A192" s="34">
        <v>1</v>
      </c>
      <c r="B192" s="85">
        <f t="shared" si="76"/>
        <v>190</v>
      </c>
      <c r="C192" s="36" t="s">
        <v>223</v>
      </c>
      <c r="D192" s="37"/>
      <c r="E192" s="182">
        <f>E149+E191</f>
        <v>644267037484</v>
      </c>
      <c r="F192" s="183"/>
      <c r="G192" s="184">
        <f>G149+G191</f>
        <v>644267037484</v>
      </c>
      <c r="H192" s="138"/>
      <c r="I192" s="185">
        <f t="shared" ref="I192:T192" si="115">I149+I191</f>
        <v>557133602629</v>
      </c>
      <c r="J192" s="185">
        <f t="shared" si="115"/>
        <v>559767378497</v>
      </c>
      <c r="K192" s="185">
        <f t="shared" si="115"/>
        <v>573363685155.65149</v>
      </c>
      <c r="L192" s="185">
        <f t="shared" si="115"/>
        <v>573765854474</v>
      </c>
      <c r="M192" s="185">
        <f t="shared" si="115"/>
        <v>582698977176</v>
      </c>
      <c r="N192" s="185">
        <f t="shared" si="115"/>
        <v>596053511689</v>
      </c>
      <c r="O192" s="185">
        <f t="shared" si="115"/>
        <v>598116118452</v>
      </c>
      <c r="P192" s="185">
        <f t="shared" si="115"/>
        <v>601415305385</v>
      </c>
      <c r="Q192" s="185">
        <f t="shared" si="115"/>
        <v>608972933744</v>
      </c>
      <c r="R192" s="185">
        <f t="shared" si="115"/>
        <v>618024813550</v>
      </c>
      <c r="S192" s="185">
        <f t="shared" si="115"/>
        <v>629848145949</v>
      </c>
      <c r="T192" s="185">
        <f t="shared" si="115"/>
        <v>644267037484</v>
      </c>
      <c r="U192" s="34">
        <f t="shared" si="82"/>
        <v>1</v>
      </c>
      <c r="V192" s="35">
        <f t="shared" si="82"/>
        <v>190</v>
      </c>
      <c r="W192" s="36" t="s">
        <v>223</v>
      </c>
      <c r="X192" s="37"/>
      <c r="Y192" s="182">
        <f>Y149+Y191</f>
        <v>555055569418</v>
      </c>
      <c r="Z192" s="183"/>
      <c r="AA192" s="184">
        <f>AA149+AA191</f>
        <v>555055569418</v>
      </c>
      <c r="AB192" s="138"/>
      <c r="AC192" s="185">
        <f t="shared" ref="AC192:AN192" si="116">AC149+AC191</f>
        <v>484153195523</v>
      </c>
      <c r="AD192" s="185">
        <f t="shared" si="116"/>
        <v>482920491327</v>
      </c>
      <c r="AE192" s="185">
        <f t="shared" si="116"/>
        <v>488931968717</v>
      </c>
      <c r="AF192" s="185">
        <f t="shared" si="116"/>
        <v>483184530954</v>
      </c>
      <c r="AG192" s="185">
        <f t="shared" si="116"/>
        <v>483611351143</v>
      </c>
      <c r="AH192" s="185">
        <f t="shared" si="116"/>
        <v>493156185407</v>
      </c>
      <c r="AI192" s="185">
        <f t="shared" si="116"/>
        <v>486515203846</v>
      </c>
      <c r="AJ192" s="185">
        <f t="shared" si="116"/>
        <v>533059775991</v>
      </c>
      <c r="AK192" s="185">
        <f t="shared" si="116"/>
        <v>540758128777</v>
      </c>
      <c r="AL192" s="185">
        <f t="shared" si="116"/>
        <v>539281234942</v>
      </c>
      <c r="AM192" s="185">
        <f t="shared" si="116"/>
        <v>545294370638</v>
      </c>
      <c r="AN192" s="185">
        <f t="shared" si="116"/>
        <v>555055569418</v>
      </c>
    </row>
    <row r="193" spans="1:43" s="193" customFormat="1" ht="15.75" x14ac:dyDescent="0.3">
      <c r="A193" s="34">
        <v>4</v>
      </c>
      <c r="B193" s="85">
        <f t="shared" si="76"/>
        <v>191</v>
      </c>
      <c r="C193" s="186"/>
      <c r="D193" s="187"/>
      <c r="E193" s="188">
        <f>E191+E149-E100</f>
        <v>0</v>
      </c>
      <c r="F193" s="189"/>
      <c r="G193" s="190">
        <f>G191+G149-G100</f>
        <v>0</v>
      </c>
      <c r="H193" s="191"/>
      <c r="I193" s="16">
        <f t="shared" ref="I193:S193" si="117">IF(I3&gt;$A$1,0,I191+I149-I100)</f>
        <v>0</v>
      </c>
      <c r="J193" s="16">
        <f t="shared" si="117"/>
        <v>0</v>
      </c>
      <c r="K193" s="16">
        <f t="shared" si="117"/>
        <v>0</v>
      </c>
      <c r="L193" s="16">
        <f t="shared" si="117"/>
        <v>0</v>
      </c>
      <c r="M193" s="16">
        <f t="shared" si="117"/>
        <v>0</v>
      </c>
      <c r="N193" s="16">
        <f t="shared" si="117"/>
        <v>0</v>
      </c>
      <c r="O193" s="16">
        <f t="shared" si="117"/>
        <v>0</v>
      </c>
      <c r="P193" s="16">
        <f t="shared" si="117"/>
        <v>0</v>
      </c>
      <c r="Q193" s="16">
        <f t="shared" si="117"/>
        <v>0</v>
      </c>
      <c r="R193" s="16">
        <f t="shared" si="117"/>
        <v>0</v>
      </c>
      <c r="S193" s="16">
        <f t="shared" si="117"/>
        <v>0</v>
      </c>
      <c r="T193" s="16">
        <f>IF(T3&gt;$A$1,0,T191+T149-T100)</f>
        <v>0</v>
      </c>
      <c r="U193" s="34">
        <f t="shared" si="82"/>
        <v>4</v>
      </c>
      <c r="V193" s="192">
        <f t="shared" si="82"/>
        <v>191</v>
      </c>
      <c r="W193" s="186"/>
      <c r="X193" s="187"/>
      <c r="Y193" s="188">
        <f>IF(Y3&gt;$A$1,0,Y191+Y149-Y100)</f>
        <v>0</v>
      </c>
      <c r="Z193" s="189"/>
      <c r="AA193" s="190">
        <f>IF(AA3&gt;$U$1,0,AA191+AA149-AA100)</f>
        <v>0</v>
      </c>
      <c r="AB193" s="191"/>
      <c r="AC193" s="16">
        <f t="shared" ref="AC193:AM193" si="118">IF(AC3&gt;$U$1,0,AC191+AC149-AC100)</f>
        <v>0</v>
      </c>
      <c r="AD193" s="16">
        <f t="shared" si="118"/>
        <v>0</v>
      </c>
      <c r="AE193" s="16">
        <f t="shared" si="118"/>
        <v>0</v>
      </c>
      <c r="AF193" s="16">
        <f t="shared" si="118"/>
        <v>0</v>
      </c>
      <c r="AG193" s="16">
        <f t="shared" si="118"/>
        <v>0</v>
      </c>
      <c r="AH193" s="16">
        <f t="shared" si="118"/>
        <v>0</v>
      </c>
      <c r="AI193" s="16">
        <f t="shared" si="118"/>
        <v>0</v>
      </c>
      <c r="AJ193" s="16">
        <f t="shared" si="118"/>
        <v>0</v>
      </c>
      <c r="AK193" s="16">
        <f t="shared" si="118"/>
        <v>0</v>
      </c>
      <c r="AL193" s="16">
        <f t="shared" si="118"/>
        <v>0</v>
      </c>
      <c r="AM193" s="16">
        <f t="shared" si="118"/>
        <v>0</v>
      </c>
      <c r="AN193" s="16">
        <f t="shared" ref="AN193" si="119">IF(AN3&gt;$A$1,0,AN191+AN149-AN100)</f>
        <v>0</v>
      </c>
    </row>
    <row r="194" spans="1:43" s="158" customFormat="1" ht="13.5" x14ac:dyDescent="0.15">
      <c r="A194" s="34">
        <v>2</v>
      </c>
      <c r="B194" s="85">
        <f t="shared" si="76"/>
        <v>192</v>
      </c>
      <c r="C194" s="194" t="s">
        <v>224</v>
      </c>
      <c r="D194" s="195"/>
      <c r="E194" s="153">
        <f>E195+E196+E199</f>
        <v>19487198343</v>
      </c>
      <c r="F194" s="154">
        <f>F195+F196+F199</f>
        <v>0</v>
      </c>
      <c r="G194" s="196">
        <f ca="1">G195+G196+G199</f>
        <v>177733181899</v>
      </c>
      <c r="H194" s="197">
        <f t="shared" ref="H194:H205" ca="1" si="120">IF(ISERROR(G194/$G$194*100),"",(G194/$G$194*100))</f>
        <v>100</v>
      </c>
      <c r="I194" s="198">
        <f t="shared" ref="I194:T194" si="121">I195+I196+I199</f>
        <v>9240138264</v>
      </c>
      <c r="J194" s="198">
        <f t="shared" si="121"/>
        <v>13657401297</v>
      </c>
      <c r="K194" s="198">
        <f t="shared" si="121"/>
        <v>23318829887</v>
      </c>
      <c r="L194" s="198">
        <f t="shared" si="121"/>
        <v>17610306301</v>
      </c>
      <c r="M194" s="198">
        <f t="shared" si="121"/>
        <v>17789435985</v>
      </c>
      <c r="N194" s="198">
        <f t="shared" si="121"/>
        <v>6035253667</v>
      </c>
      <c r="O194" s="198">
        <f t="shared" si="121"/>
        <v>15474490732</v>
      </c>
      <c r="P194" s="198">
        <f t="shared" si="121"/>
        <v>13228101087</v>
      </c>
      <c r="Q194" s="198">
        <f t="shared" si="121"/>
        <v>12366771457</v>
      </c>
      <c r="R194" s="198">
        <f t="shared" si="121"/>
        <v>13607320193</v>
      </c>
      <c r="S194" s="198">
        <f t="shared" si="121"/>
        <v>15917934686</v>
      </c>
      <c r="T194" s="198">
        <f t="shared" si="121"/>
        <v>19487198343</v>
      </c>
      <c r="U194" s="34">
        <f t="shared" si="82"/>
        <v>2</v>
      </c>
      <c r="V194" s="199">
        <f>V195+V196+V199</f>
        <v>584</v>
      </c>
      <c r="W194" s="194" t="s">
        <v>224</v>
      </c>
      <c r="X194" s="195"/>
      <c r="Y194" s="153">
        <f>Y195+Y196+Y199</f>
        <v>9017198521</v>
      </c>
      <c r="Z194" s="154">
        <f ca="1">Z195+Z196+Z199</f>
        <v>104488844552</v>
      </c>
      <c r="AA194" s="196">
        <f ca="1">AA195+AA196+AA199</f>
        <v>113506043073</v>
      </c>
      <c r="AB194" s="197">
        <f t="shared" ref="AB194:AB257" ca="1" si="122">IF(ISERROR(AA194/$AA$194*100),"",(AA194/$AA$194*100))</f>
        <v>100</v>
      </c>
      <c r="AC194" s="198">
        <f t="shared" ref="AC194:AN194" si="123">AC195+AC196+AC199</f>
        <v>9560454468</v>
      </c>
      <c r="AD194" s="198">
        <f t="shared" si="123"/>
        <v>8167569811</v>
      </c>
      <c r="AE194" s="198">
        <f t="shared" si="123"/>
        <v>10691902385</v>
      </c>
      <c r="AF194" s="198">
        <f t="shared" si="123"/>
        <v>9701553014</v>
      </c>
      <c r="AG194" s="198">
        <f t="shared" si="123"/>
        <v>10024860551</v>
      </c>
      <c r="AH194" s="198">
        <f t="shared" si="123"/>
        <v>10083109724</v>
      </c>
      <c r="AI194" s="198">
        <f t="shared" si="123"/>
        <v>8740906775</v>
      </c>
      <c r="AJ194" s="198">
        <f t="shared" si="123"/>
        <v>8433080779</v>
      </c>
      <c r="AK194" s="198">
        <f t="shared" si="123"/>
        <v>8860138324</v>
      </c>
      <c r="AL194" s="198">
        <f t="shared" si="123"/>
        <v>10371500559</v>
      </c>
      <c r="AM194" s="198">
        <f t="shared" si="123"/>
        <v>9853768162</v>
      </c>
      <c r="AN194" s="198">
        <f t="shared" si="123"/>
        <v>9017198521</v>
      </c>
      <c r="AO194" s="52"/>
      <c r="AQ194" s="52"/>
    </row>
    <row r="195" spans="1:43" s="43" customFormat="1" ht="15" customHeight="1" outlineLevel="1" x14ac:dyDescent="0.15">
      <c r="A195" s="34">
        <v>2</v>
      </c>
      <c r="B195" s="85">
        <f t="shared" si="76"/>
        <v>193</v>
      </c>
      <c r="C195" s="200" t="s">
        <v>225</v>
      </c>
      <c r="D195" s="201"/>
      <c r="E195" s="179">
        <f t="shared" ref="E195:E218" si="124">HLOOKUP($A$1,$I$3:$T$365,B195,0)</f>
        <v>7496247151</v>
      </c>
      <c r="F195" s="202"/>
      <c r="G195" s="203">
        <f t="shared" ref="G195:G205" ca="1" si="125">SUM(OFFSET(I195,,,,MATCH($A$1,$I$3:$T$3,0)))</f>
        <v>42971587064</v>
      </c>
      <c r="H195" s="204">
        <f t="shared" ca="1" si="120"/>
        <v>24.177582714081694</v>
      </c>
      <c r="I195" s="205">
        <v>0</v>
      </c>
      <c r="J195" s="205">
        <v>3142993485</v>
      </c>
      <c r="K195" s="205">
        <v>5043064132</v>
      </c>
      <c r="L195" s="205">
        <v>6256292268</v>
      </c>
      <c r="M195" s="205">
        <v>6399312624</v>
      </c>
      <c r="N195" s="205">
        <v>-4843302996</v>
      </c>
      <c r="O195" s="205">
        <v>3399862947</v>
      </c>
      <c r="P195" s="205">
        <v>3060260488</v>
      </c>
      <c r="Q195" s="205">
        <v>3754195550</v>
      </c>
      <c r="R195" s="205">
        <v>4245771672</v>
      </c>
      <c r="S195" s="205">
        <v>5016889743</v>
      </c>
      <c r="T195" s="205">
        <v>7496247151</v>
      </c>
      <c r="U195" s="34">
        <f t="shared" si="82"/>
        <v>2</v>
      </c>
      <c r="V195" s="206">
        <f t="shared" si="82"/>
        <v>193</v>
      </c>
      <c r="W195" s="200" t="s">
        <v>225</v>
      </c>
      <c r="X195" s="201"/>
      <c r="Y195" s="179">
        <f t="shared" ref="Y195:Y205" si="126">HLOOKUP($U$1,$AC$3:$AN$365,V195,0)</f>
        <v>0</v>
      </c>
      <c r="Z195" s="202">
        <f ca="1">IF($Z$3&gt;0,SUM(OFFSET(AC195,,,,MATCH($Z$3,$AC$3:$AN$3,0))),)</f>
        <v>0</v>
      </c>
      <c r="AA195" s="203">
        <f t="shared" ref="AA195:AA205" ca="1" si="127">SUM(OFFSET(AC195,,,,MATCH($U$1,$AC$3:$AN$3,0)))</f>
        <v>0</v>
      </c>
      <c r="AB195" s="204">
        <f t="shared" ca="1" si="122"/>
        <v>0</v>
      </c>
      <c r="AC195" s="205"/>
      <c r="AD195" s="205"/>
      <c r="AE195" s="205"/>
      <c r="AF195" s="205"/>
      <c r="AG195" s="205"/>
      <c r="AH195" s="205"/>
      <c r="AI195" s="205"/>
      <c r="AJ195" s="205"/>
      <c r="AK195" s="205"/>
      <c r="AL195" s="205"/>
      <c r="AM195" s="205"/>
      <c r="AN195" s="205"/>
    </row>
    <row r="196" spans="1:43" s="43" customFormat="1" ht="15" customHeight="1" outlineLevel="1" x14ac:dyDescent="0.15">
      <c r="A196" s="34">
        <v>2</v>
      </c>
      <c r="B196" s="85">
        <f t="shared" si="76"/>
        <v>194</v>
      </c>
      <c r="C196" s="207" t="s">
        <v>226</v>
      </c>
      <c r="D196" s="208"/>
      <c r="E196" s="60">
        <f t="shared" si="124"/>
        <v>5344866091</v>
      </c>
      <c r="F196" s="209"/>
      <c r="G196" s="210">
        <f t="shared" ca="1" si="125"/>
        <v>61468291559</v>
      </c>
      <c r="H196" s="211">
        <f t="shared" ca="1" si="120"/>
        <v>34.584589609120052</v>
      </c>
      <c r="I196" s="60">
        <f t="shared" ref="I196:S196" si="128">SUM(I197:I198)</f>
        <v>4093022481</v>
      </c>
      <c r="J196" s="60">
        <f t="shared" si="128"/>
        <v>5282063825</v>
      </c>
      <c r="K196" s="60">
        <f t="shared" si="128"/>
        <v>5426173217</v>
      </c>
      <c r="L196" s="60">
        <f t="shared" si="128"/>
        <v>5669823235</v>
      </c>
      <c r="M196" s="60">
        <f t="shared" si="128"/>
        <v>5796081662</v>
      </c>
      <c r="N196" s="60">
        <f t="shared" si="128"/>
        <v>4903931459</v>
      </c>
      <c r="O196" s="60">
        <f>SUM(O197:O198)</f>
        <v>5248782379</v>
      </c>
      <c r="P196" s="60">
        <f>SUM(P197:P198)</f>
        <v>5090306955</v>
      </c>
      <c r="Q196" s="60">
        <f t="shared" si="128"/>
        <v>4012928018</v>
      </c>
      <c r="R196" s="60">
        <f t="shared" si="128"/>
        <v>4796570426</v>
      </c>
      <c r="S196" s="60">
        <f t="shared" si="128"/>
        <v>5803741811</v>
      </c>
      <c r="T196" s="60">
        <f>SUM(T197:T198)</f>
        <v>5344866091</v>
      </c>
      <c r="U196" s="34">
        <f t="shared" si="82"/>
        <v>2</v>
      </c>
      <c r="V196" s="212">
        <f t="shared" si="82"/>
        <v>194</v>
      </c>
      <c r="W196" s="207" t="s">
        <v>226</v>
      </c>
      <c r="X196" s="208"/>
      <c r="Y196" s="60">
        <f t="shared" si="126"/>
        <v>4938147035</v>
      </c>
      <c r="Z196" s="209">
        <f ca="1">IF($Z$3&gt;0,SUM(OFFSET(AC196,,,,MATCH($Z$3,$AC$3:$AN$3,0))),)</f>
        <v>46884993298</v>
      </c>
      <c r="AA196" s="210">
        <f t="shared" ca="1" si="127"/>
        <v>51823140333</v>
      </c>
      <c r="AB196" s="211">
        <f t="shared" ca="1" si="122"/>
        <v>45.656723580497463</v>
      </c>
      <c r="AC196" s="60">
        <f t="shared" ref="AC196:AM196" si="129">SUM(AC197:AC198)</f>
        <v>4447699863</v>
      </c>
      <c r="AD196" s="60">
        <f t="shared" si="129"/>
        <v>3739714481</v>
      </c>
      <c r="AE196" s="60">
        <f t="shared" si="129"/>
        <v>5115760767</v>
      </c>
      <c r="AF196" s="60">
        <f t="shared" si="129"/>
        <v>4939214999</v>
      </c>
      <c r="AG196" s="60">
        <f t="shared" si="129"/>
        <v>4498344465</v>
      </c>
      <c r="AH196" s="60">
        <f t="shared" si="129"/>
        <v>3741655746</v>
      </c>
      <c r="AI196" s="60">
        <f t="shared" si="129"/>
        <v>3660386804</v>
      </c>
      <c r="AJ196" s="60">
        <f t="shared" si="129"/>
        <v>3181219428</v>
      </c>
      <c r="AK196" s="60">
        <f t="shared" si="129"/>
        <v>3682847170</v>
      </c>
      <c r="AL196" s="60">
        <f t="shared" si="129"/>
        <v>4770571450</v>
      </c>
      <c r="AM196" s="60">
        <f t="shared" si="129"/>
        <v>5107578125</v>
      </c>
      <c r="AN196" s="60">
        <f t="shared" ref="AN196" si="130">SUM(AN197:AN198)</f>
        <v>4938147035</v>
      </c>
    </row>
    <row r="197" spans="1:43" s="43" customFormat="1" ht="15" customHeight="1" outlineLevel="1" x14ac:dyDescent="0.15">
      <c r="A197" s="34">
        <v>2</v>
      </c>
      <c r="B197" s="85">
        <f t="shared" si="76"/>
        <v>195</v>
      </c>
      <c r="C197" s="213" t="s">
        <v>227</v>
      </c>
      <c r="D197" s="110"/>
      <c r="E197" s="76">
        <f t="shared" si="124"/>
        <v>5224887971</v>
      </c>
      <c r="F197" s="214"/>
      <c r="G197" s="215">
        <f t="shared" ca="1" si="125"/>
        <v>60662183219</v>
      </c>
      <c r="H197" s="216">
        <f t="shared" ca="1" si="120"/>
        <v>34.13103989409943</v>
      </c>
      <c r="I197" s="76">
        <v>4063378681</v>
      </c>
      <c r="J197" s="76">
        <v>5238104535</v>
      </c>
      <c r="K197" s="76">
        <v>5365864017</v>
      </c>
      <c r="L197" s="76">
        <f>5669823235-L198</f>
        <v>5614723715</v>
      </c>
      <c r="M197" s="76">
        <f>5796081662-M198</f>
        <v>5704360162</v>
      </c>
      <c r="N197" s="76">
        <f>4903931459-N198</f>
        <v>4849544259</v>
      </c>
      <c r="O197" s="76">
        <f>5248782379-O198</f>
        <v>5206864279</v>
      </c>
      <c r="P197" s="76">
        <v>5049529735</v>
      </c>
      <c r="Q197" s="217">
        <v>3907859388</v>
      </c>
      <c r="R197" s="76">
        <v>4726822826</v>
      </c>
      <c r="S197" s="76">
        <v>5710243651</v>
      </c>
      <c r="T197" s="76">
        <f>5213832777+9880776+1174418</f>
        <v>5224887971</v>
      </c>
      <c r="U197" s="34">
        <f t="shared" si="82"/>
        <v>2</v>
      </c>
      <c r="V197" s="85">
        <f t="shared" si="82"/>
        <v>195</v>
      </c>
      <c r="W197" s="213" t="s">
        <v>227</v>
      </c>
      <c r="X197" s="110"/>
      <c r="Y197" s="76">
        <f t="shared" si="126"/>
        <v>4928320235</v>
      </c>
      <c r="Z197" s="214"/>
      <c r="AA197" s="215">
        <f t="shared" ca="1" si="127"/>
        <v>51083344573</v>
      </c>
      <c r="AB197" s="216">
        <f t="shared" ca="1" si="122"/>
        <v>45.004955850805565</v>
      </c>
      <c r="AC197" s="76">
        <v>4423142163</v>
      </c>
      <c r="AD197" s="76">
        <v>3685277381</v>
      </c>
      <c r="AE197" s="76">
        <v>5079371497</v>
      </c>
      <c r="AF197" s="76">
        <v>4768487879</v>
      </c>
      <c r="AG197" s="76">
        <v>4402809865</v>
      </c>
      <c r="AH197" s="76">
        <v>3676786656</v>
      </c>
      <c r="AI197" s="76">
        <v>3615224404</v>
      </c>
      <c r="AJ197" s="76">
        <v>3123406728</v>
      </c>
      <c r="AK197" s="76">
        <v>3609623070</v>
      </c>
      <c r="AL197" s="76">
        <v>4707237110</v>
      </c>
      <c r="AM197" s="76">
        <v>5063657585</v>
      </c>
      <c r="AN197" s="76">
        <v>4928320235</v>
      </c>
    </row>
    <row r="198" spans="1:43" s="43" customFormat="1" ht="15" customHeight="1" outlineLevel="1" x14ac:dyDescent="0.15">
      <c r="A198" s="34">
        <v>2</v>
      </c>
      <c r="B198" s="85">
        <f t="shared" ref="B198:B261" si="131">B197+1</f>
        <v>196</v>
      </c>
      <c r="C198" s="218" t="s">
        <v>228</v>
      </c>
      <c r="D198" s="141"/>
      <c r="E198" s="84">
        <f t="shared" si="124"/>
        <v>119978120</v>
      </c>
      <c r="F198" s="219"/>
      <c r="G198" s="220">
        <f t="shared" ca="1" si="125"/>
        <v>806108340</v>
      </c>
      <c r="H198" s="221">
        <f t="shared" ca="1" si="120"/>
        <v>0.45354971502062297</v>
      </c>
      <c r="I198" s="84">
        <v>29643800</v>
      </c>
      <c r="J198" s="84">
        <v>43959290</v>
      </c>
      <c r="K198" s="84">
        <v>60309200</v>
      </c>
      <c r="L198" s="84">
        <v>55099520</v>
      </c>
      <c r="M198" s="84">
        <v>91721500</v>
      </c>
      <c r="N198" s="84">
        <v>54387200</v>
      </c>
      <c r="O198" s="84">
        <v>41918100</v>
      </c>
      <c r="P198" s="84">
        <v>40777220</v>
      </c>
      <c r="Q198" s="217">
        <v>105068630</v>
      </c>
      <c r="R198" s="84">
        <v>69747600</v>
      </c>
      <c r="S198" s="84">
        <v>93498160</v>
      </c>
      <c r="T198" s="84">
        <v>119978120</v>
      </c>
      <c r="U198" s="34">
        <f t="shared" si="82"/>
        <v>2</v>
      </c>
      <c r="V198" s="144">
        <f t="shared" si="82"/>
        <v>196</v>
      </c>
      <c r="W198" s="218" t="s">
        <v>228</v>
      </c>
      <c r="X198" s="141"/>
      <c r="Y198" s="84">
        <f t="shared" si="126"/>
        <v>9826800</v>
      </c>
      <c r="Z198" s="219"/>
      <c r="AA198" s="220">
        <f t="shared" ca="1" si="127"/>
        <v>739795760</v>
      </c>
      <c r="AB198" s="221">
        <f t="shared" ca="1" si="122"/>
        <v>0.651767729691898</v>
      </c>
      <c r="AC198" s="84">
        <v>24557700</v>
      </c>
      <c r="AD198" s="84">
        <v>54437100</v>
      </c>
      <c r="AE198" s="84">
        <v>36389270</v>
      </c>
      <c r="AF198" s="84">
        <v>170727120</v>
      </c>
      <c r="AG198" s="84">
        <v>95534600</v>
      </c>
      <c r="AH198" s="84">
        <v>64869090</v>
      </c>
      <c r="AI198" s="84">
        <v>45162400</v>
      </c>
      <c r="AJ198" s="84">
        <v>57812700</v>
      </c>
      <c r="AK198" s="84">
        <v>73224100</v>
      </c>
      <c r="AL198" s="84">
        <v>63334340</v>
      </c>
      <c r="AM198" s="84">
        <v>43920540</v>
      </c>
      <c r="AN198" s="84">
        <v>9826800</v>
      </c>
    </row>
    <row r="199" spans="1:43" s="43" customFormat="1" ht="15" customHeight="1" outlineLevel="1" x14ac:dyDescent="0.15">
      <c r="A199" s="34">
        <v>2</v>
      </c>
      <c r="B199" s="85">
        <f t="shared" si="131"/>
        <v>197</v>
      </c>
      <c r="C199" s="207" t="s">
        <v>229</v>
      </c>
      <c r="D199" s="208"/>
      <c r="E199" s="60">
        <f t="shared" si="124"/>
        <v>6646085101</v>
      </c>
      <c r="F199" s="209"/>
      <c r="G199" s="210">
        <f t="shared" ca="1" si="125"/>
        <v>73293303276</v>
      </c>
      <c r="H199" s="211">
        <f t="shared" ca="1" si="120"/>
        <v>41.237827676798247</v>
      </c>
      <c r="I199" s="60">
        <f t="shared" ref="I199:T199" si="132">SUM(I200:I205)</f>
        <v>5147115783</v>
      </c>
      <c r="J199" s="60">
        <f t="shared" si="132"/>
        <v>5232343987</v>
      </c>
      <c r="K199" s="60">
        <f t="shared" si="132"/>
        <v>12849592538</v>
      </c>
      <c r="L199" s="60">
        <f t="shared" si="132"/>
        <v>5684190798</v>
      </c>
      <c r="M199" s="60">
        <f t="shared" si="132"/>
        <v>5594041699</v>
      </c>
      <c r="N199" s="60">
        <f t="shared" si="132"/>
        <v>5974625204</v>
      </c>
      <c r="O199" s="60">
        <f t="shared" si="132"/>
        <v>6825845406</v>
      </c>
      <c r="P199" s="60">
        <f t="shared" si="132"/>
        <v>5077533644</v>
      </c>
      <c r="Q199" s="60">
        <f t="shared" si="132"/>
        <v>4599647889</v>
      </c>
      <c r="R199" s="60">
        <f t="shared" si="132"/>
        <v>4564978095</v>
      </c>
      <c r="S199" s="60">
        <f t="shared" si="132"/>
        <v>5097303132</v>
      </c>
      <c r="T199" s="60">
        <f t="shared" si="132"/>
        <v>6646085101</v>
      </c>
      <c r="U199" s="34">
        <f t="shared" si="82"/>
        <v>2</v>
      </c>
      <c r="V199" s="212">
        <f t="shared" si="82"/>
        <v>197</v>
      </c>
      <c r="W199" s="207" t="s">
        <v>229</v>
      </c>
      <c r="X199" s="208"/>
      <c r="Y199" s="60">
        <f t="shared" si="126"/>
        <v>4079051486</v>
      </c>
      <c r="Z199" s="209">
        <f ca="1">IF($Z$3&gt;0,SUM(OFFSET(AC199,,,,MATCH($Z$3,$AC$3:$AN$3,0))),)</f>
        <v>57603851254</v>
      </c>
      <c r="AA199" s="210">
        <f t="shared" ca="1" si="127"/>
        <v>61682902740</v>
      </c>
      <c r="AB199" s="211">
        <f t="shared" ca="1" si="122"/>
        <v>54.343276419502537</v>
      </c>
      <c r="AC199" s="60">
        <f t="shared" ref="AC199:AM199" si="133">SUM(AC200:AC205)</f>
        <v>5112754605</v>
      </c>
      <c r="AD199" s="60">
        <f t="shared" si="133"/>
        <v>4427855330</v>
      </c>
      <c r="AE199" s="60">
        <f t="shared" si="133"/>
        <v>5576141618</v>
      </c>
      <c r="AF199" s="60">
        <f t="shared" si="133"/>
        <v>4762338015</v>
      </c>
      <c r="AG199" s="60">
        <f t="shared" si="133"/>
        <v>5526516086</v>
      </c>
      <c r="AH199" s="60">
        <f t="shared" si="133"/>
        <v>6341453978</v>
      </c>
      <c r="AI199" s="60">
        <f t="shared" si="133"/>
        <v>5080519971</v>
      </c>
      <c r="AJ199" s="60">
        <f t="shared" si="133"/>
        <v>5251861351</v>
      </c>
      <c r="AK199" s="60">
        <f t="shared" si="133"/>
        <v>5177291154</v>
      </c>
      <c r="AL199" s="60">
        <f t="shared" si="133"/>
        <v>5600929109</v>
      </c>
      <c r="AM199" s="60">
        <f t="shared" si="133"/>
        <v>4746190037</v>
      </c>
      <c r="AN199" s="60">
        <f t="shared" ref="AN199" si="134">SUM(AN200:AN205)</f>
        <v>4079051486</v>
      </c>
    </row>
    <row r="200" spans="1:43" s="43" customFormat="1" ht="15" customHeight="1" outlineLevel="1" x14ac:dyDescent="0.15">
      <c r="A200" s="34">
        <v>2</v>
      </c>
      <c r="B200" s="85">
        <f t="shared" si="131"/>
        <v>198</v>
      </c>
      <c r="C200" s="213" t="s">
        <v>230</v>
      </c>
      <c r="D200" s="110"/>
      <c r="E200" s="76">
        <f t="shared" si="124"/>
        <v>2176830467</v>
      </c>
      <c r="F200" s="214"/>
      <c r="G200" s="215">
        <f t="shared" ca="1" si="125"/>
        <v>17454760041</v>
      </c>
      <c r="H200" s="216">
        <f t="shared" ca="1" si="120"/>
        <v>9.8207660800890704</v>
      </c>
      <c r="I200" s="76">
        <v>1473170954</v>
      </c>
      <c r="J200" s="76">
        <v>1397615324</v>
      </c>
      <c r="K200" s="76">
        <v>1336956255</v>
      </c>
      <c r="L200" s="76">
        <v>1271506039</v>
      </c>
      <c r="M200" s="76">
        <v>1378761228</v>
      </c>
      <c r="N200" s="76">
        <v>1366879560</v>
      </c>
      <c r="O200" s="76">
        <v>1689454433</v>
      </c>
      <c r="P200" s="76">
        <v>1321094596</v>
      </c>
      <c r="Q200" s="76">
        <v>1422644672</v>
      </c>
      <c r="R200" s="76">
        <v>1252262744</v>
      </c>
      <c r="S200" s="76">
        <v>1367583769</v>
      </c>
      <c r="T200" s="76">
        <v>2176830467</v>
      </c>
      <c r="U200" s="34">
        <f t="shared" si="82"/>
        <v>2</v>
      </c>
      <c r="V200" s="85">
        <f t="shared" si="82"/>
        <v>198</v>
      </c>
      <c r="W200" s="213" t="s">
        <v>230</v>
      </c>
      <c r="X200" s="110"/>
      <c r="Y200" s="76">
        <f t="shared" si="126"/>
        <v>1239228129</v>
      </c>
      <c r="Z200" s="214"/>
      <c r="AA200" s="215">
        <f t="shared" ca="1" si="127"/>
        <v>15359933145</v>
      </c>
      <c r="AB200" s="216">
        <f t="shared" ca="1" si="122"/>
        <v>13.532260247255248</v>
      </c>
      <c r="AC200" s="76">
        <v>1334357997</v>
      </c>
      <c r="AD200" s="76">
        <v>1206380724</v>
      </c>
      <c r="AE200" s="76">
        <v>984099254</v>
      </c>
      <c r="AF200" s="76">
        <v>1116853514</v>
      </c>
      <c r="AG200" s="76">
        <v>1566284119</v>
      </c>
      <c r="AH200" s="76">
        <v>1802809640</v>
      </c>
      <c r="AI200" s="76">
        <v>1163677576</v>
      </c>
      <c r="AJ200" s="76">
        <v>1107588277</v>
      </c>
      <c r="AK200" s="76">
        <v>1429441303</v>
      </c>
      <c r="AL200" s="76">
        <v>1354420901</v>
      </c>
      <c r="AM200" s="76">
        <v>1054791711</v>
      </c>
      <c r="AN200" s="76">
        <v>1239228129</v>
      </c>
    </row>
    <row r="201" spans="1:43" s="43" customFormat="1" ht="15" customHeight="1" outlineLevel="1" x14ac:dyDescent="0.15">
      <c r="A201" s="34">
        <v>2</v>
      </c>
      <c r="B201" s="85">
        <f t="shared" si="131"/>
        <v>199</v>
      </c>
      <c r="C201" s="213" t="s">
        <v>231</v>
      </c>
      <c r="D201" s="110"/>
      <c r="E201" s="76">
        <f t="shared" si="124"/>
        <v>1299608503</v>
      </c>
      <c r="F201" s="214"/>
      <c r="G201" s="215">
        <f t="shared" ca="1" si="125"/>
        <v>12851258109</v>
      </c>
      <c r="H201" s="216">
        <f t="shared" ca="1" si="120"/>
        <v>7.2306465071350345</v>
      </c>
      <c r="I201" s="76">
        <v>1087600000</v>
      </c>
      <c r="J201" s="76">
        <v>1085200000</v>
      </c>
      <c r="K201" s="76">
        <v>821524577</v>
      </c>
      <c r="L201" s="76">
        <v>996580000</v>
      </c>
      <c r="M201" s="76">
        <v>996580000</v>
      </c>
      <c r="N201" s="76">
        <v>1403334452</v>
      </c>
      <c r="O201" s="76">
        <v>1131480000</v>
      </c>
      <c r="P201" s="76">
        <v>1131480000</v>
      </c>
      <c r="Q201" s="76">
        <v>834010577</v>
      </c>
      <c r="R201" s="76">
        <v>1031930000</v>
      </c>
      <c r="S201" s="76">
        <v>1031930000</v>
      </c>
      <c r="T201" s="76">
        <v>1299608503</v>
      </c>
      <c r="U201" s="34">
        <f t="shared" si="82"/>
        <v>2</v>
      </c>
      <c r="V201" s="85">
        <f t="shared" si="82"/>
        <v>199</v>
      </c>
      <c r="W201" s="213" t="s">
        <v>231</v>
      </c>
      <c r="X201" s="110"/>
      <c r="Y201" s="76">
        <f t="shared" si="126"/>
        <v>1227339576</v>
      </c>
      <c r="Z201" s="214"/>
      <c r="AA201" s="215">
        <f t="shared" ca="1" si="127"/>
        <v>12495155329</v>
      </c>
      <c r="AB201" s="216">
        <f t="shared" ca="1" si="122"/>
        <v>11.008361308977969</v>
      </c>
      <c r="AC201" s="76">
        <v>996860000</v>
      </c>
      <c r="AD201" s="76">
        <v>996860000</v>
      </c>
      <c r="AE201" s="76">
        <v>776362536</v>
      </c>
      <c r="AF201" s="76">
        <v>922700000</v>
      </c>
      <c r="AG201" s="76">
        <v>922700000</v>
      </c>
      <c r="AH201" s="76">
        <v>1447866650</v>
      </c>
      <c r="AI201" s="76">
        <v>1097000000</v>
      </c>
      <c r="AJ201" s="76">
        <v>1097000000</v>
      </c>
      <c r="AK201" s="76">
        <v>929266567</v>
      </c>
      <c r="AL201" s="76">
        <v>1040600000</v>
      </c>
      <c r="AM201" s="76">
        <v>1040600000</v>
      </c>
      <c r="AN201" s="76">
        <v>1227339576</v>
      </c>
    </row>
    <row r="202" spans="1:43" s="43" customFormat="1" ht="15" customHeight="1" outlineLevel="1" x14ac:dyDescent="0.15">
      <c r="A202" s="34">
        <v>2</v>
      </c>
      <c r="B202" s="85">
        <f t="shared" si="131"/>
        <v>200</v>
      </c>
      <c r="C202" s="213" t="s">
        <v>232</v>
      </c>
      <c r="D202" s="110"/>
      <c r="E202" s="76">
        <f t="shared" si="124"/>
        <v>2892950930</v>
      </c>
      <c r="F202" s="214"/>
      <c r="G202" s="215">
        <f t="shared" ca="1" si="125"/>
        <v>32548582680</v>
      </c>
      <c r="H202" s="216">
        <f t="shared" ca="1" si="120"/>
        <v>18.313171649904014</v>
      </c>
      <c r="I202" s="76">
        <v>2418665995</v>
      </c>
      <c r="J202" s="76">
        <v>2541302390</v>
      </c>
      <c r="K202" s="76">
        <v>3121897978</v>
      </c>
      <c r="L202" s="76">
        <v>3137151173</v>
      </c>
      <c r="M202" s="76">
        <v>2935257053</v>
      </c>
      <c r="N202" s="76">
        <v>2911005606</v>
      </c>
      <c r="O202" s="76">
        <v>3719829340</v>
      </c>
      <c r="P202" s="76">
        <v>2355199082</v>
      </c>
      <c r="Q202" s="76">
        <v>2075017983</v>
      </c>
      <c r="R202" s="76">
        <v>2014914819</v>
      </c>
      <c r="S202" s="76">
        <v>2425390331</v>
      </c>
      <c r="T202" s="76">
        <v>2892950930</v>
      </c>
      <c r="U202" s="34">
        <f t="shared" si="82"/>
        <v>2</v>
      </c>
      <c r="V202" s="85">
        <f t="shared" si="82"/>
        <v>200</v>
      </c>
      <c r="W202" s="213" t="s">
        <v>232</v>
      </c>
      <c r="X202" s="110"/>
      <c r="Y202" s="76">
        <f t="shared" si="126"/>
        <v>1371888987</v>
      </c>
      <c r="Z202" s="214"/>
      <c r="AA202" s="215">
        <f t="shared" ca="1" si="127"/>
        <v>29963403640</v>
      </c>
      <c r="AB202" s="216">
        <f t="shared" ca="1" si="122"/>
        <v>26.39806906204052</v>
      </c>
      <c r="AC202" s="76">
        <v>2678717808</v>
      </c>
      <c r="AD202" s="76">
        <v>2124791806</v>
      </c>
      <c r="AE202" s="76">
        <v>2038903894</v>
      </c>
      <c r="AF202" s="76">
        <v>2540036827</v>
      </c>
      <c r="AG202" s="76">
        <v>2850962791</v>
      </c>
      <c r="AH202" s="76">
        <v>2909982677</v>
      </c>
      <c r="AI202" s="76">
        <v>2630271200</v>
      </c>
      <c r="AJ202" s="76">
        <v>2864951380</v>
      </c>
      <c r="AK202" s="76">
        <v>2582873257</v>
      </c>
      <c r="AL202" s="76">
        <v>2961649315</v>
      </c>
      <c r="AM202" s="76">
        <v>2408373698</v>
      </c>
      <c r="AN202" s="76">
        <v>1371888987</v>
      </c>
    </row>
    <row r="203" spans="1:43" s="43" customFormat="1" ht="15" customHeight="1" outlineLevel="1" x14ac:dyDescent="0.15">
      <c r="A203" s="34">
        <v>2</v>
      </c>
      <c r="B203" s="85">
        <f t="shared" si="131"/>
        <v>201</v>
      </c>
      <c r="C203" s="213" t="s">
        <v>233</v>
      </c>
      <c r="D203" s="110"/>
      <c r="E203" s="76">
        <f t="shared" si="124"/>
        <v>172669867</v>
      </c>
      <c r="F203" s="214"/>
      <c r="G203" s="215">
        <f t="shared" ca="1" si="125"/>
        <v>2046390715</v>
      </c>
      <c r="H203" s="216">
        <f t="shared" ca="1" si="120"/>
        <v>1.1513836038578871</v>
      </c>
      <c r="I203" s="76">
        <v>167678834</v>
      </c>
      <c r="J203" s="76">
        <v>196922833</v>
      </c>
      <c r="K203" s="76">
        <v>149939430</v>
      </c>
      <c r="L203" s="76">
        <v>175092920</v>
      </c>
      <c r="M203" s="76">
        <v>179582752</v>
      </c>
      <c r="N203" s="76">
        <v>176544920</v>
      </c>
      <c r="O203" s="76">
        <v>168062420</v>
      </c>
      <c r="P203" s="76">
        <v>165740753</v>
      </c>
      <c r="Q203" s="76">
        <v>163937086</v>
      </c>
      <c r="R203" s="76">
        <v>161845200</v>
      </c>
      <c r="S203" s="76">
        <v>168373700</v>
      </c>
      <c r="T203" s="76">
        <v>172669867</v>
      </c>
      <c r="U203" s="34">
        <f t="shared" si="82"/>
        <v>2</v>
      </c>
      <c r="V203" s="85">
        <f t="shared" si="82"/>
        <v>201</v>
      </c>
      <c r="W203" s="213" t="s">
        <v>233</v>
      </c>
      <c r="X203" s="110"/>
      <c r="Y203" s="76">
        <f t="shared" si="126"/>
        <v>168377567</v>
      </c>
      <c r="Z203" s="214"/>
      <c r="AA203" s="215">
        <f t="shared" ca="1" si="127"/>
        <v>1533172502</v>
      </c>
      <c r="AB203" s="216">
        <f t="shared" ca="1" si="122"/>
        <v>1.3507408596861747</v>
      </c>
      <c r="AC203" s="76">
        <v>102818800</v>
      </c>
      <c r="AD203" s="76">
        <v>99822800</v>
      </c>
      <c r="AE203" s="76">
        <v>102939134</v>
      </c>
      <c r="AF203" s="76">
        <v>102380134</v>
      </c>
      <c r="AG203" s="76">
        <v>114703966</v>
      </c>
      <c r="AH203" s="76">
        <v>108929801</v>
      </c>
      <c r="AI203" s="76">
        <v>117353967</v>
      </c>
      <c r="AJ203" s="76">
        <v>110104466</v>
      </c>
      <c r="AK203" s="76">
        <v>164548200</v>
      </c>
      <c r="AL203" s="76">
        <v>170986267</v>
      </c>
      <c r="AM203" s="76">
        <v>170207400</v>
      </c>
      <c r="AN203" s="76">
        <v>168377567</v>
      </c>
    </row>
    <row r="204" spans="1:43" s="43" customFormat="1" ht="15" customHeight="1" outlineLevel="1" x14ac:dyDescent="0.15">
      <c r="A204" s="34">
        <v>2</v>
      </c>
      <c r="B204" s="85">
        <f t="shared" si="131"/>
        <v>202</v>
      </c>
      <c r="C204" s="213" t="s">
        <v>234</v>
      </c>
      <c r="D204" s="110"/>
      <c r="E204" s="76">
        <f t="shared" si="124"/>
        <v>0</v>
      </c>
      <c r="F204" s="214"/>
      <c r="G204" s="215">
        <f t="shared" ca="1" si="125"/>
        <v>7107692300</v>
      </c>
      <c r="H204" s="216">
        <f t="shared" ca="1" si="120"/>
        <v>3.9990800952627241</v>
      </c>
      <c r="I204" s="76"/>
      <c r="J204" s="76"/>
      <c r="K204" s="76">
        <v>7107692300</v>
      </c>
      <c r="L204" s="76"/>
      <c r="M204" s="76"/>
      <c r="N204" s="76"/>
      <c r="O204" s="76"/>
      <c r="P204" s="76"/>
      <c r="Q204" s="76"/>
      <c r="R204" s="76"/>
      <c r="S204" s="76"/>
      <c r="T204" s="76"/>
      <c r="U204" s="34">
        <f t="shared" si="82"/>
        <v>2</v>
      </c>
      <c r="V204" s="85">
        <f t="shared" si="82"/>
        <v>202</v>
      </c>
      <c r="W204" s="213" t="s">
        <v>234</v>
      </c>
      <c r="X204" s="110"/>
      <c r="Y204" s="76">
        <f t="shared" si="126"/>
        <v>0</v>
      </c>
      <c r="Z204" s="214"/>
      <c r="AA204" s="215">
        <f t="shared" ca="1" si="127"/>
        <v>1466743500</v>
      </c>
      <c r="AB204" s="216">
        <f t="shared" ca="1" si="122"/>
        <v>1.2922162206435848</v>
      </c>
      <c r="AC204" s="76"/>
      <c r="AD204" s="76"/>
      <c r="AE204" s="76">
        <v>1466743500</v>
      </c>
      <c r="AF204" s="76"/>
      <c r="AG204" s="76"/>
      <c r="AH204" s="76"/>
      <c r="AI204" s="76"/>
      <c r="AJ204" s="76"/>
      <c r="AK204" s="76"/>
      <c r="AL204" s="76"/>
      <c r="AM204" s="76"/>
      <c r="AN204" s="76"/>
    </row>
    <row r="205" spans="1:43" s="43" customFormat="1" ht="15" customHeight="1" outlineLevel="1" x14ac:dyDescent="0.15">
      <c r="A205" s="34">
        <v>2</v>
      </c>
      <c r="B205" s="85">
        <f t="shared" si="131"/>
        <v>203</v>
      </c>
      <c r="C205" s="218" t="s">
        <v>235</v>
      </c>
      <c r="D205" s="141"/>
      <c r="E205" s="84">
        <f t="shared" si="124"/>
        <v>104025334</v>
      </c>
      <c r="F205" s="219"/>
      <c r="G205" s="220">
        <f t="shared" ca="1" si="125"/>
        <v>1284619431</v>
      </c>
      <c r="H205" s="221">
        <f t="shared" ca="1" si="120"/>
        <v>0.72277974054952077</v>
      </c>
      <c r="I205" s="84"/>
      <c r="J205" s="84">
        <v>11303440</v>
      </c>
      <c r="K205" s="84">
        <v>311581998</v>
      </c>
      <c r="L205" s="84">
        <v>103860666</v>
      </c>
      <c r="M205" s="84">
        <v>103860666</v>
      </c>
      <c r="N205" s="76">
        <v>116860666</v>
      </c>
      <c r="O205" s="84">
        <v>117019213</v>
      </c>
      <c r="P205" s="84">
        <v>104019213</v>
      </c>
      <c r="Q205" s="84">
        <v>104037571</v>
      </c>
      <c r="R205" s="84">
        <v>104025332</v>
      </c>
      <c r="S205" s="84">
        <v>104025332</v>
      </c>
      <c r="T205" s="84">
        <v>104025334</v>
      </c>
      <c r="U205" s="34">
        <f t="shared" si="82"/>
        <v>2</v>
      </c>
      <c r="V205" s="144">
        <f t="shared" si="82"/>
        <v>203</v>
      </c>
      <c r="W205" s="218" t="s">
        <v>236</v>
      </c>
      <c r="X205" s="141"/>
      <c r="Y205" s="84">
        <f t="shared" si="126"/>
        <v>72217227</v>
      </c>
      <c r="Z205" s="219"/>
      <c r="AA205" s="220">
        <f t="shared" ca="1" si="127"/>
        <v>864494624</v>
      </c>
      <c r="AB205" s="221">
        <f t="shared" ca="1" si="122"/>
        <v>0.7616287208990371</v>
      </c>
      <c r="AC205" s="84"/>
      <c r="AD205" s="84"/>
      <c r="AE205" s="84">
        <v>207093300</v>
      </c>
      <c r="AF205" s="84">
        <v>80367540</v>
      </c>
      <c r="AG205" s="84">
        <v>71865210</v>
      </c>
      <c r="AH205" s="84">
        <v>71865210</v>
      </c>
      <c r="AI205" s="84">
        <v>72217228</v>
      </c>
      <c r="AJ205" s="84">
        <v>72217228</v>
      </c>
      <c r="AK205" s="84">
        <v>71161827</v>
      </c>
      <c r="AL205" s="84">
        <v>73272626</v>
      </c>
      <c r="AM205" s="84">
        <v>72217228</v>
      </c>
      <c r="AN205" s="84">
        <v>72217227</v>
      </c>
    </row>
    <row r="206" spans="1:43" s="158" customFormat="1" ht="15" customHeight="1" x14ac:dyDescent="0.15">
      <c r="A206" s="34">
        <v>2</v>
      </c>
      <c r="B206" s="85">
        <f t="shared" si="131"/>
        <v>204</v>
      </c>
      <c r="C206" s="151" t="s">
        <v>237</v>
      </c>
      <c r="D206" s="152"/>
      <c r="E206" s="153">
        <f t="shared" si="124"/>
        <v>10610767926</v>
      </c>
      <c r="F206" s="154">
        <f ca="1">F207+F219</f>
        <v>2162693369</v>
      </c>
      <c r="G206" s="155">
        <f ca="1">G207+G219</f>
        <v>89097335154</v>
      </c>
      <c r="H206" s="222">
        <v>0</v>
      </c>
      <c r="I206" s="153">
        <f t="shared" ref="I206:T206" si="135">I207+I219</f>
        <v>3599665693</v>
      </c>
      <c r="J206" s="153">
        <f t="shared" si="135"/>
        <v>7362766161</v>
      </c>
      <c r="K206" s="153">
        <f t="shared" si="135"/>
        <v>9122120805.3485451</v>
      </c>
      <c r="L206" s="153">
        <f t="shared" si="135"/>
        <v>10241265581.651455</v>
      </c>
      <c r="M206" s="153">
        <f t="shared" si="135"/>
        <v>10418942993</v>
      </c>
      <c r="N206" s="153">
        <f t="shared" si="135"/>
        <v>-818020711</v>
      </c>
      <c r="O206" s="153">
        <f>O207+O219</f>
        <v>7144800353</v>
      </c>
      <c r="P206" s="153">
        <f t="shared" si="135"/>
        <v>6805290585</v>
      </c>
      <c r="Q206" s="153">
        <f t="shared" si="135"/>
        <v>6658842046</v>
      </c>
      <c r="R206" s="153">
        <f t="shared" si="135"/>
        <v>8190411949</v>
      </c>
      <c r="S206" s="153">
        <f t="shared" si="135"/>
        <v>9760481772</v>
      </c>
      <c r="T206" s="153">
        <f t="shared" si="135"/>
        <v>10610767926</v>
      </c>
      <c r="U206" s="34">
        <f t="shared" si="82"/>
        <v>2</v>
      </c>
      <c r="V206" s="157">
        <f t="shared" si="82"/>
        <v>204</v>
      </c>
      <c r="W206" s="151" t="s">
        <v>237</v>
      </c>
      <c r="X206" s="152"/>
      <c r="Y206" s="153">
        <f>Y207+Y219</f>
        <v>4199505872</v>
      </c>
      <c r="Z206" s="154">
        <f ca="1">Z207+Z219</f>
        <v>41180177853</v>
      </c>
      <c r="AA206" s="155">
        <f ca="1">AA207+AA219</f>
        <v>45379683725</v>
      </c>
      <c r="AB206" s="222">
        <f t="shared" ca="1" si="122"/>
        <v>39.979971547254642</v>
      </c>
      <c r="AC206" s="153">
        <f t="shared" ref="AC206:AN206" si="136">AC207+AC219</f>
        <v>3861925280</v>
      </c>
      <c r="AD206" s="153">
        <f t="shared" si="136"/>
        <v>3285010922</v>
      </c>
      <c r="AE206" s="153">
        <f t="shared" si="136"/>
        <v>4482019405</v>
      </c>
      <c r="AF206" s="153">
        <f t="shared" si="136"/>
        <v>4272169984</v>
      </c>
      <c r="AG206" s="153">
        <f t="shared" si="136"/>
        <v>3959958177</v>
      </c>
      <c r="AH206" s="153">
        <f t="shared" si="136"/>
        <v>3289437377</v>
      </c>
      <c r="AI206" s="153">
        <f t="shared" si="136"/>
        <v>3170365322</v>
      </c>
      <c r="AJ206" s="153">
        <f t="shared" si="136"/>
        <v>3061927988</v>
      </c>
      <c r="AK206" s="153">
        <f t="shared" si="136"/>
        <v>3145350841</v>
      </c>
      <c r="AL206" s="153">
        <f t="shared" si="136"/>
        <v>4189198572</v>
      </c>
      <c r="AM206" s="153">
        <f t="shared" si="136"/>
        <v>4462813985</v>
      </c>
      <c r="AN206" s="153">
        <f t="shared" si="136"/>
        <v>4199505872</v>
      </c>
      <c r="AO206" s="52"/>
      <c r="AP206" s="181"/>
      <c r="AQ206" s="52"/>
    </row>
    <row r="207" spans="1:43" s="52" customFormat="1" ht="15" customHeight="1" outlineLevel="1" collapsed="1" x14ac:dyDescent="0.15">
      <c r="A207" s="34">
        <v>2</v>
      </c>
      <c r="B207" s="85">
        <f t="shared" si="131"/>
        <v>205</v>
      </c>
      <c r="C207" s="223" t="s">
        <v>238</v>
      </c>
      <c r="D207" s="224"/>
      <c r="E207" s="225">
        <f t="shared" si="124"/>
        <v>5808077862</v>
      </c>
      <c r="F207" s="226">
        <f ca="1">F208+F209+F210+F211+F212+F213-F214-F215-F216</f>
        <v>0</v>
      </c>
      <c r="G207" s="227">
        <f ca="1">G208+G209+G210+G211+G212+G213-G214-G215-G216</f>
        <v>34230093461</v>
      </c>
      <c r="H207" s="211">
        <f t="shared" ref="H207:H270" ca="1" si="137">IF(ISERROR(G207/$G$194*100),"",(G207/$G$194*100))</f>
        <v>19.259258791896187</v>
      </c>
      <c r="I207" s="225">
        <f t="shared" ref="I207:T207" si="138">I208+I209+I210+I211+I212+I213-I214-I215-I216</f>
        <v>0</v>
      </c>
      <c r="J207" s="225">
        <f>J208+J209+J210+J211+J212+J213-J214-J215-J216</f>
        <v>2666559671</v>
      </c>
      <c r="K207" s="225">
        <f t="shared" si="138"/>
        <v>4290927905.3485446</v>
      </c>
      <c r="L207" s="225">
        <f t="shared" si="138"/>
        <v>5112927520.6514549</v>
      </c>
      <c r="M207" s="225">
        <f t="shared" si="138"/>
        <v>5309132342</v>
      </c>
      <c r="N207" s="225">
        <f t="shared" si="138"/>
        <v>-5254926621</v>
      </c>
      <c r="O207" s="225">
        <f t="shared" si="138"/>
        <v>2432473274</v>
      </c>
      <c r="P207" s="225">
        <f t="shared" si="138"/>
        <v>2303296958</v>
      </c>
      <c r="Q207" s="225">
        <f t="shared" si="138"/>
        <v>3073115145</v>
      </c>
      <c r="R207" s="225">
        <f t="shared" si="138"/>
        <v>3919992533</v>
      </c>
      <c r="S207" s="225">
        <f>S208+S209+S210+S211+S212+S213-S214-S215-S216</f>
        <v>4568516871</v>
      </c>
      <c r="T207" s="225">
        <f t="shared" si="138"/>
        <v>5808077862</v>
      </c>
      <c r="U207" s="34">
        <f t="shared" si="82"/>
        <v>2</v>
      </c>
      <c r="V207" s="228">
        <f t="shared" si="82"/>
        <v>205</v>
      </c>
      <c r="W207" s="223" t="s">
        <v>238</v>
      </c>
      <c r="X207" s="224"/>
      <c r="Y207" s="225">
        <f>Y208+Y209+Y210+Y211+Y212+Y213-Y214-Y215-Y216</f>
        <v>0</v>
      </c>
      <c r="Z207" s="226">
        <f ca="1">Z208+Z209+Z210+Z211+Z212+Z213-Z214-Z215-Z216</f>
        <v>0</v>
      </c>
      <c r="AA207" s="227">
        <f ca="1">AA208+AA209+AA210+AA211+AA212+AA213-AA214-AA215-AA216</f>
        <v>0</v>
      </c>
      <c r="AB207" s="211">
        <f t="shared" ca="1" si="122"/>
        <v>0</v>
      </c>
      <c r="AC207" s="225">
        <f t="shared" ref="AC207:AN207" si="139">AC208+AC209+AC210+AC211+AC212+AC213-AC214-AC215-AC216</f>
        <v>0</v>
      </c>
      <c r="AD207" s="225">
        <f t="shared" si="139"/>
        <v>0</v>
      </c>
      <c r="AE207" s="225">
        <f t="shared" si="139"/>
        <v>0</v>
      </c>
      <c r="AF207" s="225">
        <f t="shared" si="139"/>
        <v>0</v>
      </c>
      <c r="AG207" s="225">
        <f t="shared" si="139"/>
        <v>0</v>
      </c>
      <c r="AH207" s="225">
        <f t="shared" si="139"/>
        <v>0</v>
      </c>
      <c r="AI207" s="225">
        <f t="shared" si="139"/>
        <v>0</v>
      </c>
      <c r="AJ207" s="225">
        <f t="shared" si="139"/>
        <v>0</v>
      </c>
      <c r="AK207" s="225">
        <f t="shared" si="139"/>
        <v>0</v>
      </c>
      <c r="AL207" s="225">
        <f t="shared" si="139"/>
        <v>0</v>
      </c>
      <c r="AM207" s="225">
        <f t="shared" si="139"/>
        <v>0</v>
      </c>
      <c r="AN207" s="225">
        <f t="shared" si="139"/>
        <v>0</v>
      </c>
    </row>
    <row r="208" spans="1:43" s="43" customFormat="1" ht="15" customHeight="1" outlineLevel="1" x14ac:dyDescent="0.15">
      <c r="A208" s="34">
        <v>2</v>
      </c>
      <c r="B208" s="85">
        <f t="shared" si="131"/>
        <v>206</v>
      </c>
      <c r="C208" s="62" t="s">
        <v>239</v>
      </c>
      <c r="D208" s="63"/>
      <c r="E208" s="229">
        <f t="shared" si="124"/>
        <v>2491688</v>
      </c>
      <c r="F208" s="230"/>
      <c r="G208" s="231">
        <f>$I$208</f>
        <v>0</v>
      </c>
      <c r="H208" s="232">
        <f t="shared" ca="1" si="137"/>
        <v>0</v>
      </c>
      <c r="I208" s="233">
        <f>AN216</f>
        <v>0</v>
      </c>
      <c r="J208" s="233">
        <f t="shared" ref="J208:T208" si="140">IF($A$1&gt;=J3,I216,0)</f>
        <v>0</v>
      </c>
      <c r="K208" s="233">
        <f t="shared" si="140"/>
        <v>61782503</v>
      </c>
      <c r="L208" s="233">
        <f t="shared" si="140"/>
        <v>0</v>
      </c>
      <c r="M208" s="233">
        <f t="shared" si="140"/>
        <v>52346967</v>
      </c>
      <c r="N208" s="233">
        <f t="shared" si="140"/>
        <v>0</v>
      </c>
      <c r="O208" s="233">
        <f t="shared" si="140"/>
        <v>229199954</v>
      </c>
      <c r="P208" s="233">
        <f t="shared" si="140"/>
        <v>134883557</v>
      </c>
      <c r="Q208" s="233">
        <f t="shared" si="140"/>
        <v>64925321</v>
      </c>
      <c r="R208" s="233">
        <f t="shared" si="140"/>
        <v>127073068</v>
      </c>
      <c r="S208" s="233">
        <f t="shared" si="140"/>
        <v>0</v>
      </c>
      <c r="T208" s="233">
        <f t="shared" si="140"/>
        <v>2491688</v>
      </c>
      <c r="U208" s="34">
        <f t="shared" si="82"/>
        <v>2</v>
      </c>
      <c r="V208" s="61">
        <f t="shared" si="82"/>
        <v>206</v>
      </c>
      <c r="W208" s="62" t="s">
        <v>240</v>
      </c>
      <c r="X208" s="63"/>
      <c r="Y208" s="229">
        <f t="shared" ref="Y208:Y218" si="141">HLOOKUP($U$1,$AC$3:$AN$365,V208,0)</f>
        <v>0</v>
      </c>
      <c r="Z208" s="230">
        <f>IF($Z$3&gt;0,AC208,)</f>
        <v>0</v>
      </c>
      <c r="AA208" s="231">
        <f>AC208</f>
        <v>0</v>
      </c>
      <c r="AB208" s="232">
        <f t="shared" ca="1" si="122"/>
        <v>0</v>
      </c>
      <c r="AC208" s="234"/>
      <c r="AD208" s="233">
        <f t="shared" ref="AD208:AM208" si="142">IF($U$1&gt;=AD3,AC216,0)</f>
        <v>0</v>
      </c>
      <c r="AE208" s="233">
        <f t="shared" si="142"/>
        <v>0</v>
      </c>
      <c r="AF208" s="233">
        <f t="shared" si="142"/>
        <v>0</v>
      </c>
      <c r="AG208" s="233">
        <f t="shared" si="142"/>
        <v>0</v>
      </c>
      <c r="AH208" s="233">
        <f t="shared" si="142"/>
        <v>0</v>
      </c>
      <c r="AI208" s="233">
        <f t="shared" si="142"/>
        <v>0</v>
      </c>
      <c r="AJ208" s="233">
        <f t="shared" si="142"/>
        <v>0</v>
      </c>
      <c r="AK208" s="233">
        <f t="shared" si="142"/>
        <v>0</v>
      </c>
      <c r="AL208" s="233">
        <f t="shared" si="142"/>
        <v>0</v>
      </c>
      <c r="AM208" s="233">
        <f t="shared" si="142"/>
        <v>0</v>
      </c>
      <c r="AN208" s="233">
        <f t="shared" ref="AN208" si="143">IF($A$1&gt;=AN3,AM216,0)</f>
        <v>0</v>
      </c>
    </row>
    <row r="209" spans="1:40" s="43" customFormat="1" ht="15" customHeight="1" outlineLevel="1" x14ac:dyDescent="0.15">
      <c r="A209" s="34">
        <v>2</v>
      </c>
      <c r="B209" s="85">
        <f t="shared" si="131"/>
        <v>207</v>
      </c>
      <c r="C209" s="70" t="s">
        <v>241</v>
      </c>
      <c r="D209" s="71"/>
      <c r="E209" s="235">
        <f t="shared" si="124"/>
        <v>5899309518</v>
      </c>
      <c r="F209" s="236"/>
      <c r="G209" s="237">
        <f t="shared" ref="G209:G215" ca="1" si="144">SUM(OFFSET(I209,,,,MATCH($A$1,$I$3:$T$3,0)))</f>
        <v>34297386523</v>
      </c>
      <c r="H209" s="216">
        <f t="shared" ca="1" si="137"/>
        <v>19.297120636983863</v>
      </c>
      <c r="I209" s="114">
        <f t="shared" ref="I209:T209" si="145">IF(I3&lt;=$A$1,I365,0)</f>
        <v>0</v>
      </c>
      <c r="J209" s="114">
        <f t="shared" si="145"/>
        <v>2689791151</v>
      </c>
      <c r="K209" s="114">
        <f t="shared" si="145"/>
        <v>4219259502.3485446</v>
      </c>
      <c r="L209" s="114">
        <f t="shared" si="145"/>
        <v>5184073817.6514549</v>
      </c>
      <c r="M209" s="114">
        <f t="shared" si="145"/>
        <v>5270426798</v>
      </c>
      <c r="N209" s="114">
        <f t="shared" si="145"/>
        <v>-5032776577</v>
      </c>
      <c r="O209" s="114">
        <f t="shared" si="145"/>
        <v>2336245378</v>
      </c>
      <c r="P209" s="114">
        <f t="shared" si="145"/>
        <v>2231728428</v>
      </c>
      <c r="Q209" s="114">
        <f t="shared" si="145"/>
        <v>3134469125</v>
      </c>
      <c r="R209" s="114">
        <f t="shared" si="145"/>
        <v>3786880070</v>
      </c>
      <c r="S209" s="114">
        <f t="shared" si="145"/>
        <v>4577979312</v>
      </c>
      <c r="T209" s="114">
        <f t="shared" si="145"/>
        <v>5899309518</v>
      </c>
      <c r="U209" s="34">
        <f t="shared" si="82"/>
        <v>2</v>
      </c>
      <c r="V209" s="69">
        <f t="shared" si="82"/>
        <v>207</v>
      </c>
      <c r="W209" s="70" t="s">
        <v>241</v>
      </c>
      <c r="X209" s="71"/>
      <c r="Y209" s="235">
        <f t="shared" si="141"/>
        <v>0</v>
      </c>
      <c r="Z209" s="236">
        <f t="shared" ref="Z209:Z215" ca="1" si="146">IF($Z$3&gt;0,SUM(OFFSET(AC209,,,,MATCH($Z$3,$AC$3:$AN$3,0))),)</f>
        <v>0</v>
      </c>
      <c r="AA209" s="237">
        <f t="shared" ref="AA209:AA215" ca="1" si="147">SUM(OFFSET(AC209,,,,MATCH($U$1,$AC$3:$AN$3,0)))</f>
        <v>0</v>
      </c>
      <c r="AB209" s="216">
        <f t="shared" ca="1" si="122"/>
        <v>0</v>
      </c>
      <c r="AC209" s="114">
        <f t="shared" ref="AC209:AM209" si="148">IF(AC3&lt;=$U$1,AC365,0)</f>
        <v>0</v>
      </c>
      <c r="AD209" s="114">
        <f t="shared" si="148"/>
        <v>0</v>
      </c>
      <c r="AE209" s="114">
        <f t="shared" si="148"/>
        <v>0</v>
      </c>
      <c r="AF209" s="114">
        <f t="shared" si="148"/>
        <v>0</v>
      </c>
      <c r="AG209" s="114">
        <f t="shared" si="148"/>
        <v>0</v>
      </c>
      <c r="AH209" s="114">
        <f t="shared" si="148"/>
        <v>0</v>
      </c>
      <c r="AI209" s="114">
        <f t="shared" si="148"/>
        <v>0</v>
      </c>
      <c r="AJ209" s="114">
        <f t="shared" si="148"/>
        <v>0</v>
      </c>
      <c r="AK209" s="114">
        <f t="shared" si="148"/>
        <v>0</v>
      </c>
      <c r="AL209" s="114">
        <f t="shared" si="148"/>
        <v>0</v>
      </c>
      <c r="AM209" s="114">
        <f t="shared" si="148"/>
        <v>0</v>
      </c>
      <c r="AN209" s="114">
        <f t="shared" ref="AN209" si="149">IF(AN3&lt;=$A$1,AN365,0)</f>
        <v>0</v>
      </c>
    </row>
    <row r="210" spans="1:40" s="43" customFormat="1" ht="15" customHeight="1" outlineLevel="1" x14ac:dyDescent="0.15">
      <c r="A210" s="34">
        <v>2</v>
      </c>
      <c r="B210" s="85">
        <f t="shared" si="131"/>
        <v>208</v>
      </c>
      <c r="C210" s="70" t="s">
        <v>242</v>
      </c>
      <c r="D210" s="71"/>
      <c r="E210" s="235">
        <f t="shared" si="124"/>
        <v>-181677</v>
      </c>
      <c r="F210" s="236"/>
      <c r="G210" s="237">
        <f t="shared" ca="1" si="144"/>
        <v>45450079</v>
      </c>
      <c r="H210" s="216">
        <f t="shared" ca="1" si="137"/>
        <v>2.557208424132518E-2</v>
      </c>
      <c r="I210" s="76"/>
      <c r="J210" s="76">
        <v>38780949</v>
      </c>
      <c r="K210" s="76">
        <f>14160152-4699677+425425</f>
        <v>9885900</v>
      </c>
      <c r="L210" s="76">
        <v>-18702391</v>
      </c>
      <c r="M210" s="76">
        <v>-13443756</v>
      </c>
      <c r="N210" s="76">
        <f>1123501+5926409</f>
        <v>7049910</v>
      </c>
      <c r="O210" s="76">
        <v>1911499</v>
      </c>
      <c r="P210" s="76">
        <f>497169+1113125</f>
        <v>1610294</v>
      </c>
      <c r="Q210" s="76">
        <f>777567+16200</f>
        <v>793767</v>
      </c>
      <c r="R210" s="76">
        <f>5525343+514052</f>
        <v>6039395</v>
      </c>
      <c r="S210" s="76">
        <v>11706189</v>
      </c>
      <c r="T210" s="76">
        <v>-181677</v>
      </c>
      <c r="U210" s="34">
        <f t="shared" si="82"/>
        <v>2</v>
      </c>
      <c r="V210" s="69">
        <f t="shared" si="82"/>
        <v>208</v>
      </c>
      <c r="W210" s="70" t="s">
        <v>242</v>
      </c>
      <c r="X210" s="71"/>
      <c r="Y210" s="235">
        <f t="shared" si="141"/>
        <v>0</v>
      </c>
      <c r="Z210" s="236">
        <f t="shared" ca="1" si="146"/>
        <v>0</v>
      </c>
      <c r="AA210" s="237">
        <f t="shared" ca="1" si="147"/>
        <v>0</v>
      </c>
      <c r="AB210" s="216">
        <f t="shared" ca="1" si="122"/>
        <v>0</v>
      </c>
      <c r="AC210" s="76"/>
      <c r="AD210" s="76"/>
      <c r="AE210" s="76"/>
      <c r="AF210" s="76"/>
      <c r="AG210" s="76"/>
      <c r="AH210" s="76"/>
      <c r="AI210" s="76"/>
      <c r="AJ210" s="76"/>
      <c r="AK210" s="76"/>
      <c r="AL210" s="76"/>
      <c r="AM210" s="76"/>
      <c r="AN210" s="76"/>
    </row>
    <row r="211" spans="1:40" s="43" customFormat="1" ht="15" customHeight="1" outlineLevel="1" x14ac:dyDescent="0.15">
      <c r="A211" s="34">
        <v>2</v>
      </c>
      <c r="B211" s="85">
        <f t="shared" si="131"/>
        <v>209</v>
      </c>
      <c r="C211" s="70" t="s">
        <v>243</v>
      </c>
      <c r="D211" s="71"/>
      <c r="E211" s="235">
        <f t="shared" si="124"/>
        <v>0</v>
      </c>
      <c r="F211" s="236">
        <f ca="1">IF($F$3&gt;0,SUM(OFFSET(I211,,,,MATCH($F$3,$I$3:$T$3,0))),SUM(AC211:AN211))</f>
        <v>0</v>
      </c>
      <c r="G211" s="237">
        <f t="shared" ca="1" si="144"/>
        <v>0</v>
      </c>
      <c r="H211" s="216">
        <f t="shared" ca="1" si="137"/>
        <v>0</v>
      </c>
      <c r="I211" s="76"/>
      <c r="J211" s="76"/>
      <c r="K211" s="76"/>
      <c r="L211" s="76"/>
      <c r="M211" s="76"/>
      <c r="N211" s="76"/>
      <c r="O211" s="76"/>
      <c r="P211" s="76"/>
      <c r="Q211" s="238"/>
      <c r="R211" s="238"/>
      <c r="S211" s="239"/>
      <c r="T211" s="76"/>
      <c r="U211" s="34">
        <f t="shared" si="82"/>
        <v>2</v>
      </c>
      <c r="V211" s="69">
        <f t="shared" si="82"/>
        <v>209</v>
      </c>
      <c r="W211" s="70" t="s">
        <v>243</v>
      </c>
      <c r="X211" s="71"/>
      <c r="Y211" s="235">
        <f t="shared" si="141"/>
        <v>0</v>
      </c>
      <c r="Z211" s="236">
        <f t="shared" ca="1" si="146"/>
        <v>0</v>
      </c>
      <c r="AA211" s="237">
        <f t="shared" ca="1" si="147"/>
        <v>0</v>
      </c>
      <c r="AB211" s="216">
        <f t="shared" ca="1" si="122"/>
        <v>0</v>
      </c>
      <c r="AC211" s="76"/>
      <c r="AD211" s="76"/>
      <c r="AE211" s="76"/>
      <c r="AF211" s="76"/>
      <c r="AG211" s="76"/>
      <c r="AH211" s="76"/>
      <c r="AI211" s="76"/>
      <c r="AJ211" s="76"/>
      <c r="AK211" s="76"/>
      <c r="AL211" s="76"/>
      <c r="AM211" s="76"/>
      <c r="AN211" s="76"/>
    </row>
    <row r="212" spans="1:40" s="43" customFormat="1" ht="15" customHeight="1" outlineLevel="1" x14ac:dyDescent="0.15">
      <c r="A212" s="34">
        <v>2</v>
      </c>
      <c r="B212" s="85">
        <f t="shared" si="131"/>
        <v>210</v>
      </c>
      <c r="C212" s="70" t="s">
        <v>244</v>
      </c>
      <c r="D212" s="71"/>
      <c r="E212" s="235">
        <f t="shared" si="124"/>
        <v>0</v>
      </c>
      <c r="F212" s="236">
        <f ca="1">IF($F$3&gt;0,SUM(OFFSET(I212,,,,MATCH($F$3,$I$3:$T$3,0))),SUM(AC212:AN212))</f>
        <v>0</v>
      </c>
      <c r="G212" s="237">
        <f t="shared" ca="1" si="144"/>
        <v>0</v>
      </c>
      <c r="H212" s="216">
        <f t="shared" ca="1" si="137"/>
        <v>0</v>
      </c>
      <c r="I212" s="76"/>
      <c r="J212" s="76"/>
      <c r="K212" s="76"/>
      <c r="L212" s="76"/>
      <c r="M212" s="76"/>
      <c r="N212" s="76"/>
      <c r="O212" s="76"/>
      <c r="P212" s="76"/>
      <c r="Q212" s="239"/>
      <c r="R212" s="240"/>
      <c r="S212" s="239"/>
      <c r="T212" s="76"/>
      <c r="U212" s="34">
        <f t="shared" si="82"/>
        <v>2</v>
      </c>
      <c r="V212" s="69">
        <f t="shared" si="82"/>
        <v>210</v>
      </c>
      <c r="W212" s="70" t="s">
        <v>244</v>
      </c>
      <c r="X212" s="71"/>
      <c r="Y212" s="235">
        <f t="shared" si="141"/>
        <v>0</v>
      </c>
      <c r="Z212" s="236">
        <f t="shared" ca="1" si="146"/>
        <v>0</v>
      </c>
      <c r="AA212" s="237">
        <f t="shared" ca="1" si="147"/>
        <v>0</v>
      </c>
      <c r="AB212" s="216">
        <f t="shared" ca="1" si="122"/>
        <v>0</v>
      </c>
      <c r="AC212" s="76"/>
      <c r="AD212" s="76"/>
      <c r="AE212" s="76"/>
      <c r="AF212" s="76"/>
      <c r="AG212" s="76"/>
      <c r="AH212" s="76"/>
      <c r="AI212" s="76"/>
      <c r="AJ212" s="76"/>
      <c r="AK212" s="76"/>
      <c r="AL212" s="76"/>
      <c r="AM212" s="76"/>
      <c r="AN212" s="76"/>
    </row>
    <row r="213" spans="1:40" s="43" customFormat="1" ht="15" customHeight="1" outlineLevel="1" x14ac:dyDescent="0.15">
      <c r="A213" s="34">
        <v>2</v>
      </c>
      <c r="B213" s="85">
        <f t="shared" si="131"/>
        <v>211</v>
      </c>
      <c r="C213" s="70" t="s">
        <v>245</v>
      </c>
      <c r="D213" s="71"/>
      <c r="E213" s="235">
        <f t="shared" si="124"/>
        <v>0</v>
      </c>
      <c r="F213" s="236">
        <f ca="1">IF($F$3&gt;0,SUM(OFFSET(I213,,,,MATCH($F$3,$I$3:$T$3,0))),SUM(AC213:AN213))</f>
        <v>0</v>
      </c>
      <c r="G213" s="237">
        <f t="shared" ca="1" si="144"/>
        <v>0</v>
      </c>
      <c r="H213" s="216">
        <f t="shared" ca="1" si="137"/>
        <v>0</v>
      </c>
      <c r="I213" s="76"/>
      <c r="J213" s="76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34">
        <f t="shared" si="82"/>
        <v>2</v>
      </c>
      <c r="V213" s="69">
        <f t="shared" si="82"/>
        <v>211</v>
      </c>
      <c r="W213" s="70" t="s">
        <v>245</v>
      </c>
      <c r="X213" s="71"/>
      <c r="Y213" s="235">
        <f t="shared" si="141"/>
        <v>0</v>
      </c>
      <c r="Z213" s="236">
        <f t="shared" ca="1" si="146"/>
        <v>0</v>
      </c>
      <c r="AA213" s="237">
        <f t="shared" ca="1" si="147"/>
        <v>0</v>
      </c>
      <c r="AB213" s="216">
        <f t="shared" ca="1" si="122"/>
        <v>0</v>
      </c>
      <c r="AC213" s="76"/>
      <c r="AD213" s="76"/>
      <c r="AE213" s="76"/>
      <c r="AF213" s="76"/>
      <c r="AG213" s="76"/>
      <c r="AH213" s="76"/>
      <c r="AI213" s="76"/>
      <c r="AJ213" s="76"/>
      <c r="AK213" s="76"/>
      <c r="AL213" s="76"/>
      <c r="AM213" s="76"/>
      <c r="AN213" s="76"/>
    </row>
    <row r="214" spans="1:40" s="43" customFormat="1" ht="15" customHeight="1" outlineLevel="1" x14ac:dyDescent="0.15">
      <c r="A214" s="34">
        <v>2</v>
      </c>
      <c r="B214" s="85">
        <f t="shared" si="131"/>
        <v>212</v>
      </c>
      <c r="C214" s="70" t="s">
        <v>246</v>
      </c>
      <c r="D214" s="71"/>
      <c r="E214" s="235">
        <f t="shared" si="124"/>
        <v>17127615</v>
      </c>
      <c r="F214" s="236"/>
      <c r="G214" s="237">
        <f t="shared" ca="1" si="144"/>
        <v>36329089</v>
      </c>
      <c r="H214" s="216">
        <f t="shared" ca="1" si="137"/>
        <v>2.0440240033875411E-2</v>
      </c>
      <c r="I214" s="76"/>
      <c r="J214" s="76">
        <v>229926</v>
      </c>
      <c r="K214" s="76"/>
      <c r="L214" s="76">
        <v>96939</v>
      </c>
      <c r="M214" s="76">
        <v>197667</v>
      </c>
      <c r="N214" s="76"/>
      <c r="O214" s="76"/>
      <c r="P214" s="76"/>
      <c r="Q214" s="76"/>
      <c r="R214" s="76"/>
      <c r="S214" s="76">
        <v>18676942</v>
      </c>
      <c r="T214" s="76">
        <v>17127615</v>
      </c>
      <c r="U214" s="34">
        <f t="shared" si="82"/>
        <v>2</v>
      </c>
      <c r="V214" s="69">
        <f t="shared" si="82"/>
        <v>212</v>
      </c>
      <c r="W214" s="70" t="s">
        <v>246</v>
      </c>
      <c r="X214" s="71"/>
      <c r="Y214" s="235">
        <f t="shared" si="141"/>
        <v>0</v>
      </c>
      <c r="Z214" s="236">
        <f t="shared" ca="1" si="146"/>
        <v>0</v>
      </c>
      <c r="AA214" s="237">
        <f t="shared" ca="1" si="147"/>
        <v>0</v>
      </c>
      <c r="AB214" s="216">
        <f t="shared" ca="1" si="122"/>
        <v>0</v>
      </c>
      <c r="AC214" s="76"/>
      <c r="AD214" s="76"/>
      <c r="AE214" s="76"/>
      <c r="AF214" s="76"/>
      <c r="AG214" s="76"/>
      <c r="AH214" s="76"/>
      <c r="AI214" s="76"/>
      <c r="AJ214" s="76"/>
      <c r="AK214" s="76"/>
      <c r="AL214" s="76"/>
      <c r="AM214" s="76"/>
      <c r="AN214" s="76"/>
    </row>
    <row r="215" spans="1:40" s="43" customFormat="1" ht="15" customHeight="1" outlineLevel="1" x14ac:dyDescent="0.15">
      <c r="A215" s="34">
        <v>2</v>
      </c>
      <c r="B215" s="85">
        <f t="shared" si="131"/>
        <v>213</v>
      </c>
      <c r="C215" s="70" t="s">
        <v>247</v>
      </c>
      <c r="D215" s="71"/>
      <c r="E215" s="235">
        <f t="shared" si="124"/>
        <v>0</v>
      </c>
      <c r="F215" s="236">
        <f ca="1">IF($F$3&gt;0,SUM(OFFSET(I215,,,,MATCH($F$3,$I$3:$T$3,0))),SUM(AC215:AN215))</f>
        <v>0</v>
      </c>
      <c r="G215" s="237">
        <f t="shared" ca="1" si="144"/>
        <v>0</v>
      </c>
      <c r="H215" s="216">
        <f t="shared" ca="1" si="137"/>
        <v>0</v>
      </c>
      <c r="I215" s="76">
        <v>0</v>
      </c>
      <c r="J215" s="76">
        <v>0</v>
      </c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34">
        <f t="shared" si="82"/>
        <v>2</v>
      </c>
      <c r="V215" s="69">
        <f t="shared" si="82"/>
        <v>213</v>
      </c>
      <c r="W215" s="70" t="s">
        <v>247</v>
      </c>
      <c r="X215" s="71"/>
      <c r="Y215" s="235">
        <f t="shared" si="141"/>
        <v>0</v>
      </c>
      <c r="Z215" s="236">
        <f t="shared" ca="1" si="146"/>
        <v>0</v>
      </c>
      <c r="AA215" s="237">
        <f t="shared" ca="1" si="147"/>
        <v>0</v>
      </c>
      <c r="AB215" s="216">
        <f t="shared" ca="1" si="122"/>
        <v>0</v>
      </c>
      <c r="AC215" s="76"/>
      <c r="AD215" s="76"/>
      <c r="AE215" s="76"/>
      <c r="AF215" s="76"/>
      <c r="AG215" s="76"/>
      <c r="AH215" s="76"/>
      <c r="AI215" s="76"/>
      <c r="AJ215" s="76"/>
      <c r="AK215" s="76"/>
      <c r="AL215" s="76"/>
      <c r="AM215" s="76"/>
      <c r="AN215" s="76"/>
    </row>
    <row r="216" spans="1:40" s="43" customFormat="1" ht="15" customHeight="1" outlineLevel="1" x14ac:dyDescent="0.15">
      <c r="A216" s="34">
        <v>2</v>
      </c>
      <c r="B216" s="85">
        <f t="shared" si="131"/>
        <v>214</v>
      </c>
      <c r="C216" s="78" t="s">
        <v>248</v>
      </c>
      <c r="D216" s="79"/>
      <c r="E216" s="241">
        <f t="shared" si="124"/>
        <v>76414052</v>
      </c>
      <c r="F216" s="242"/>
      <c r="G216" s="243">
        <f>E216</f>
        <v>76414052</v>
      </c>
      <c r="H216" s="221">
        <f t="shared" ca="1" si="137"/>
        <v>4.2993689295127584E-2</v>
      </c>
      <c r="I216" s="114">
        <f t="shared" ref="I216:T216" si="150">I31</f>
        <v>0</v>
      </c>
      <c r="J216" s="114">
        <f t="shared" si="150"/>
        <v>61782503</v>
      </c>
      <c r="K216" s="114">
        <f t="shared" si="150"/>
        <v>0</v>
      </c>
      <c r="L216" s="114">
        <f t="shared" si="150"/>
        <v>52346967</v>
      </c>
      <c r="M216" s="114">
        <f t="shared" si="150"/>
        <v>0</v>
      </c>
      <c r="N216" s="114">
        <f t="shared" si="150"/>
        <v>229199954</v>
      </c>
      <c r="O216" s="114">
        <f t="shared" si="150"/>
        <v>134883557</v>
      </c>
      <c r="P216" s="114">
        <f t="shared" si="150"/>
        <v>64925321</v>
      </c>
      <c r="Q216" s="114">
        <f t="shared" si="150"/>
        <v>127073068</v>
      </c>
      <c r="R216" s="114">
        <f t="shared" si="150"/>
        <v>0</v>
      </c>
      <c r="S216" s="114">
        <f t="shared" si="150"/>
        <v>2491688</v>
      </c>
      <c r="T216" s="114">
        <f t="shared" si="150"/>
        <v>76414052</v>
      </c>
      <c r="U216" s="34">
        <f t="shared" ref="U216:V282" si="151">A216</f>
        <v>2</v>
      </c>
      <c r="V216" s="77">
        <f t="shared" si="151"/>
        <v>214</v>
      </c>
      <c r="W216" s="78" t="s">
        <v>249</v>
      </c>
      <c r="X216" s="79"/>
      <c r="Y216" s="241">
        <f t="shared" si="141"/>
        <v>0</v>
      </c>
      <c r="Z216" s="242">
        <f>IF($Z$3&gt;0,HLOOKUP($Z$3,$AC$3:$AN$365,V216,0),)</f>
        <v>0</v>
      </c>
      <c r="AA216" s="243">
        <f>Y216</f>
        <v>0</v>
      </c>
      <c r="AB216" s="221">
        <f t="shared" ca="1" si="122"/>
        <v>0</v>
      </c>
      <c r="AC216" s="114">
        <f t="shared" ref="AC216:AN216" si="152">AC31</f>
        <v>0</v>
      </c>
      <c r="AD216" s="114">
        <f t="shared" si="152"/>
        <v>0</v>
      </c>
      <c r="AE216" s="114">
        <f t="shared" si="152"/>
        <v>0</v>
      </c>
      <c r="AF216" s="114">
        <f t="shared" si="152"/>
        <v>0</v>
      </c>
      <c r="AG216" s="114">
        <f t="shared" si="152"/>
        <v>0</v>
      </c>
      <c r="AH216" s="114">
        <f t="shared" si="152"/>
        <v>0</v>
      </c>
      <c r="AI216" s="114">
        <f t="shared" si="152"/>
        <v>0</v>
      </c>
      <c r="AJ216" s="114">
        <f t="shared" si="152"/>
        <v>0</v>
      </c>
      <c r="AK216" s="114">
        <f t="shared" si="152"/>
        <v>0</v>
      </c>
      <c r="AL216" s="114">
        <f t="shared" si="152"/>
        <v>0</v>
      </c>
      <c r="AM216" s="114">
        <f t="shared" si="152"/>
        <v>0</v>
      </c>
      <c r="AN216" s="114">
        <f t="shared" si="152"/>
        <v>0</v>
      </c>
    </row>
    <row r="217" spans="1:40" s="43" customFormat="1" ht="15" customHeight="1" outlineLevel="1" x14ac:dyDescent="0.15">
      <c r="A217" s="34">
        <v>2</v>
      </c>
      <c r="B217" s="85">
        <f t="shared" si="131"/>
        <v>215</v>
      </c>
      <c r="C217" s="62" t="s">
        <v>250</v>
      </c>
      <c r="D217" s="63"/>
      <c r="E217" s="64">
        <f t="shared" si="124"/>
        <v>0</v>
      </c>
      <c r="F217" s="65">
        <f>IF($F$3&gt;0,HLOOKUP($F$3,$I$3:$T$365,B217,0),AN217)</f>
        <v>0</v>
      </c>
      <c r="G217" s="66">
        <f>E217</f>
        <v>0</v>
      </c>
      <c r="H217" s="244">
        <f t="shared" ca="1" si="137"/>
        <v>0</v>
      </c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34">
        <f t="shared" si="151"/>
        <v>2</v>
      </c>
      <c r="V217" s="61">
        <f t="shared" si="151"/>
        <v>215</v>
      </c>
      <c r="W217" s="62" t="s">
        <v>250</v>
      </c>
      <c r="X217" s="63"/>
      <c r="Y217" s="64">
        <f t="shared" si="141"/>
        <v>0</v>
      </c>
      <c r="Z217" s="65">
        <f>IF($Z$3&gt;0,HLOOKUP($Z$3,$AC$3:$AN$365,V217,0),)</f>
        <v>0</v>
      </c>
      <c r="AA217" s="66"/>
      <c r="AB217" s="244">
        <f t="shared" ca="1" si="122"/>
        <v>0</v>
      </c>
      <c r="AC217" s="68"/>
      <c r="AD217" s="68"/>
      <c r="AE217" s="68"/>
      <c r="AF217" s="68"/>
      <c r="AG217" s="68"/>
      <c r="AH217" s="68"/>
      <c r="AI217" s="68"/>
      <c r="AJ217" s="68"/>
      <c r="AK217" s="68"/>
      <c r="AL217" s="68"/>
      <c r="AM217" s="68"/>
      <c r="AN217" s="68"/>
    </row>
    <row r="218" spans="1:40" s="43" customFormat="1" ht="15" customHeight="1" outlineLevel="1" x14ac:dyDescent="0.15">
      <c r="A218" s="34">
        <v>2</v>
      </c>
      <c r="B218" s="85">
        <f t="shared" si="131"/>
        <v>216</v>
      </c>
      <c r="C218" s="78" t="s">
        <v>251</v>
      </c>
      <c r="D218" s="79"/>
      <c r="E218" s="245">
        <f t="shared" si="124"/>
        <v>0</v>
      </c>
      <c r="F218" s="246">
        <f>IF($F$3&gt;0,HLOOKUP($F$3,$I$3:$T$365,B218,0),AN218)</f>
        <v>0</v>
      </c>
      <c r="G218" s="220">
        <f>E218</f>
        <v>0</v>
      </c>
      <c r="H218" s="247">
        <f t="shared" ca="1" si="137"/>
        <v>0</v>
      </c>
      <c r="I218" s="248"/>
      <c r="J218" s="248"/>
      <c r="K218" s="248"/>
      <c r="L218" s="248"/>
      <c r="M218" s="248"/>
      <c r="N218" s="248"/>
      <c r="O218" s="248"/>
      <c r="P218" s="248"/>
      <c r="Q218" s="248"/>
      <c r="R218" s="248"/>
      <c r="S218" s="248"/>
      <c r="T218" s="248"/>
      <c r="U218" s="34">
        <f t="shared" si="151"/>
        <v>2</v>
      </c>
      <c r="V218" s="77">
        <f t="shared" si="151"/>
        <v>216</v>
      </c>
      <c r="W218" s="78" t="s">
        <v>251</v>
      </c>
      <c r="X218" s="79"/>
      <c r="Y218" s="245">
        <f t="shared" si="141"/>
        <v>0</v>
      </c>
      <c r="Z218" s="246">
        <f>IF($Z$3&gt;0,HLOOKUP($Z$3,$AC$3:$AN$365,V218,0),)</f>
        <v>0</v>
      </c>
      <c r="AA218" s="220"/>
      <c r="AB218" s="247">
        <f t="shared" ca="1" si="122"/>
        <v>0</v>
      </c>
      <c r="AC218" s="248"/>
      <c r="AD218" s="248"/>
      <c r="AE218" s="248"/>
      <c r="AF218" s="248"/>
      <c r="AG218" s="248"/>
      <c r="AH218" s="248"/>
      <c r="AI218" s="248"/>
      <c r="AJ218" s="248"/>
      <c r="AK218" s="248"/>
      <c r="AL218" s="248"/>
      <c r="AM218" s="248"/>
      <c r="AN218" s="248"/>
    </row>
    <row r="219" spans="1:40" s="52" customFormat="1" ht="15" customHeight="1" outlineLevel="1" collapsed="1" x14ac:dyDescent="0.15">
      <c r="A219" s="34">
        <v>2</v>
      </c>
      <c r="B219" s="85">
        <f t="shared" si="131"/>
        <v>217</v>
      </c>
      <c r="C219" s="223" t="s">
        <v>252</v>
      </c>
      <c r="D219" s="224"/>
      <c r="E219" s="225">
        <f>E220+E221-E224-E226+E222+E223-E225</f>
        <v>4802690064</v>
      </c>
      <c r="F219" s="226">
        <f ca="1">F220+F221-F224-F226+F222+F223-F225</f>
        <v>2162693369</v>
      </c>
      <c r="G219" s="227">
        <f ca="1">G220+G221-G224-G226+G222+G223-G225</f>
        <v>54867241693</v>
      </c>
      <c r="H219" s="211">
        <f t="shared" ca="1" si="137"/>
        <v>30.870567390268899</v>
      </c>
      <c r="I219" s="225">
        <f>I220+I221-I224-I226+I222+I223-I225</f>
        <v>3599665693</v>
      </c>
      <c r="J219" s="225">
        <f>J220+J221-J224-J226+J222+J223-J225</f>
        <v>4696206490</v>
      </c>
      <c r="K219" s="225">
        <f t="shared" ref="K219:S219" si="153">K220+K221-K224-K226+K222+K223-K225</f>
        <v>4831192900</v>
      </c>
      <c r="L219" s="225">
        <f t="shared" si="153"/>
        <v>5128338061</v>
      </c>
      <c r="M219" s="225">
        <f t="shared" si="153"/>
        <v>5109810651</v>
      </c>
      <c r="N219" s="225">
        <f t="shared" si="153"/>
        <v>4436905910</v>
      </c>
      <c r="O219" s="225">
        <f t="shared" si="153"/>
        <v>4712327079</v>
      </c>
      <c r="P219" s="225">
        <f t="shared" si="153"/>
        <v>4501993627</v>
      </c>
      <c r="Q219" s="225">
        <f t="shared" si="153"/>
        <v>3585726901</v>
      </c>
      <c r="R219" s="225">
        <f t="shared" si="153"/>
        <v>4270419416</v>
      </c>
      <c r="S219" s="225">
        <f t="shared" si="153"/>
        <v>5191964901</v>
      </c>
      <c r="T219" s="225">
        <f>T220+T221-T224-T226+T222+T223-T225</f>
        <v>4802690064</v>
      </c>
      <c r="U219" s="34">
        <f t="shared" si="151"/>
        <v>2</v>
      </c>
      <c r="V219" s="228">
        <f t="shared" si="151"/>
        <v>217</v>
      </c>
      <c r="W219" s="223" t="s">
        <v>252</v>
      </c>
      <c r="X219" s="224"/>
      <c r="Y219" s="225">
        <f>Y220+Y221-Y224-Y226+Y222+Y223-Y225</f>
        <v>4199505872</v>
      </c>
      <c r="Z219" s="226">
        <f ca="1">Z220+Z221-Z224-Z226+Z222+Z223-Z225</f>
        <v>41180177853</v>
      </c>
      <c r="AA219" s="227">
        <f ca="1">AA220+AA221-AA224-AA226+AA222+AA223-AA225</f>
        <v>45379683725</v>
      </c>
      <c r="AB219" s="211">
        <f t="shared" ca="1" si="122"/>
        <v>39.979971547254642</v>
      </c>
      <c r="AC219" s="225">
        <f t="shared" ref="AC219:AN219" si="154">AC220+AC221-AC224-AC226+AC222+AC223-AC225</f>
        <v>3861925280</v>
      </c>
      <c r="AD219" s="225">
        <f t="shared" si="154"/>
        <v>3285010922</v>
      </c>
      <c r="AE219" s="225">
        <f t="shared" si="154"/>
        <v>4482019405</v>
      </c>
      <c r="AF219" s="225">
        <f t="shared" si="154"/>
        <v>4272169984</v>
      </c>
      <c r="AG219" s="225">
        <f t="shared" si="154"/>
        <v>3959958177</v>
      </c>
      <c r="AH219" s="225">
        <f t="shared" si="154"/>
        <v>3289437377</v>
      </c>
      <c r="AI219" s="225">
        <f t="shared" si="154"/>
        <v>3170365322</v>
      </c>
      <c r="AJ219" s="225">
        <f t="shared" si="154"/>
        <v>3061927988</v>
      </c>
      <c r="AK219" s="225">
        <f t="shared" si="154"/>
        <v>3145350841</v>
      </c>
      <c r="AL219" s="225">
        <f t="shared" si="154"/>
        <v>4189198572</v>
      </c>
      <c r="AM219" s="225">
        <f t="shared" si="154"/>
        <v>4462813985</v>
      </c>
      <c r="AN219" s="225">
        <f t="shared" si="154"/>
        <v>4199505872</v>
      </c>
    </row>
    <row r="220" spans="1:40" s="43" customFormat="1" ht="15" customHeight="1" outlineLevel="1" x14ac:dyDescent="0.15">
      <c r="A220" s="34">
        <v>2</v>
      </c>
      <c r="B220" s="85">
        <f t="shared" si="131"/>
        <v>218</v>
      </c>
      <c r="C220" s="62" t="s">
        <v>253</v>
      </c>
      <c r="D220" s="63"/>
      <c r="E220" s="229">
        <f t="shared" ref="E220:E227" si="155">HLOOKUP($A$1,$I$3:$T$365,B220,0)</f>
        <v>9946126398</v>
      </c>
      <c r="F220" s="230">
        <f>IF($F$3&gt;0,I220,AC220)</f>
        <v>6950783027</v>
      </c>
      <c r="G220" s="231">
        <f>$I$220</f>
        <v>6950783027</v>
      </c>
      <c r="H220" s="244">
        <f t="shared" ca="1" si="137"/>
        <v>3.9107964830956012</v>
      </c>
      <c r="I220" s="113">
        <f>AN226</f>
        <v>6950783027</v>
      </c>
      <c r="J220" s="113">
        <f t="shared" ref="J220:S220" si="156">IF($A$1&gt;=J3,I226,0)</f>
        <v>7496923756</v>
      </c>
      <c r="K220" s="113">
        <f t="shared" si="156"/>
        <v>6996101132</v>
      </c>
      <c r="L220" s="113">
        <f t="shared" si="156"/>
        <v>7071554102</v>
      </c>
      <c r="M220" s="113">
        <f t="shared" si="156"/>
        <v>7637232663</v>
      </c>
      <c r="N220" s="113">
        <f t="shared" si="156"/>
        <v>8044349895</v>
      </c>
      <c r="O220" s="113">
        <f t="shared" si="156"/>
        <v>8588582638</v>
      </c>
      <c r="P220" s="113">
        <f t="shared" si="156"/>
        <v>9356950369</v>
      </c>
      <c r="Q220" s="113">
        <f t="shared" si="156"/>
        <v>9261539330</v>
      </c>
      <c r="R220" s="113">
        <f t="shared" si="156"/>
        <v>11100402593</v>
      </c>
      <c r="S220" s="113">
        <f t="shared" si="156"/>
        <v>10715541962</v>
      </c>
      <c r="T220" s="113">
        <f>IF($A$1&gt;=T3,S226,0)</f>
        <v>9946126398</v>
      </c>
      <c r="U220" s="34">
        <f t="shared" si="151"/>
        <v>2</v>
      </c>
      <c r="V220" s="61">
        <f t="shared" si="151"/>
        <v>218</v>
      </c>
      <c r="W220" s="62" t="s">
        <v>253</v>
      </c>
      <c r="X220" s="63"/>
      <c r="Y220" s="229">
        <f t="shared" ref="Y220:Y226" si="157">HLOOKUP($U$1,$AC$3:$AN$365,V220,0)</f>
        <v>7287534572</v>
      </c>
      <c r="Z220" s="230">
        <f>IF($Z$3&gt;0,AC220,)</f>
        <v>6430417315</v>
      </c>
      <c r="AA220" s="231">
        <f>AC220</f>
        <v>6430417315</v>
      </c>
      <c r="AB220" s="244">
        <f t="shared" ca="1" si="122"/>
        <v>5.6652642810078024</v>
      </c>
      <c r="AC220" s="249">
        <v>6430417315</v>
      </c>
      <c r="AD220" s="113">
        <f t="shared" ref="AD220:AN220" si="158">IF($U$1&gt;=AD3,AC226,0)</f>
        <v>7033634956</v>
      </c>
      <c r="AE220" s="113">
        <f t="shared" si="158"/>
        <v>7034796289</v>
      </c>
      <c r="AF220" s="113">
        <f t="shared" si="158"/>
        <v>6769990518</v>
      </c>
      <c r="AG220" s="113">
        <f t="shared" si="158"/>
        <v>6871642250</v>
      </c>
      <c r="AH220" s="113">
        <f t="shared" si="158"/>
        <v>6872349333</v>
      </c>
      <c r="AI220" s="113">
        <f t="shared" si="158"/>
        <v>7388715757</v>
      </c>
      <c r="AJ220" s="113">
        <f t="shared" si="158"/>
        <v>7595665296</v>
      </c>
      <c r="AK220" s="113">
        <f t="shared" si="158"/>
        <v>8214379484</v>
      </c>
      <c r="AL220" s="113">
        <f t="shared" si="158"/>
        <v>8098476597</v>
      </c>
      <c r="AM220" s="113">
        <f t="shared" si="158"/>
        <v>7282180696</v>
      </c>
      <c r="AN220" s="113">
        <f t="shared" si="158"/>
        <v>7287534572</v>
      </c>
    </row>
    <row r="221" spans="1:40" s="43" customFormat="1" ht="15" customHeight="1" outlineLevel="1" x14ac:dyDescent="0.15">
      <c r="A221" s="34">
        <v>2</v>
      </c>
      <c r="B221" s="85">
        <f t="shared" si="131"/>
        <v>219</v>
      </c>
      <c r="C221" s="70" t="s">
        <v>254</v>
      </c>
      <c r="D221" s="71"/>
      <c r="E221" s="235">
        <f t="shared" si="155"/>
        <v>9212820041</v>
      </c>
      <c r="F221" s="236"/>
      <c r="G221" s="237">
        <f ca="1">SUM(OFFSET(I221,,,,MATCH($A$1,$I$3:$T$3,0)))</f>
        <v>67060804699</v>
      </c>
      <c r="H221" s="216">
        <f t="shared" ca="1" si="137"/>
        <v>37.731167575173714</v>
      </c>
      <c r="I221" s="76">
        <v>4166430603</v>
      </c>
      <c r="J221" s="76">
        <f>4318728841+52544</f>
        <v>4318781385</v>
      </c>
      <c r="K221" s="76">
        <f>5031529344+33692166</f>
        <v>5065221510</v>
      </c>
      <c r="L221" s="76">
        <v>5877365329</v>
      </c>
      <c r="M221" s="76">
        <v>5758406530</v>
      </c>
      <c r="N221" s="76">
        <v>4994949331</v>
      </c>
      <c r="O221" s="76">
        <v>5548063931</v>
      </c>
      <c r="P221" s="76">
        <f>4676141556</f>
        <v>4676141556</v>
      </c>
      <c r="Q221" s="76">
        <v>6309602207</v>
      </c>
      <c r="R221" s="76">
        <v>5124956579</v>
      </c>
      <c r="S221" s="76">
        <v>6008065697</v>
      </c>
      <c r="T221" s="76">
        <v>9212820041</v>
      </c>
      <c r="U221" s="34">
        <f t="shared" si="151"/>
        <v>2</v>
      </c>
      <c r="V221" s="69">
        <f t="shared" si="151"/>
        <v>219</v>
      </c>
      <c r="W221" s="70" t="s">
        <v>254</v>
      </c>
      <c r="X221" s="71"/>
      <c r="Y221" s="235">
        <f t="shared" si="157"/>
        <v>3979452146</v>
      </c>
      <c r="Z221" s="236">
        <f ca="1">IF($Z$3&gt;0,SUM(OFFSET(AC221,,,,MATCH($Z$3,$AC$3:$AN$3,0))),)</f>
        <v>42086950665</v>
      </c>
      <c r="AA221" s="237">
        <f ca="1">SUM(OFFSET(AC221,,,,MATCH($U$1,$AC$3:$AN$3,0)))</f>
        <v>46066402811</v>
      </c>
      <c r="AB221" s="216">
        <f t="shared" ca="1" si="122"/>
        <v>40.584978177217373</v>
      </c>
      <c r="AC221" s="76">
        <v>4491348433</v>
      </c>
      <c r="AD221" s="76">
        <v>3288480210</v>
      </c>
      <c r="AE221" s="76">
        <v>4220665519</v>
      </c>
      <c r="AF221" s="76">
        <v>4474210777</v>
      </c>
      <c r="AG221" s="76">
        <v>3965205306</v>
      </c>
      <c r="AH221" s="76">
        <v>3808748761</v>
      </c>
      <c r="AI221" s="76">
        <v>3425924891</v>
      </c>
      <c r="AJ221" s="76">
        <v>3400336271</v>
      </c>
      <c r="AK221" s="76">
        <v>3143639208</v>
      </c>
      <c r="AL221" s="76">
        <v>3399582345</v>
      </c>
      <c r="AM221" s="76">
        <v>4468808944</v>
      </c>
      <c r="AN221" s="76">
        <v>3979452146</v>
      </c>
    </row>
    <row r="222" spans="1:40" s="43" customFormat="1" ht="15" customHeight="1" outlineLevel="1" x14ac:dyDescent="0.15">
      <c r="A222" s="34">
        <v>2</v>
      </c>
      <c r="B222" s="85">
        <f t="shared" si="131"/>
        <v>220</v>
      </c>
      <c r="C222" s="70" t="s">
        <v>242</v>
      </c>
      <c r="D222" s="71"/>
      <c r="E222" s="235">
        <f t="shared" si="155"/>
        <v>-130733904</v>
      </c>
      <c r="F222" s="236">
        <f ca="1">IF($F$3&gt;0,SUM(OFFSET(I222,,,,MATCH($F$3,$I$3:$T$3,0))),SUM(AC222:AN222))</f>
        <v>79976912</v>
      </c>
      <c r="G222" s="237">
        <f ca="1">SUM(OFFSET(I222,,,,MATCH($A$1,$I$3:$T$3,0)))</f>
        <v>-50756992</v>
      </c>
      <c r="H222" s="216">
        <f t="shared" ca="1" si="137"/>
        <v>-2.8557971819152796E-2</v>
      </c>
      <c r="I222" s="76">
        <v>12903709</v>
      </c>
      <c r="J222" s="76">
        <v>-8300169</v>
      </c>
      <c r="K222" s="43">
        <v>-17100865</v>
      </c>
      <c r="L222" s="76">
        <v>23109401</v>
      </c>
      <c r="M222" s="76">
        <v>-25685246</v>
      </c>
      <c r="N222" s="76">
        <v>80313903</v>
      </c>
      <c r="O222" s="76">
        <v>56821464</v>
      </c>
      <c r="P222" s="76">
        <v>57103318</v>
      </c>
      <c r="Q222" s="76">
        <f>-11964111-21646301</f>
        <v>-33610412</v>
      </c>
      <c r="R222" s="76">
        <v>-18069976</v>
      </c>
      <c r="S222" s="76">
        <v>-47508215</v>
      </c>
      <c r="T222" s="76">
        <v>-130733904</v>
      </c>
      <c r="U222" s="34">
        <f t="shared" si="151"/>
        <v>2</v>
      </c>
      <c r="V222" s="69">
        <f t="shared" si="151"/>
        <v>220</v>
      </c>
      <c r="W222" s="70" t="s">
        <v>255</v>
      </c>
      <c r="X222" s="71"/>
      <c r="Y222" s="235">
        <f t="shared" si="157"/>
        <v>-116697819</v>
      </c>
      <c r="Z222" s="236">
        <f ca="1">IF($Z$3&gt;0,SUM(OFFSET(AC222,,,,MATCH($Z$3,$AC$3:$AN$3,0))),)</f>
        <v>102305160</v>
      </c>
      <c r="AA222" s="237">
        <f ca="1">SUM(OFFSET(AC222,,,,MATCH($U$1,$AC$3:$AN$3,0)))</f>
        <v>-14392659</v>
      </c>
      <c r="AB222" s="216">
        <f t="shared" ca="1" si="122"/>
        <v>-1.2680081703441586E-2</v>
      </c>
      <c r="AC222" s="76">
        <v>-3573249</v>
      </c>
      <c r="AD222" s="76">
        <v>-2307955</v>
      </c>
      <c r="AE222" s="76">
        <v>-2012765</v>
      </c>
      <c r="AF222" s="76">
        <v>-41694291</v>
      </c>
      <c r="AG222" s="76">
        <v>-4540046</v>
      </c>
      <c r="AH222" s="76">
        <v>-2944960</v>
      </c>
      <c r="AI222" s="76">
        <v>-4590750</v>
      </c>
      <c r="AJ222" s="76">
        <v>280305905</v>
      </c>
      <c r="AK222" s="76">
        <v>-112848054</v>
      </c>
      <c r="AL222" s="76">
        <v>-2847592</v>
      </c>
      <c r="AM222" s="76">
        <v>-641083</v>
      </c>
      <c r="AN222" s="76">
        <v>-116697819</v>
      </c>
    </row>
    <row r="223" spans="1:40" s="43" customFormat="1" ht="15" customHeight="1" outlineLevel="1" x14ac:dyDescent="0.15">
      <c r="A223" s="34">
        <v>2</v>
      </c>
      <c r="B223" s="85">
        <f t="shared" si="131"/>
        <v>221</v>
      </c>
      <c r="C223" s="70" t="s">
        <v>245</v>
      </c>
      <c r="D223" s="71"/>
      <c r="E223" s="235">
        <f t="shared" si="155"/>
        <v>0</v>
      </c>
      <c r="F223" s="236">
        <f ca="1">IF($F$3&gt;0,SUM(OFFSET(I223,,,,MATCH($F$3,$I$3:$T$3,0))),SUM(AC223:AN223))</f>
        <v>14091057</v>
      </c>
      <c r="G223" s="237">
        <f ca="1">SUM(OFFSET(I223,,,,MATCH($A$1,$I$3:$T$3,0)))</f>
        <v>14091057</v>
      </c>
      <c r="H223" s="216">
        <f t="shared" ca="1" si="137"/>
        <v>7.9282083679835819E-3</v>
      </c>
      <c r="I223" s="76"/>
      <c r="J223" s="76"/>
      <c r="K223" s="76"/>
      <c r="L223" s="76">
        <v>6242009</v>
      </c>
      <c r="M223" s="76"/>
      <c r="N223" s="76">
        <f>978176-971764</f>
        <v>6412</v>
      </c>
      <c r="O223" s="76">
        <v>1196994</v>
      </c>
      <c r="P223" s="76">
        <v>1997988</v>
      </c>
      <c r="Q223" s="76">
        <v>3231244</v>
      </c>
      <c r="R223" s="76">
        <v>279651</v>
      </c>
      <c r="S223" s="76">
        <v>1136759</v>
      </c>
      <c r="T223" s="76">
        <v>0</v>
      </c>
      <c r="U223" s="34">
        <f t="shared" si="151"/>
        <v>2</v>
      </c>
      <c r="V223" s="69">
        <f t="shared" si="151"/>
        <v>221</v>
      </c>
      <c r="W223" s="70" t="s">
        <v>245</v>
      </c>
      <c r="X223" s="71"/>
      <c r="Y223" s="235">
        <f t="shared" si="157"/>
        <v>0</v>
      </c>
      <c r="Z223" s="236">
        <f ca="1">IF($Z$3&gt;0,SUM(OFFSET(AC223,,,,MATCH($Z$3,$AC$3:$AN$3,0))),)</f>
        <v>7255167</v>
      </c>
      <c r="AA223" s="237">
        <f ca="1">SUM(OFFSET(AC223,,,,MATCH($U$1,$AC$3:$AN$3,0)))</f>
        <v>7255167</v>
      </c>
      <c r="AB223" s="216">
        <f t="shared" ca="1" si="122"/>
        <v>6.3918772988447222E-3</v>
      </c>
      <c r="AC223" s="76">
        <v>6729899</v>
      </c>
      <c r="AD223" s="76"/>
      <c r="AE223" s="76"/>
      <c r="AF223" s="76"/>
      <c r="AG223" s="76"/>
      <c r="AH223" s="76"/>
      <c r="AI223" s="76"/>
      <c r="AJ223" s="76"/>
      <c r="AK223" s="76"/>
      <c r="AL223" s="76">
        <v>525268</v>
      </c>
      <c r="AM223" s="76"/>
      <c r="AN223" s="76"/>
    </row>
    <row r="224" spans="1:40" s="43" customFormat="1" ht="15" customHeight="1" outlineLevel="1" x14ac:dyDescent="0.15">
      <c r="A224" s="34">
        <v>2</v>
      </c>
      <c r="B224" s="85">
        <f t="shared" si="131"/>
        <v>222</v>
      </c>
      <c r="C224" s="70" t="s">
        <v>256</v>
      </c>
      <c r="D224" s="71"/>
      <c r="E224" s="235">
        <f t="shared" si="155"/>
        <v>2930939101</v>
      </c>
      <c r="F224" s="236">
        <f ca="1">IF($F$3&gt;0,SUM(OFFSET(I224,,,,MATCH($F$3,$I$3:$T$3,0))),SUM(AC224:AN224))</f>
        <v>4744567257</v>
      </c>
      <c r="G224" s="237">
        <f ca="1">SUM(OFFSET(I224,,,,MATCH($A$1,$I$3:$T$3,0)))</f>
        <v>7675506358</v>
      </c>
      <c r="H224" s="216">
        <f t="shared" ca="1" si="137"/>
        <v>4.3185556439099484</v>
      </c>
      <c r="I224" s="76"/>
      <c r="J224" s="76">
        <f>114151293+4474500-3528443</f>
        <v>115097350</v>
      </c>
      <c r="K224" s="76">
        <f>137683475+3791300</f>
        <v>141474775</v>
      </c>
      <c r="L224" s="76">
        <v>212700117</v>
      </c>
      <c r="M224" s="76">
        <f>171601643+1619778</f>
        <v>173221421</v>
      </c>
      <c r="N224" s="76">
        <v>94029533</v>
      </c>
      <c r="O224" s="76">
        <f>84563107+15292</f>
        <v>84578399</v>
      </c>
      <c r="P224" s="76">
        <f>78574396+79863462+170222416</f>
        <v>328660274</v>
      </c>
      <c r="Q224" s="76">
        <f>854632875</f>
        <v>854632875</v>
      </c>
      <c r="R224" s="76">
        <f>473459+1200554150</f>
        <v>1201027609</v>
      </c>
      <c r="S224" s="76">
        <f>1539144899+5</f>
        <v>1539144904</v>
      </c>
      <c r="T224" s="76">
        <f>1147980+2883395645+46395476</f>
        <v>2930939101</v>
      </c>
      <c r="U224" s="34">
        <f t="shared" si="151"/>
        <v>2</v>
      </c>
      <c r="V224" s="69">
        <f t="shared" si="151"/>
        <v>222</v>
      </c>
      <c r="W224" s="70" t="s">
        <v>246</v>
      </c>
      <c r="X224" s="71"/>
      <c r="Y224" s="235">
        <f t="shared" si="157"/>
        <v>0</v>
      </c>
      <c r="Z224" s="236">
        <f ca="1">IF($Z$3&gt;0,SUM(OFFSET(AC224,,,,MATCH($Z$3,$AC$3:$AN$3,0))),)</f>
        <v>78282</v>
      </c>
      <c r="AA224" s="237">
        <f ca="1">SUM(OFFSET(AC224,,,,MATCH($U$1,$AC$3:$AN$3,0)))</f>
        <v>78282</v>
      </c>
      <c r="AB224" s="216">
        <f t="shared" ca="1" si="122"/>
        <v>6.896725309123313E-5</v>
      </c>
      <c r="AC224" s="76">
        <v>78282</v>
      </c>
      <c r="AD224" s="76"/>
      <c r="AE224" s="76"/>
      <c r="AF224" s="76"/>
      <c r="AG224" s="76"/>
      <c r="AH224" s="76"/>
      <c r="AI224" s="76"/>
      <c r="AJ224" s="76"/>
      <c r="AK224" s="76"/>
      <c r="AL224" s="76"/>
      <c r="AM224" s="76"/>
      <c r="AN224" s="76"/>
    </row>
    <row r="225" spans="1:43" s="43" customFormat="1" ht="15" customHeight="1" outlineLevel="1" x14ac:dyDescent="0.15">
      <c r="A225" s="34">
        <v>2</v>
      </c>
      <c r="B225" s="85">
        <f t="shared" si="131"/>
        <v>223</v>
      </c>
      <c r="C225" s="70" t="s">
        <v>247</v>
      </c>
      <c r="D225" s="71"/>
      <c r="E225" s="235">
        <f t="shared" si="155"/>
        <v>0</v>
      </c>
      <c r="F225" s="236">
        <f ca="1">IF($F$3&gt;0,SUM(OFFSET(I225,,,,MATCH($F$3,$I$3:$T$3,0))),SUM(AC225:AN225))</f>
        <v>137590370</v>
      </c>
      <c r="G225" s="237">
        <f ca="1">SUM(OFFSET(I225,,,,MATCH($A$1,$I$3:$T$3,0)))</f>
        <v>137590370</v>
      </c>
      <c r="H225" s="216">
        <f t="shared" ca="1" si="137"/>
        <v>7.7414002568292589E-2</v>
      </c>
      <c r="I225" s="76">
        <v>33527890</v>
      </c>
      <c r="J225" s="76"/>
      <c r="K225" s="76"/>
      <c r="L225" s="76"/>
      <c r="M225" s="76">
        <v>42571980</v>
      </c>
      <c r="N225" s="76">
        <v>101460</v>
      </c>
      <c r="O225" s="76">
        <v>40809180</v>
      </c>
      <c r="P225" s="76"/>
      <c r="Q225" s="76"/>
      <c r="R225" s="76">
        <v>20579860</v>
      </c>
      <c r="S225" s="76"/>
      <c r="T225" s="76"/>
      <c r="U225" s="34">
        <f t="shared" si="151"/>
        <v>2</v>
      </c>
      <c r="V225" s="69">
        <f t="shared" si="151"/>
        <v>223</v>
      </c>
      <c r="W225" s="70" t="s">
        <v>247</v>
      </c>
      <c r="X225" s="71"/>
      <c r="Y225" s="235">
        <f t="shared" si="157"/>
        <v>0</v>
      </c>
      <c r="Z225" s="236">
        <f ca="1">IF($Z$3&gt;0,SUM(OFFSET(AC225,,,,MATCH($Z$3,$AC$3:$AN$3,0))),)</f>
        <v>159137600</v>
      </c>
      <c r="AA225" s="237">
        <f ca="1">SUM(OFFSET(AC225,,,,MATCH($U$1,$AC$3:$AN$3,0)))</f>
        <v>159137600</v>
      </c>
      <c r="AB225" s="216">
        <f t="shared" ca="1" si="122"/>
        <v>0.14020187444791166</v>
      </c>
      <c r="AC225" s="76">
        <v>29283880</v>
      </c>
      <c r="AD225" s="76"/>
      <c r="AE225" s="76">
        <v>1439120</v>
      </c>
      <c r="AF225" s="76">
        <v>58694770</v>
      </c>
      <c r="AG225" s="76"/>
      <c r="AH225" s="76"/>
      <c r="AI225" s="76">
        <v>44019280</v>
      </c>
      <c r="AJ225" s="76"/>
      <c r="AK225" s="76">
        <v>1343200</v>
      </c>
      <c r="AL225" s="76">
        <v>24357350</v>
      </c>
      <c r="AM225" s="76"/>
      <c r="AN225" s="76"/>
    </row>
    <row r="226" spans="1:43" s="43" customFormat="1" ht="15" customHeight="1" outlineLevel="1" x14ac:dyDescent="0.15">
      <c r="A226" s="34">
        <v>2</v>
      </c>
      <c r="B226" s="85">
        <f t="shared" si="131"/>
        <v>224</v>
      </c>
      <c r="C226" s="78" t="s">
        <v>257</v>
      </c>
      <c r="D226" s="79"/>
      <c r="E226" s="241">
        <f t="shared" si="155"/>
        <v>11294583370</v>
      </c>
      <c r="F226" s="242"/>
      <c r="G226" s="243">
        <f>E226</f>
        <v>11294583370</v>
      </c>
      <c r="H226" s="221">
        <f t="shared" ca="1" si="137"/>
        <v>6.3547972580710033</v>
      </c>
      <c r="I226" s="114">
        <f t="shared" ref="I226:T226" si="159">I29</f>
        <v>7496923756</v>
      </c>
      <c r="J226" s="114">
        <f t="shared" si="159"/>
        <v>6996101132</v>
      </c>
      <c r="K226" s="114">
        <f t="shared" si="159"/>
        <v>7071554102</v>
      </c>
      <c r="L226" s="114">
        <f t="shared" si="159"/>
        <v>7637232663</v>
      </c>
      <c r="M226" s="114">
        <f t="shared" si="159"/>
        <v>8044349895</v>
      </c>
      <c r="N226" s="114">
        <f t="shared" si="159"/>
        <v>8588582638</v>
      </c>
      <c r="O226" s="114">
        <f t="shared" si="159"/>
        <v>9356950369</v>
      </c>
      <c r="P226" s="114">
        <f t="shared" si="159"/>
        <v>9261539330</v>
      </c>
      <c r="Q226" s="114">
        <f t="shared" si="159"/>
        <v>11100402593</v>
      </c>
      <c r="R226" s="114">
        <f t="shared" si="159"/>
        <v>10715541962</v>
      </c>
      <c r="S226" s="114">
        <f t="shared" si="159"/>
        <v>9946126398</v>
      </c>
      <c r="T226" s="114">
        <f t="shared" si="159"/>
        <v>11294583370</v>
      </c>
      <c r="U226" s="34">
        <f t="shared" si="151"/>
        <v>2</v>
      </c>
      <c r="V226" s="77">
        <f t="shared" si="151"/>
        <v>224</v>
      </c>
      <c r="W226" s="78" t="s">
        <v>257</v>
      </c>
      <c r="X226" s="79"/>
      <c r="Y226" s="241">
        <f t="shared" si="157"/>
        <v>6950783027</v>
      </c>
      <c r="Z226" s="242">
        <f>IF($Z$3&gt;0,HLOOKUP($Z$3,$AC$3:$AN$365,V226,0),)</f>
        <v>7287534572</v>
      </c>
      <c r="AA226" s="243">
        <f>Y226</f>
        <v>6950783027</v>
      </c>
      <c r="AB226" s="221">
        <f t="shared" ca="1" si="122"/>
        <v>6.1237118648649309</v>
      </c>
      <c r="AC226" s="114">
        <f t="shared" ref="AC226:AN226" si="160">AC29</f>
        <v>7033634956</v>
      </c>
      <c r="AD226" s="114">
        <f t="shared" si="160"/>
        <v>7034796289</v>
      </c>
      <c r="AE226" s="114">
        <f t="shared" si="160"/>
        <v>6769990518</v>
      </c>
      <c r="AF226" s="114">
        <f t="shared" si="160"/>
        <v>6871642250</v>
      </c>
      <c r="AG226" s="114">
        <f t="shared" si="160"/>
        <v>6872349333</v>
      </c>
      <c r="AH226" s="114">
        <f t="shared" si="160"/>
        <v>7388715757</v>
      </c>
      <c r="AI226" s="114">
        <f t="shared" si="160"/>
        <v>7595665296</v>
      </c>
      <c r="AJ226" s="114">
        <f t="shared" si="160"/>
        <v>8214379484</v>
      </c>
      <c r="AK226" s="114">
        <f t="shared" si="160"/>
        <v>8098476597</v>
      </c>
      <c r="AL226" s="114">
        <f t="shared" si="160"/>
        <v>7282180696</v>
      </c>
      <c r="AM226" s="114">
        <f t="shared" si="160"/>
        <v>7287534572</v>
      </c>
      <c r="AN226" s="114">
        <f t="shared" si="160"/>
        <v>6950783027</v>
      </c>
    </row>
    <row r="227" spans="1:43" s="158" customFormat="1" ht="15" customHeight="1" x14ac:dyDescent="0.15">
      <c r="A227" s="34">
        <v>2</v>
      </c>
      <c r="B227" s="85">
        <f t="shared" si="131"/>
        <v>225</v>
      </c>
      <c r="C227" s="151" t="s">
        <v>258</v>
      </c>
      <c r="D227" s="152"/>
      <c r="E227" s="153">
        <f t="shared" si="155"/>
        <v>8876430417</v>
      </c>
      <c r="F227" s="154">
        <f ca="1">F194-F206</f>
        <v>-2162693369</v>
      </c>
      <c r="G227" s="155">
        <f ca="1">G194-G206</f>
        <v>88635846745</v>
      </c>
      <c r="H227" s="222">
        <f t="shared" ca="1" si="137"/>
        <v>49.87017381783491</v>
      </c>
      <c r="I227" s="250">
        <f t="shared" ref="I227:T227" si="161">I194-I206</f>
        <v>5640472571</v>
      </c>
      <c r="J227" s="250">
        <f t="shared" si="161"/>
        <v>6294635136</v>
      </c>
      <c r="K227" s="250">
        <f t="shared" si="161"/>
        <v>14196709081.651455</v>
      </c>
      <c r="L227" s="250">
        <f t="shared" si="161"/>
        <v>7369040719.3485451</v>
      </c>
      <c r="M227" s="250">
        <f t="shared" si="161"/>
        <v>7370492992</v>
      </c>
      <c r="N227" s="250">
        <f t="shared" si="161"/>
        <v>6853274378</v>
      </c>
      <c r="O227" s="250">
        <f t="shared" si="161"/>
        <v>8329690379</v>
      </c>
      <c r="P227" s="250">
        <f t="shared" si="161"/>
        <v>6422810502</v>
      </c>
      <c r="Q227" s="250">
        <f t="shared" si="161"/>
        <v>5707929411</v>
      </c>
      <c r="R227" s="250">
        <f t="shared" si="161"/>
        <v>5416908244</v>
      </c>
      <c r="S227" s="250">
        <f t="shared" si="161"/>
        <v>6157452914</v>
      </c>
      <c r="T227" s="250">
        <f t="shared" si="161"/>
        <v>8876430417</v>
      </c>
      <c r="U227" s="34">
        <f t="shared" si="151"/>
        <v>2</v>
      </c>
      <c r="V227" s="157">
        <f t="shared" si="151"/>
        <v>225</v>
      </c>
      <c r="W227" s="151" t="s">
        <v>258</v>
      </c>
      <c r="X227" s="152"/>
      <c r="Y227" s="153">
        <f>Y194-Y206</f>
        <v>4817692649</v>
      </c>
      <c r="Z227" s="154">
        <f ca="1">Z194-Z206</f>
        <v>63308666699</v>
      </c>
      <c r="AA227" s="155">
        <f ca="1">AA194-AA206</f>
        <v>68126359348</v>
      </c>
      <c r="AB227" s="222">
        <f t="shared" ca="1" si="122"/>
        <v>60.020028452745358</v>
      </c>
      <c r="AC227" s="250">
        <f t="shared" ref="AC227:AN227" si="162">AC194-AC206</f>
        <v>5698529188</v>
      </c>
      <c r="AD227" s="250">
        <f t="shared" si="162"/>
        <v>4882558889</v>
      </c>
      <c r="AE227" s="250">
        <f t="shared" si="162"/>
        <v>6209882980</v>
      </c>
      <c r="AF227" s="250">
        <f t="shared" si="162"/>
        <v>5429383030</v>
      </c>
      <c r="AG227" s="250">
        <f t="shared" si="162"/>
        <v>6064902374</v>
      </c>
      <c r="AH227" s="250">
        <f t="shared" si="162"/>
        <v>6793672347</v>
      </c>
      <c r="AI227" s="250">
        <f t="shared" si="162"/>
        <v>5570541453</v>
      </c>
      <c r="AJ227" s="250">
        <f t="shared" si="162"/>
        <v>5371152791</v>
      </c>
      <c r="AK227" s="250">
        <f t="shared" si="162"/>
        <v>5714787483</v>
      </c>
      <c r="AL227" s="250">
        <f t="shared" si="162"/>
        <v>6182301987</v>
      </c>
      <c r="AM227" s="250">
        <f t="shared" si="162"/>
        <v>5390954177</v>
      </c>
      <c r="AN227" s="250">
        <f t="shared" si="162"/>
        <v>4817692649</v>
      </c>
      <c r="AO227" s="52"/>
      <c r="AQ227" s="52"/>
    </row>
    <row r="228" spans="1:43" s="52" customFormat="1" ht="15" customHeight="1" collapsed="1" x14ac:dyDescent="0.15">
      <c r="A228" s="34">
        <v>2</v>
      </c>
      <c r="B228" s="85">
        <f t="shared" si="131"/>
        <v>226</v>
      </c>
      <c r="C228" s="223" t="s">
        <v>259</v>
      </c>
      <c r="D228" s="224"/>
      <c r="E228" s="225">
        <f>SUM(E229:E252)</f>
        <v>5312568029</v>
      </c>
      <c r="F228" s="226">
        <f ca="1">SUM(F229:F252)</f>
        <v>55006960782</v>
      </c>
      <c r="G228" s="227">
        <f ca="1">SUM(G229:G252)</f>
        <v>60319528811</v>
      </c>
      <c r="H228" s="211">
        <f t="shared" ca="1" si="137"/>
        <v>33.938248427509521</v>
      </c>
      <c r="I228" s="225">
        <f t="shared" ref="I228:T228" si="163">SUM(I229:I252)</f>
        <v>3817069190</v>
      </c>
      <c r="J228" s="225">
        <f t="shared" si="163"/>
        <v>4639117311</v>
      </c>
      <c r="K228" s="225">
        <f>SUM(K229:K252)</f>
        <v>5357356580</v>
      </c>
      <c r="L228" s="225">
        <f t="shared" si="163"/>
        <v>4710794537</v>
      </c>
      <c r="M228" s="225">
        <f t="shared" si="163"/>
        <v>4752932719</v>
      </c>
      <c r="N228" s="225">
        <f t="shared" si="163"/>
        <v>5596260333</v>
      </c>
      <c r="O228" s="225">
        <f t="shared" si="163"/>
        <v>6045029305</v>
      </c>
      <c r="P228" s="225">
        <f t="shared" si="163"/>
        <v>4893994858</v>
      </c>
      <c r="Q228" s="225">
        <f t="shared" si="163"/>
        <v>4925289006</v>
      </c>
      <c r="R228" s="225">
        <f t="shared" si="163"/>
        <v>4831258440</v>
      </c>
      <c r="S228" s="225">
        <f t="shared" si="163"/>
        <v>5437858503</v>
      </c>
      <c r="T228" s="225">
        <f t="shared" si="163"/>
        <v>5312568029</v>
      </c>
      <c r="U228" s="34">
        <f t="shared" si="151"/>
        <v>2</v>
      </c>
      <c r="V228" s="228">
        <f t="shared" si="151"/>
        <v>226</v>
      </c>
      <c r="W228" s="223" t="s">
        <v>260</v>
      </c>
      <c r="X228" s="224"/>
      <c r="Y228" s="225">
        <f>SUM(Y229:Y252)</f>
        <v>5148218954</v>
      </c>
      <c r="Z228" s="226">
        <f ca="1">SUM(Z229:Z252)</f>
        <v>44802412186</v>
      </c>
      <c r="AA228" s="227">
        <f ca="1">SUM(AA229:AA252)</f>
        <v>49950631140</v>
      </c>
      <c r="AB228" s="211">
        <f t="shared" ca="1" si="122"/>
        <v>44.007023580123281</v>
      </c>
      <c r="AC228" s="225">
        <f t="shared" ref="AC228:AN228" si="164">SUM(AC229:AC252)</f>
        <v>3549477745</v>
      </c>
      <c r="AD228" s="225">
        <f t="shared" si="164"/>
        <v>3691523816</v>
      </c>
      <c r="AE228" s="225">
        <f t="shared" si="164"/>
        <v>3611118668</v>
      </c>
      <c r="AF228" s="225">
        <f t="shared" si="164"/>
        <v>4568123695</v>
      </c>
      <c r="AG228" s="225">
        <f t="shared" si="164"/>
        <v>4339127724</v>
      </c>
      <c r="AH228" s="225">
        <f t="shared" si="164"/>
        <v>4277495857</v>
      </c>
      <c r="AI228" s="225">
        <f t="shared" si="164"/>
        <v>3795857671</v>
      </c>
      <c r="AJ228" s="225">
        <f t="shared" si="164"/>
        <v>4511089745</v>
      </c>
      <c r="AK228" s="225">
        <f t="shared" si="164"/>
        <v>4419191605</v>
      </c>
      <c r="AL228" s="225">
        <f t="shared" si="164"/>
        <v>4028646012</v>
      </c>
      <c r="AM228" s="225">
        <f t="shared" si="164"/>
        <v>4010759648</v>
      </c>
      <c r="AN228" s="225">
        <f t="shared" si="164"/>
        <v>5148218954</v>
      </c>
    </row>
    <row r="229" spans="1:43" s="43" customFormat="1" ht="15" customHeight="1" outlineLevel="1" x14ac:dyDescent="0.15">
      <c r="A229" s="34">
        <v>2</v>
      </c>
      <c r="B229" s="85">
        <f t="shared" si="131"/>
        <v>227</v>
      </c>
      <c r="C229" s="62" t="s">
        <v>261</v>
      </c>
      <c r="D229" s="63"/>
      <c r="E229" s="113">
        <f t="shared" ref="E229:E252" si="165">HLOOKUP($A$1,$I$3:$T$365,B229,0)</f>
        <v>2078871216</v>
      </c>
      <c r="F229" s="148">
        <f t="shared" ref="F229:F252" ca="1" si="166">IF($F$3&gt;0,SUM(OFFSET(I229,,,,MATCH($F$3,$I$3:$T$3,0))),SUM(AC229:AN229))</f>
        <v>19984194709</v>
      </c>
      <c r="G229" s="149">
        <f t="shared" ref="G229:G252" ca="1" si="167">SUM(OFFSET(I229,,,,MATCH($A$1,$I$3:$T$3,0)))</f>
        <v>22063065925</v>
      </c>
      <c r="H229" s="244">
        <f t="shared" ca="1" si="137"/>
        <v>12.413588554070744</v>
      </c>
      <c r="I229" s="76">
        <v>1662564570</v>
      </c>
      <c r="J229" s="76">
        <v>1786983018</v>
      </c>
      <c r="K229" s="76">
        <v>2063619489</v>
      </c>
      <c r="L229" s="76">
        <v>1744959218</v>
      </c>
      <c r="M229" s="76">
        <v>1830581193</v>
      </c>
      <c r="N229" s="76">
        <v>1801903841</v>
      </c>
      <c r="O229" s="76">
        <v>1807465690</v>
      </c>
      <c r="P229" s="76">
        <v>1796586100</v>
      </c>
      <c r="Q229" s="76">
        <v>1785665406</v>
      </c>
      <c r="R229" s="76">
        <v>1849461390</v>
      </c>
      <c r="S229" s="76">
        <v>1854404794</v>
      </c>
      <c r="T229" s="76">
        <v>2078871216</v>
      </c>
      <c r="U229" s="34">
        <f t="shared" si="151"/>
        <v>2</v>
      </c>
      <c r="V229" s="61">
        <f t="shared" si="151"/>
        <v>227</v>
      </c>
      <c r="W229" s="62" t="s">
        <v>261</v>
      </c>
      <c r="X229" s="63"/>
      <c r="Y229" s="113">
        <f t="shared" ref="Y229:Y252" si="168">HLOOKUP($U$1,$AC$3:$AN$365,V229,0)</f>
        <v>1820825092</v>
      </c>
      <c r="Z229" s="148">
        <f t="shared" ref="Z229:Z252" ca="1" si="169">IF($Z$3&gt;0,SUM(OFFSET(AC229,,,,MATCH($Z$3,$AC$3:$AN$3,0))),)</f>
        <v>16284002925</v>
      </c>
      <c r="AA229" s="149">
        <f t="shared" ref="AA229:AA252" ca="1" si="170">SUM(OFFSET(AC229,,,,MATCH($U$1,$AC$3:$AN$3,0)))</f>
        <v>18104828017</v>
      </c>
      <c r="AB229" s="244">
        <f t="shared" ca="1" si="122"/>
        <v>15.950541069743842</v>
      </c>
      <c r="AC229" s="76">
        <v>1450497410</v>
      </c>
      <c r="AD229" s="76">
        <v>1526300980</v>
      </c>
      <c r="AE229" s="76">
        <v>1450879439</v>
      </c>
      <c r="AF229" s="76">
        <v>1458354300</v>
      </c>
      <c r="AG229" s="76">
        <v>1454169340</v>
      </c>
      <c r="AH229" s="76">
        <v>1450208831</v>
      </c>
      <c r="AI229" s="76">
        <v>1465807850</v>
      </c>
      <c r="AJ229" s="76">
        <v>1479213880</v>
      </c>
      <c r="AK229" s="76">
        <v>1511797195</v>
      </c>
      <c r="AL229" s="76">
        <v>1520477330</v>
      </c>
      <c r="AM229" s="76">
        <v>1516296370</v>
      </c>
      <c r="AN229" s="76">
        <v>1820825092</v>
      </c>
    </row>
    <row r="230" spans="1:43" s="43" customFormat="1" ht="15" customHeight="1" outlineLevel="1" x14ac:dyDescent="0.15">
      <c r="A230" s="34">
        <v>2</v>
      </c>
      <c r="B230" s="85">
        <f t="shared" si="131"/>
        <v>228</v>
      </c>
      <c r="C230" s="70" t="s">
        <v>262</v>
      </c>
      <c r="D230" s="71"/>
      <c r="E230" s="114">
        <f t="shared" si="165"/>
        <v>172205538</v>
      </c>
      <c r="F230" s="111">
        <f t="shared" ca="1" si="166"/>
        <v>2434943865</v>
      </c>
      <c r="G230" s="112">
        <f t="shared" ca="1" si="167"/>
        <v>2607149403</v>
      </c>
      <c r="H230" s="216">
        <f t="shared" ca="1" si="137"/>
        <v>1.4668895110883449</v>
      </c>
      <c r="I230" s="76">
        <v>-58488812</v>
      </c>
      <c r="J230" s="76">
        <v>172729115</v>
      </c>
      <c r="K230" s="76">
        <v>172729115</v>
      </c>
      <c r="L230" s="76">
        <v>172729117</v>
      </c>
      <c r="M230" s="76">
        <v>172729119</v>
      </c>
      <c r="N230" s="76">
        <v>904056316</v>
      </c>
      <c r="O230" s="76">
        <v>188403195</v>
      </c>
      <c r="P230" s="76">
        <v>172729115</v>
      </c>
      <c r="Q230" s="76">
        <v>172729115</v>
      </c>
      <c r="R230" s="76">
        <v>192408728</v>
      </c>
      <c r="S230" s="76">
        <v>172189742</v>
      </c>
      <c r="T230" s="76">
        <v>172205538</v>
      </c>
      <c r="U230" s="34">
        <f t="shared" si="151"/>
        <v>2</v>
      </c>
      <c r="V230" s="69">
        <f t="shared" si="151"/>
        <v>228</v>
      </c>
      <c r="W230" s="70" t="s">
        <v>262</v>
      </c>
      <c r="X230" s="71"/>
      <c r="Y230" s="114">
        <f t="shared" si="168"/>
        <v>416679737</v>
      </c>
      <c r="Z230" s="111">
        <f t="shared" ca="1" si="169"/>
        <v>5170240636</v>
      </c>
      <c r="AA230" s="112">
        <f t="shared" ca="1" si="170"/>
        <v>5586920373</v>
      </c>
      <c r="AB230" s="216">
        <f t="shared" ca="1" si="122"/>
        <v>4.9221347355108147</v>
      </c>
      <c r="AC230" s="76">
        <v>352798760</v>
      </c>
      <c r="AD230" s="76">
        <v>584309070</v>
      </c>
      <c r="AE230" s="76">
        <v>280723960</v>
      </c>
      <c r="AF230" s="76">
        <v>526183056</v>
      </c>
      <c r="AG230" s="76">
        <v>823375686</v>
      </c>
      <c r="AH230" s="76">
        <v>708901488</v>
      </c>
      <c r="AI230" s="76">
        <v>123433453</v>
      </c>
      <c r="AJ230" s="76">
        <v>607643377</v>
      </c>
      <c r="AK230" s="76">
        <v>593421420</v>
      </c>
      <c r="AL230" s="76">
        <v>284725183</v>
      </c>
      <c r="AM230" s="76">
        <v>284725183</v>
      </c>
      <c r="AN230" s="76">
        <v>416679737</v>
      </c>
    </row>
    <row r="231" spans="1:43" s="43" customFormat="1" ht="15" customHeight="1" outlineLevel="1" x14ac:dyDescent="0.15">
      <c r="A231" s="34">
        <v>2</v>
      </c>
      <c r="B231" s="85">
        <f t="shared" si="131"/>
        <v>229</v>
      </c>
      <c r="C231" s="70" t="s">
        <v>263</v>
      </c>
      <c r="D231" s="71"/>
      <c r="E231" s="114">
        <f t="shared" si="165"/>
        <v>350217406</v>
      </c>
      <c r="F231" s="111">
        <f t="shared" ca="1" si="166"/>
        <v>4011811008</v>
      </c>
      <c r="G231" s="112">
        <f t="shared" ca="1" si="167"/>
        <v>4362028414</v>
      </c>
      <c r="H231" s="216">
        <f t="shared" ca="1" si="137"/>
        <v>2.4542566376146913</v>
      </c>
      <c r="I231" s="76">
        <v>369931176</v>
      </c>
      <c r="J231" s="76">
        <v>336242578</v>
      </c>
      <c r="K231" s="76">
        <v>351115113</v>
      </c>
      <c r="L231" s="76">
        <v>369931175</v>
      </c>
      <c r="M231" s="76">
        <v>369931173</v>
      </c>
      <c r="N231" s="76">
        <v>351115116</v>
      </c>
      <c r="O231" s="76">
        <v>369931176</v>
      </c>
      <c r="P231" s="76">
        <v>369931181</v>
      </c>
      <c r="Q231" s="76">
        <v>384803710</v>
      </c>
      <c r="R231" s="76">
        <v>369931176</v>
      </c>
      <c r="S231" s="76">
        <v>368947434</v>
      </c>
      <c r="T231" s="76">
        <v>350217406</v>
      </c>
      <c r="U231" s="34">
        <f t="shared" si="151"/>
        <v>2</v>
      </c>
      <c r="V231" s="69">
        <f t="shared" si="151"/>
        <v>229</v>
      </c>
      <c r="W231" s="70" t="s">
        <v>263</v>
      </c>
      <c r="X231" s="71"/>
      <c r="Y231" s="114">
        <f t="shared" si="168"/>
        <v>244857505</v>
      </c>
      <c r="Z231" s="111">
        <f t="shared" ca="1" si="169"/>
        <v>2815140323</v>
      </c>
      <c r="AA231" s="112">
        <f t="shared" ca="1" si="170"/>
        <v>3059997828</v>
      </c>
      <c r="AB231" s="216">
        <f t="shared" ca="1" si="122"/>
        <v>2.6958897915523319</v>
      </c>
      <c r="AC231" s="76">
        <v>298314559</v>
      </c>
      <c r="AD231" s="76">
        <v>270544760</v>
      </c>
      <c r="AE231" s="76">
        <v>196140138</v>
      </c>
      <c r="AF231" s="76">
        <v>260070976</v>
      </c>
      <c r="AG231" s="76">
        <v>260070976</v>
      </c>
      <c r="AH231" s="76">
        <v>244857505</v>
      </c>
      <c r="AI231" s="76">
        <v>260070976</v>
      </c>
      <c r="AJ231" s="76">
        <v>260070976</v>
      </c>
      <c r="AK231" s="76">
        <v>244857505</v>
      </c>
      <c r="AL231" s="76">
        <v>260070976</v>
      </c>
      <c r="AM231" s="76">
        <v>260070976</v>
      </c>
      <c r="AN231" s="76">
        <v>244857505</v>
      </c>
    </row>
    <row r="232" spans="1:43" s="43" customFormat="1" ht="15" customHeight="1" outlineLevel="1" x14ac:dyDescent="0.15">
      <c r="A232" s="34">
        <v>2</v>
      </c>
      <c r="B232" s="85">
        <f t="shared" si="131"/>
        <v>230</v>
      </c>
      <c r="C232" s="70" t="s">
        <v>264</v>
      </c>
      <c r="D232" s="71"/>
      <c r="E232" s="114">
        <f t="shared" si="165"/>
        <v>355055445</v>
      </c>
      <c r="F232" s="111">
        <f t="shared" ca="1" si="166"/>
        <v>3578320313</v>
      </c>
      <c r="G232" s="112">
        <f t="shared" ca="1" si="167"/>
        <v>3933375758</v>
      </c>
      <c r="H232" s="216">
        <f t="shared" ca="1" si="137"/>
        <v>2.2130790187705132</v>
      </c>
      <c r="I232" s="76">
        <v>266606341</v>
      </c>
      <c r="J232" s="76">
        <v>270328594</v>
      </c>
      <c r="K232" s="76">
        <v>247104775</v>
      </c>
      <c r="L232" s="76">
        <v>480728783</v>
      </c>
      <c r="M232" s="76">
        <v>335804762</v>
      </c>
      <c r="N232" s="76">
        <v>316292265</v>
      </c>
      <c r="O232" s="76">
        <v>347578799</v>
      </c>
      <c r="P232" s="76">
        <v>310268751</v>
      </c>
      <c r="Q232" s="76">
        <v>308653695</v>
      </c>
      <c r="R232" s="76">
        <v>322916543</v>
      </c>
      <c r="S232" s="76">
        <v>372037005</v>
      </c>
      <c r="T232" s="76">
        <v>355055445</v>
      </c>
      <c r="U232" s="34">
        <f t="shared" si="151"/>
        <v>2</v>
      </c>
      <c r="V232" s="69">
        <f t="shared" si="151"/>
        <v>230</v>
      </c>
      <c r="W232" s="70" t="s">
        <v>264</v>
      </c>
      <c r="X232" s="71"/>
      <c r="Y232" s="114">
        <f t="shared" si="168"/>
        <v>270812745</v>
      </c>
      <c r="Z232" s="111">
        <f t="shared" ca="1" si="169"/>
        <v>2429544320</v>
      </c>
      <c r="AA232" s="112">
        <f t="shared" ca="1" si="170"/>
        <v>2700357065</v>
      </c>
      <c r="AB232" s="216">
        <f t="shared" ca="1" si="122"/>
        <v>2.3790425530588704</v>
      </c>
      <c r="AC232" s="76">
        <v>231558061</v>
      </c>
      <c r="AD232" s="76">
        <v>176545785</v>
      </c>
      <c r="AE232" s="76">
        <v>199811782</v>
      </c>
      <c r="AF232" s="76">
        <v>266383148</v>
      </c>
      <c r="AG232" s="76">
        <v>190970676</v>
      </c>
      <c r="AH232" s="76">
        <v>220168271</v>
      </c>
      <c r="AI232" s="76">
        <v>224252631</v>
      </c>
      <c r="AJ232" s="76">
        <v>225767913</v>
      </c>
      <c r="AK232" s="76">
        <v>213981893</v>
      </c>
      <c r="AL232" s="76">
        <v>238756228</v>
      </c>
      <c r="AM232" s="76">
        <v>241347932</v>
      </c>
      <c r="AN232" s="76">
        <v>270812745</v>
      </c>
    </row>
    <row r="233" spans="1:43" s="43" customFormat="1" ht="15" customHeight="1" outlineLevel="1" x14ac:dyDescent="0.15">
      <c r="A233" s="34">
        <v>2</v>
      </c>
      <c r="B233" s="85">
        <f t="shared" si="131"/>
        <v>231</v>
      </c>
      <c r="C233" s="70" t="s">
        <v>265</v>
      </c>
      <c r="D233" s="71"/>
      <c r="E233" s="114">
        <f t="shared" si="165"/>
        <v>99173711</v>
      </c>
      <c r="F233" s="111">
        <f t="shared" ca="1" si="166"/>
        <v>1077340620</v>
      </c>
      <c r="G233" s="112">
        <f t="shared" ca="1" si="167"/>
        <v>1176514331</v>
      </c>
      <c r="H233" s="216">
        <f t="shared" ca="1" si="137"/>
        <v>0.66195536389405041</v>
      </c>
      <c r="I233" s="76">
        <v>101143635</v>
      </c>
      <c r="J233" s="76">
        <v>97596632</v>
      </c>
      <c r="K233" s="76">
        <v>94720759</v>
      </c>
      <c r="L233" s="76">
        <v>86548828</v>
      </c>
      <c r="M233" s="76">
        <v>86109741</v>
      </c>
      <c r="N233" s="76">
        <v>96906879</v>
      </c>
      <c r="O233" s="76">
        <v>102511117</v>
      </c>
      <c r="P233" s="76">
        <v>112831430</v>
      </c>
      <c r="Q233" s="76">
        <v>107113039</v>
      </c>
      <c r="R233" s="76">
        <v>101178675</v>
      </c>
      <c r="S233" s="76">
        <v>90679885</v>
      </c>
      <c r="T233" s="76">
        <v>99173711</v>
      </c>
      <c r="U233" s="34">
        <f t="shared" si="151"/>
        <v>2</v>
      </c>
      <c r="V233" s="69">
        <f t="shared" si="151"/>
        <v>231</v>
      </c>
      <c r="W233" s="70" t="s">
        <v>265</v>
      </c>
      <c r="X233" s="71"/>
      <c r="Y233" s="114">
        <f t="shared" si="168"/>
        <v>88181781</v>
      </c>
      <c r="Z233" s="111">
        <f t="shared" ca="1" si="169"/>
        <v>986516876</v>
      </c>
      <c r="AA233" s="112">
        <f t="shared" ca="1" si="170"/>
        <v>1074698657</v>
      </c>
      <c r="AB233" s="216">
        <f t="shared" ca="1" si="122"/>
        <v>0.94682065192671816</v>
      </c>
      <c r="AC233" s="76">
        <v>91148102</v>
      </c>
      <c r="AD233" s="76">
        <v>96205454</v>
      </c>
      <c r="AE233" s="76">
        <v>87521392</v>
      </c>
      <c r="AF233" s="76">
        <v>87549974</v>
      </c>
      <c r="AG233" s="76">
        <v>81293371</v>
      </c>
      <c r="AH233" s="76">
        <v>83497474</v>
      </c>
      <c r="AI233" s="76">
        <v>93256703</v>
      </c>
      <c r="AJ233" s="76">
        <v>102800875</v>
      </c>
      <c r="AK233" s="76">
        <v>94939466</v>
      </c>
      <c r="AL233" s="76">
        <v>88767110</v>
      </c>
      <c r="AM233" s="76">
        <v>79536955</v>
      </c>
      <c r="AN233" s="76">
        <v>88181781</v>
      </c>
    </row>
    <row r="234" spans="1:43" s="43" customFormat="1" ht="15" customHeight="1" outlineLevel="1" x14ac:dyDescent="0.15">
      <c r="A234" s="34">
        <v>2</v>
      </c>
      <c r="B234" s="85">
        <f t="shared" si="131"/>
        <v>232</v>
      </c>
      <c r="C234" s="70" t="s">
        <v>266</v>
      </c>
      <c r="D234" s="71"/>
      <c r="E234" s="114">
        <f t="shared" si="165"/>
        <v>82647088</v>
      </c>
      <c r="F234" s="111">
        <f t="shared" ca="1" si="166"/>
        <v>762401663</v>
      </c>
      <c r="G234" s="112">
        <f t="shared" ca="1" si="167"/>
        <v>845048751</v>
      </c>
      <c r="H234" s="216">
        <f t="shared" ca="1" si="137"/>
        <v>0.47545919224031774</v>
      </c>
      <c r="I234" s="76">
        <v>39569036</v>
      </c>
      <c r="J234" s="76">
        <v>38500144</v>
      </c>
      <c r="K234" s="76">
        <v>54089898</v>
      </c>
      <c r="L234" s="76">
        <v>60601030</v>
      </c>
      <c r="M234" s="76">
        <v>70068159</v>
      </c>
      <c r="N234" s="76">
        <v>74788845</v>
      </c>
      <c r="O234" s="76">
        <v>80790678</v>
      </c>
      <c r="P234" s="76">
        <v>88439283</v>
      </c>
      <c r="Q234" s="76">
        <v>79799113</v>
      </c>
      <c r="R234" s="76">
        <v>86545770</v>
      </c>
      <c r="S234" s="76">
        <v>89209707</v>
      </c>
      <c r="T234" s="76">
        <v>82647088</v>
      </c>
      <c r="U234" s="34">
        <f t="shared" si="151"/>
        <v>2</v>
      </c>
      <c r="V234" s="69">
        <f t="shared" si="151"/>
        <v>232</v>
      </c>
      <c r="W234" s="70" t="s">
        <v>266</v>
      </c>
      <c r="X234" s="71"/>
      <c r="Y234" s="114">
        <f t="shared" si="168"/>
        <v>39422611</v>
      </c>
      <c r="Z234" s="111">
        <f t="shared" ca="1" si="169"/>
        <v>459652024</v>
      </c>
      <c r="AA234" s="112">
        <f t="shared" ca="1" si="170"/>
        <v>499074635</v>
      </c>
      <c r="AB234" s="216">
        <f t="shared" ca="1" si="122"/>
        <v>0.43968992442017057</v>
      </c>
      <c r="AC234" s="76">
        <v>44566760</v>
      </c>
      <c r="AD234" s="76">
        <v>37147005</v>
      </c>
      <c r="AE234" s="76">
        <v>30299867</v>
      </c>
      <c r="AF234" s="76">
        <v>49663779</v>
      </c>
      <c r="AG234" s="76">
        <v>31657173</v>
      </c>
      <c r="AH234" s="76">
        <v>38558623</v>
      </c>
      <c r="AI234" s="76">
        <v>34696808</v>
      </c>
      <c r="AJ234" s="76">
        <v>41244018</v>
      </c>
      <c r="AK234" s="76">
        <v>61345482</v>
      </c>
      <c r="AL234" s="76">
        <v>52023835</v>
      </c>
      <c r="AM234" s="76">
        <v>38448674</v>
      </c>
      <c r="AN234" s="76">
        <v>39422611</v>
      </c>
    </row>
    <row r="235" spans="1:43" s="43" customFormat="1" ht="15" customHeight="1" outlineLevel="1" x14ac:dyDescent="0.15">
      <c r="A235" s="34">
        <v>2</v>
      </c>
      <c r="B235" s="85">
        <f t="shared" si="131"/>
        <v>233</v>
      </c>
      <c r="C235" s="70" t="s">
        <v>267</v>
      </c>
      <c r="D235" s="71"/>
      <c r="E235" s="114">
        <f t="shared" si="165"/>
        <v>183808099</v>
      </c>
      <c r="F235" s="111">
        <f t="shared" ca="1" si="166"/>
        <v>1921457357</v>
      </c>
      <c r="G235" s="112">
        <f t="shared" ca="1" si="167"/>
        <v>2105265456</v>
      </c>
      <c r="H235" s="216">
        <f t="shared" ca="1" si="137"/>
        <v>1.1845089552250034</v>
      </c>
      <c r="I235" s="76">
        <v>154554923</v>
      </c>
      <c r="J235" s="76">
        <v>194122767</v>
      </c>
      <c r="K235" s="76">
        <v>149768945</v>
      </c>
      <c r="L235" s="76">
        <v>177742522</v>
      </c>
      <c r="M235" s="76">
        <v>176040874</v>
      </c>
      <c r="N235" s="76">
        <v>176029334</v>
      </c>
      <c r="O235" s="76">
        <v>176943470</v>
      </c>
      <c r="P235" s="76">
        <v>177153227</v>
      </c>
      <c r="Q235" s="76">
        <v>181574169</v>
      </c>
      <c r="R235" s="76">
        <v>179748902</v>
      </c>
      <c r="S235" s="76">
        <v>177778224</v>
      </c>
      <c r="T235" s="76">
        <v>183808099</v>
      </c>
      <c r="U235" s="34">
        <f t="shared" si="151"/>
        <v>2</v>
      </c>
      <c r="V235" s="69">
        <f t="shared" si="151"/>
        <v>233</v>
      </c>
      <c r="W235" s="70" t="s">
        <v>267</v>
      </c>
      <c r="X235" s="71"/>
      <c r="Y235" s="114">
        <f t="shared" si="168"/>
        <v>159476750</v>
      </c>
      <c r="Z235" s="111">
        <f t="shared" ca="1" si="169"/>
        <v>1649149988</v>
      </c>
      <c r="AA235" s="112">
        <f t="shared" ca="1" si="170"/>
        <v>1808626738</v>
      </c>
      <c r="AB235" s="216">
        <f t="shared" ca="1" si="122"/>
        <v>1.5934188956237372</v>
      </c>
      <c r="AC235" s="76">
        <v>149151978</v>
      </c>
      <c r="AD235" s="76">
        <v>149385878</v>
      </c>
      <c r="AE235" s="76">
        <v>149304481</v>
      </c>
      <c r="AF235" s="76">
        <v>151369032</v>
      </c>
      <c r="AG235" s="76">
        <v>149385136</v>
      </c>
      <c r="AH235" s="76">
        <v>149356762</v>
      </c>
      <c r="AI235" s="76">
        <v>149291761</v>
      </c>
      <c r="AJ235" s="76">
        <v>149291767</v>
      </c>
      <c r="AK235" s="76">
        <v>150073235</v>
      </c>
      <c r="AL235" s="76">
        <v>150288903</v>
      </c>
      <c r="AM235" s="76">
        <v>152251055</v>
      </c>
      <c r="AN235" s="76">
        <v>159476750</v>
      </c>
    </row>
    <row r="236" spans="1:43" s="43" customFormat="1" ht="15" customHeight="1" outlineLevel="1" x14ac:dyDescent="0.15">
      <c r="A236" s="34">
        <v>2</v>
      </c>
      <c r="B236" s="85">
        <f t="shared" si="131"/>
        <v>234</v>
      </c>
      <c r="C236" s="70" t="s">
        <v>268</v>
      </c>
      <c r="D236" s="71"/>
      <c r="E236" s="114">
        <f t="shared" si="165"/>
        <v>155638622</v>
      </c>
      <c r="F236" s="111">
        <f t="shared" ca="1" si="166"/>
        <v>1530022334</v>
      </c>
      <c r="G236" s="112">
        <f t="shared" ca="1" si="167"/>
        <v>1685660956</v>
      </c>
      <c r="H236" s="216">
        <f t="shared" ca="1" si="137"/>
        <v>0.94842220118351706</v>
      </c>
      <c r="I236" s="76">
        <v>130765878</v>
      </c>
      <c r="J236" s="76">
        <v>131369194</v>
      </c>
      <c r="K236" s="76">
        <v>138541657</v>
      </c>
      <c r="L236" s="76">
        <v>136992705</v>
      </c>
      <c r="M236" s="76">
        <v>137284289</v>
      </c>
      <c r="N236" s="76">
        <v>136457990</v>
      </c>
      <c r="O236" s="76">
        <v>136601315</v>
      </c>
      <c r="P236" s="76">
        <v>141639126</v>
      </c>
      <c r="Q236" s="76">
        <v>140647441</v>
      </c>
      <c r="R236" s="76">
        <v>150125207</v>
      </c>
      <c r="S236" s="76">
        <v>149597532</v>
      </c>
      <c r="T236" s="76">
        <v>155638622</v>
      </c>
      <c r="U236" s="34">
        <f t="shared" si="151"/>
        <v>2</v>
      </c>
      <c r="V236" s="69">
        <f t="shared" si="151"/>
        <v>234</v>
      </c>
      <c r="W236" s="70" t="s">
        <v>268</v>
      </c>
      <c r="X236" s="71"/>
      <c r="Y236" s="114">
        <f t="shared" si="168"/>
        <v>128237074</v>
      </c>
      <c r="Z236" s="111">
        <f t="shared" ca="1" si="169"/>
        <v>1310784715</v>
      </c>
      <c r="AA236" s="112">
        <f t="shared" ca="1" si="170"/>
        <v>1439021789</v>
      </c>
      <c r="AB236" s="216">
        <f t="shared" ca="1" si="122"/>
        <v>1.2677931060238889</v>
      </c>
      <c r="AC236" s="76">
        <v>88672820</v>
      </c>
      <c r="AD236" s="76">
        <v>89679931</v>
      </c>
      <c r="AE236" s="76">
        <v>100982818</v>
      </c>
      <c r="AF236" s="76">
        <v>95210582</v>
      </c>
      <c r="AG236" s="76">
        <v>192860881</v>
      </c>
      <c r="AH236" s="76">
        <v>112975843</v>
      </c>
      <c r="AI236" s="76">
        <v>112556325</v>
      </c>
      <c r="AJ236" s="76">
        <v>148435095</v>
      </c>
      <c r="AK236" s="76">
        <v>124726060</v>
      </c>
      <c r="AL236" s="76">
        <v>122258828</v>
      </c>
      <c r="AM236" s="76">
        <v>122425532</v>
      </c>
      <c r="AN236" s="76">
        <v>128237074</v>
      </c>
    </row>
    <row r="237" spans="1:43" s="43" customFormat="1" ht="15" customHeight="1" outlineLevel="1" x14ac:dyDescent="0.15">
      <c r="A237" s="34">
        <v>2</v>
      </c>
      <c r="B237" s="85">
        <f t="shared" si="131"/>
        <v>235</v>
      </c>
      <c r="C237" s="70" t="s">
        <v>269</v>
      </c>
      <c r="D237" s="71"/>
      <c r="E237" s="114">
        <f t="shared" si="165"/>
        <v>29693730</v>
      </c>
      <c r="F237" s="111">
        <f t="shared" ca="1" si="166"/>
        <v>309807128</v>
      </c>
      <c r="G237" s="112">
        <f t="shared" ca="1" si="167"/>
        <v>339500858</v>
      </c>
      <c r="H237" s="216">
        <f t="shared" ca="1" si="137"/>
        <v>0.19101714962427629</v>
      </c>
      <c r="I237" s="76">
        <v>26113150</v>
      </c>
      <c r="J237" s="76">
        <v>16176050</v>
      </c>
      <c r="K237" s="76">
        <v>14249951</v>
      </c>
      <c r="L237" s="76">
        <v>20628110</v>
      </c>
      <c r="M237" s="76">
        <v>12347550</v>
      </c>
      <c r="N237" s="76">
        <v>12774157</v>
      </c>
      <c r="O237" s="76">
        <v>69532960</v>
      </c>
      <c r="P237" s="76">
        <v>16586320</v>
      </c>
      <c r="Q237" s="76">
        <v>89620550</v>
      </c>
      <c r="R237" s="76">
        <v>19948220</v>
      </c>
      <c r="S237" s="76">
        <v>11830110</v>
      </c>
      <c r="T237" s="76">
        <v>29693730</v>
      </c>
      <c r="U237" s="34">
        <f t="shared" si="151"/>
        <v>2</v>
      </c>
      <c r="V237" s="69">
        <f t="shared" si="151"/>
        <v>235</v>
      </c>
      <c r="W237" s="70" t="s">
        <v>269</v>
      </c>
      <c r="X237" s="71"/>
      <c r="Y237" s="114">
        <f t="shared" si="168"/>
        <v>27649247</v>
      </c>
      <c r="Z237" s="111">
        <f t="shared" ca="1" si="169"/>
        <v>405594115</v>
      </c>
      <c r="AA237" s="112">
        <f t="shared" ca="1" si="170"/>
        <v>433243362</v>
      </c>
      <c r="AB237" s="216">
        <f t="shared" ca="1" si="122"/>
        <v>0.38169189081973803</v>
      </c>
      <c r="AC237" s="76">
        <v>113100860</v>
      </c>
      <c r="AD237" s="76">
        <v>11229300</v>
      </c>
      <c r="AE237" s="76">
        <v>36243545</v>
      </c>
      <c r="AF237" s="76">
        <v>32694252</v>
      </c>
      <c r="AG237" s="76">
        <v>8355110</v>
      </c>
      <c r="AH237" s="76">
        <v>10630523</v>
      </c>
      <c r="AI237" s="76">
        <v>73561880</v>
      </c>
      <c r="AJ237" s="76">
        <v>12183580</v>
      </c>
      <c r="AK237" s="76">
        <v>83542815</v>
      </c>
      <c r="AL237" s="76">
        <v>15390080</v>
      </c>
      <c r="AM237" s="76">
        <v>8662170</v>
      </c>
      <c r="AN237" s="76">
        <v>27649247</v>
      </c>
    </row>
    <row r="238" spans="1:43" s="43" customFormat="1" ht="15" customHeight="1" outlineLevel="1" x14ac:dyDescent="0.15">
      <c r="A238" s="34">
        <v>2</v>
      </c>
      <c r="B238" s="85">
        <f t="shared" si="131"/>
        <v>236</v>
      </c>
      <c r="C238" s="70" t="s">
        <v>270</v>
      </c>
      <c r="D238" s="71"/>
      <c r="E238" s="114">
        <f t="shared" si="165"/>
        <v>240472025</v>
      </c>
      <c r="F238" s="111">
        <f t="shared" ca="1" si="166"/>
        <v>1573215041</v>
      </c>
      <c r="G238" s="112">
        <f t="shared" ca="1" si="167"/>
        <v>1813687066</v>
      </c>
      <c r="H238" s="216">
        <f t="shared" ca="1" si="137"/>
        <v>1.0204549576064303</v>
      </c>
      <c r="I238" s="76">
        <v>57748677</v>
      </c>
      <c r="J238" s="76">
        <v>31701429</v>
      </c>
      <c r="K238" s="76">
        <v>136292515</v>
      </c>
      <c r="L238" s="76">
        <v>147193265</v>
      </c>
      <c r="M238" s="76">
        <v>101675254</v>
      </c>
      <c r="N238" s="76">
        <v>108235599</v>
      </c>
      <c r="O238" s="76">
        <v>107827097</v>
      </c>
      <c r="P238" s="76">
        <v>137697868</v>
      </c>
      <c r="Q238" s="76">
        <v>411959027</v>
      </c>
      <c r="R238" s="76">
        <v>129585062</v>
      </c>
      <c r="S238" s="76">
        <v>203299248</v>
      </c>
      <c r="T238" s="76">
        <v>240472025</v>
      </c>
      <c r="U238" s="34">
        <f t="shared" si="151"/>
        <v>2</v>
      </c>
      <c r="V238" s="69">
        <f t="shared" si="151"/>
        <v>236</v>
      </c>
      <c r="W238" s="70" t="s">
        <v>270</v>
      </c>
      <c r="X238" s="71"/>
      <c r="Y238" s="114">
        <f t="shared" si="168"/>
        <v>87055576</v>
      </c>
      <c r="Z238" s="111">
        <f t="shared" ca="1" si="169"/>
        <v>683024148</v>
      </c>
      <c r="AA238" s="112">
        <f t="shared" ca="1" si="170"/>
        <v>770079724</v>
      </c>
      <c r="AB238" s="216">
        <f t="shared" ca="1" si="122"/>
        <v>0.67844821575247127</v>
      </c>
      <c r="AC238" s="76">
        <v>33442274</v>
      </c>
      <c r="AD238" s="76">
        <v>21403746</v>
      </c>
      <c r="AE238" s="76">
        <v>44559551</v>
      </c>
      <c r="AF238" s="76">
        <v>56914780</v>
      </c>
      <c r="AG238" s="76">
        <v>42200828</v>
      </c>
      <c r="AH238" s="76">
        <v>49821773</v>
      </c>
      <c r="AI238" s="76">
        <v>58363639</v>
      </c>
      <c r="AJ238" s="76">
        <v>100815195</v>
      </c>
      <c r="AK238" s="76">
        <v>33440438</v>
      </c>
      <c r="AL238" s="76">
        <v>130133831</v>
      </c>
      <c r="AM238" s="76">
        <v>111928093</v>
      </c>
      <c r="AN238" s="76">
        <v>87055576</v>
      </c>
    </row>
    <row r="239" spans="1:43" s="43" customFormat="1" ht="15" customHeight="1" outlineLevel="1" x14ac:dyDescent="0.15">
      <c r="A239" s="34">
        <v>2</v>
      </c>
      <c r="B239" s="85">
        <f t="shared" si="131"/>
        <v>237</v>
      </c>
      <c r="C239" s="70" t="s">
        <v>271</v>
      </c>
      <c r="D239" s="71"/>
      <c r="E239" s="114">
        <f t="shared" si="165"/>
        <v>-565439027</v>
      </c>
      <c r="F239" s="111">
        <f t="shared" ca="1" si="166"/>
        <v>563951722</v>
      </c>
      <c r="G239" s="112">
        <f t="shared" ca="1" si="167"/>
        <v>-1487305</v>
      </c>
      <c r="H239" s="216">
        <f t="shared" ca="1" si="137"/>
        <v>-8.3681898006259013E-4</v>
      </c>
      <c r="I239" s="76">
        <v>22687867</v>
      </c>
      <c r="J239" s="76">
        <v>42486547</v>
      </c>
      <c r="K239" s="76">
        <v>-14670674</v>
      </c>
      <c r="L239" s="76">
        <v>48647162</v>
      </c>
      <c r="M239" s="76">
        <v>79357675</v>
      </c>
      <c r="N239" s="98">
        <v>-45313044</v>
      </c>
      <c r="O239" s="76">
        <v>176429338</v>
      </c>
      <c r="P239" s="76">
        <v>-3005142</v>
      </c>
      <c r="Q239" s="76">
        <v>-61161772</v>
      </c>
      <c r="R239" s="76">
        <v>87211098</v>
      </c>
      <c r="S239" s="76">
        <v>231282667</v>
      </c>
      <c r="T239" s="76">
        <v>-565439027</v>
      </c>
      <c r="U239" s="34">
        <f t="shared" si="151"/>
        <v>2</v>
      </c>
      <c r="V239" s="69">
        <f t="shared" si="151"/>
        <v>237</v>
      </c>
      <c r="W239" s="70" t="s">
        <v>271</v>
      </c>
      <c r="X239" s="71"/>
      <c r="Y239" s="114">
        <f t="shared" si="168"/>
        <v>-2811494</v>
      </c>
      <c r="Z239" s="111">
        <f t="shared" ca="1" si="169"/>
        <v>-168739221</v>
      </c>
      <c r="AA239" s="112">
        <f t="shared" ca="1" si="170"/>
        <v>-171550715</v>
      </c>
      <c r="AB239" s="216">
        <f t="shared" ca="1" si="122"/>
        <v>-0.1511379573770088</v>
      </c>
      <c r="AC239" s="76">
        <v>-28464009</v>
      </c>
      <c r="AD239" s="76">
        <v>-179238434</v>
      </c>
      <c r="AE239" s="76">
        <v>8870534</v>
      </c>
      <c r="AF239" s="76">
        <v>-5995094</v>
      </c>
      <c r="AG239" s="76">
        <v>-936335</v>
      </c>
      <c r="AH239" s="76">
        <v>-3418200</v>
      </c>
      <c r="AI239" s="76">
        <v>20339381</v>
      </c>
      <c r="AJ239" s="76">
        <v>220905</v>
      </c>
      <c r="AK239" s="76">
        <v>14349005</v>
      </c>
      <c r="AL239" s="76">
        <v>3027759</v>
      </c>
      <c r="AM239" s="76">
        <v>2505267</v>
      </c>
      <c r="AN239" s="76">
        <v>-2811494</v>
      </c>
    </row>
    <row r="240" spans="1:43" s="43" customFormat="1" ht="15" customHeight="1" outlineLevel="1" x14ac:dyDescent="0.15">
      <c r="A240" s="34">
        <v>2</v>
      </c>
      <c r="B240" s="85">
        <f t="shared" si="131"/>
        <v>238</v>
      </c>
      <c r="C240" s="70" t="s">
        <v>272</v>
      </c>
      <c r="D240" s="71"/>
      <c r="E240" s="114">
        <f t="shared" si="165"/>
        <v>100051285</v>
      </c>
      <c r="F240" s="111">
        <f t="shared" ca="1" si="166"/>
        <v>1618121566</v>
      </c>
      <c r="G240" s="112">
        <f t="shared" ca="1" si="167"/>
        <v>1718172851</v>
      </c>
      <c r="H240" s="216">
        <f t="shared" ca="1" si="137"/>
        <v>0.96671473083533821</v>
      </c>
      <c r="I240" s="76">
        <v>127871835</v>
      </c>
      <c r="J240" s="76">
        <v>216294922</v>
      </c>
      <c r="K240" s="76">
        <v>193516303</v>
      </c>
      <c r="L240" s="76">
        <v>116115801</v>
      </c>
      <c r="M240" s="76">
        <v>84869755</v>
      </c>
      <c r="N240" s="76">
        <v>105749197</v>
      </c>
      <c r="O240" s="76">
        <v>138893159</v>
      </c>
      <c r="P240" s="76">
        <v>169007319</v>
      </c>
      <c r="Q240" s="76">
        <v>117175773</v>
      </c>
      <c r="R240" s="76">
        <v>134283829</v>
      </c>
      <c r="S240" s="76">
        <v>214343673</v>
      </c>
      <c r="T240" s="76">
        <v>100051285</v>
      </c>
      <c r="U240" s="34">
        <f t="shared" si="151"/>
        <v>2</v>
      </c>
      <c r="V240" s="69">
        <f t="shared" si="151"/>
        <v>238</v>
      </c>
      <c r="W240" s="70" t="s">
        <v>272</v>
      </c>
      <c r="X240" s="71"/>
      <c r="Y240" s="114">
        <f t="shared" si="168"/>
        <v>107313274</v>
      </c>
      <c r="Z240" s="111">
        <f t="shared" ca="1" si="169"/>
        <v>1080717962</v>
      </c>
      <c r="AA240" s="112">
        <f t="shared" ca="1" si="170"/>
        <v>1188031236</v>
      </c>
      <c r="AB240" s="216">
        <f t="shared" ca="1" si="122"/>
        <v>1.0466678282811184</v>
      </c>
      <c r="AC240" s="76">
        <v>123145956</v>
      </c>
      <c r="AD240" s="76">
        <v>63952413</v>
      </c>
      <c r="AE240" s="76">
        <v>116528683</v>
      </c>
      <c r="AF240" s="76">
        <v>115488121</v>
      </c>
      <c r="AG240" s="76">
        <v>102324131</v>
      </c>
      <c r="AH240" s="76">
        <v>65979636</v>
      </c>
      <c r="AI240" s="76">
        <v>85071386</v>
      </c>
      <c r="AJ240" s="76">
        <v>98480021</v>
      </c>
      <c r="AK240" s="76">
        <v>148641114</v>
      </c>
      <c r="AL240" s="76">
        <v>80646107</v>
      </c>
      <c r="AM240" s="76">
        <v>80460394</v>
      </c>
      <c r="AN240" s="76">
        <v>107313274</v>
      </c>
    </row>
    <row r="241" spans="1:43" s="43" customFormat="1" ht="15" customHeight="1" outlineLevel="1" x14ac:dyDescent="0.15">
      <c r="A241" s="34">
        <v>2</v>
      </c>
      <c r="B241" s="85">
        <f t="shared" si="131"/>
        <v>239</v>
      </c>
      <c r="C241" s="70" t="s">
        <v>273</v>
      </c>
      <c r="D241" s="71"/>
      <c r="E241" s="114">
        <f t="shared" si="165"/>
        <v>3892627</v>
      </c>
      <c r="F241" s="111">
        <f t="shared" ca="1" si="166"/>
        <v>36184381</v>
      </c>
      <c r="G241" s="112">
        <f t="shared" ca="1" si="167"/>
        <v>40077008</v>
      </c>
      <c r="H241" s="216">
        <f t="shared" ca="1" si="137"/>
        <v>2.2548973450987032E-2</v>
      </c>
      <c r="I241" s="76">
        <v>2999098</v>
      </c>
      <c r="J241" s="76">
        <v>2862289</v>
      </c>
      <c r="K241" s="76">
        <v>5060706</v>
      </c>
      <c r="L241" s="76">
        <v>3045900</v>
      </c>
      <c r="M241" s="76">
        <v>3018502</v>
      </c>
      <c r="N241" s="76">
        <v>3114444</v>
      </c>
      <c r="O241" s="76">
        <v>3246771</v>
      </c>
      <c r="P241" s="76">
        <v>3003908</v>
      </c>
      <c r="Q241" s="76">
        <v>3082252</v>
      </c>
      <c r="R241" s="76">
        <v>3123607</v>
      </c>
      <c r="S241" s="76">
        <v>3626904</v>
      </c>
      <c r="T241" s="76">
        <v>3892627</v>
      </c>
      <c r="U241" s="34">
        <f t="shared" si="151"/>
        <v>2</v>
      </c>
      <c r="V241" s="69">
        <f t="shared" si="151"/>
        <v>239</v>
      </c>
      <c r="W241" s="70" t="s">
        <v>273</v>
      </c>
      <c r="X241" s="71"/>
      <c r="Y241" s="114">
        <f t="shared" si="168"/>
        <v>4655609</v>
      </c>
      <c r="Z241" s="111">
        <f t="shared" ca="1" si="169"/>
        <v>40391365</v>
      </c>
      <c r="AA241" s="112">
        <f t="shared" ca="1" si="170"/>
        <v>45046974</v>
      </c>
      <c r="AB241" s="216">
        <f t="shared" ca="1" si="122"/>
        <v>3.9686850832275598E-2</v>
      </c>
      <c r="AC241" s="76">
        <v>3344384</v>
      </c>
      <c r="AD241" s="76">
        <v>3315501</v>
      </c>
      <c r="AE241" s="76">
        <v>5287041</v>
      </c>
      <c r="AF241" s="76">
        <v>6359399</v>
      </c>
      <c r="AG241" s="76">
        <v>2979836</v>
      </c>
      <c r="AH241" s="76">
        <v>3220916</v>
      </c>
      <c r="AI241" s="76">
        <v>3838381</v>
      </c>
      <c r="AJ241" s="76">
        <v>3103361</v>
      </c>
      <c r="AK241" s="76">
        <v>3370490</v>
      </c>
      <c r="AL241" s="76">
        <v>2900922</v>
      </c>
      <c r="AM241" s="76">
        <v>2671134</v>
      </c>
      <c r="AN241" s="76">
        <v>4655609</v>
      </c>
    </row>
    <row r="242" spans="1:43" s="43" customFormat="1" ht="15" customHeight="1" outlineLevel="1" x14ac:dyDescent="0.15">
      <c r="A242" s="34">
        <v>2</v>
      </c>
      <c r="B242" s="85">
        <f t="shared" si="131"/>
        <v>240</v>
      </c>
      <c r="C242" s="70" t="s">
        <v>274</v>
      </c>
      <c r="D242" s="71"/>
      <c r="E242" s="114">
        <f t="shared" si="165"/>
        <v>0</v>
      </c>
      <c r="F242" s="111">
        <f t="shared" ca="1" si="166"/>
        <v>0</v>
      </c>
      <c r="G242" s="112">
        <f t="shared" ca="1" si="167"/>
        <v>0</v>
      </c>
      <c r="H242" s="216">
        <f t="shared" ca="1" si="137"/>
        <v>0</v>
      </c>
      <c r="I242" s="76"/>
      <c r="J242" s="76"/>
      <c r="L242" s="76"/>
      <c r="M242" s="76"/>
      <c r="N242" s="76"/>
      <c r="O242" s="76"/>
      <c r="P242" s="76"/>
      <c r="Q242" s="76"/>
      <c r="R242" s="76"/>
      <c r="S242" s="76"/>
      <c r="T242" s="76"/>
      <c r="U242" s="34">
        <f t="shared" si="151"/>
        <v>2</v>
      </c>
      <c r="V242" s="69">
        <f t="shared" si="151"/>
        <v>240</v>
      </c>
      <c r="W242" s="70" t="s">
        <v>274</v>
      </c>
      <c r="X242" s="71"/>
      <c r="Y242" s="114">
        <f t="shared" si="168"/>
        <v>0</v>
      </c>
      <c r="Z242" s="111">
        <f t="shared" ca="1" si="169"/>
        <v>0</v>
      </c>
      <c r="AA242" s="112">
        <f t="shared" ca="1" si="170"/>
        <v>0</v>
      </c>
      <c r="AB242" s="216">
        <f t="shared" ca="1" si="122"/>
        <v>0</v>
      </c>
      <c r="AC242" s="76"/>
      <c r="AD242" s="76"/>
      <c r="AE242" s="76"/>
      <c r="AF242" s="76"/>
      <c r="AG242" s="76"/>
      <c r="AH242" s="76"/>
      <c r="AI242" s="76"/>
      <c r="AJ242" s="76"/>
      <c r="AK242" s="76"/>
      <c r="AL242" s="76"/>
      <c r="AM242" s="76"/>
      <c r="AN242" s="76"/>
    </row>
    <row r="243" spans="1:43" s="43" customFormat="1" ht="15" customHeight="1" outlineLevel="1" x14ac:dyDescent="0.15">
      <c r="A243" s="34">
        <v>2</v>
      </c>
      <c r="B243" s="85">
        <f t="shared" si="131"/>
        <v>241</v>
      </c>
      <c r="C243" s="86" t="s">
        <v>275</v>
      </c>
      <c r="D243" s="110"/>
      <c r="E243" s="114">
        <f t="shared" si="165"/>
        <v>38926981</v>
      </c>
      <c r="F243" s="111">
        <f t="shared" ca="1" si="166"/>
        <v>194220967</v>
      </c>
      <c r="G243" s="112">
        <f t="shared" ca="1" si="167"/>
        <v>233147948</v>
      </c>
      <c r="H243" s="216">
        <f t="shared" ca="1" si="137"/>
        <v>0.131178627147119</v>
      </c>
      <c r="I243" s="76">
        <v>10476261</v>
      </c>
      <c r="J243" s="76">
        <v>15892315</v>
      </c>
      <c r="K243" s="76">
        <v>8993991</v>
      </c>
      <c r="L243" s="76">
        <v>11921875</v>
      </c>
      <c r="M243" s="76">
        <v>10208316</v>
      </c>
      <c r="N243" s="76">
        <v>7406846</v>
      </c>
      <c r="O243" s="76">
        <v>10020579</v>
      </c>
      <c r="P243" s="76">
        <v>86785515</v>
      </c>
      <c r="Q243" s="76">
        <v>6888645</v>
      </c>
      <c r="R243" s="76">
        <v>8219972</v>
      </c>
      <c r="S243" s="76">
        <v>17406652</v>
      </c>
      <c r="T243" s="76">
        <v>38926981</v>
      </c>
      <c r="U243" s="34">
        <f t="shared" si="151"/>
        <v>2</v>
      </c>
      <c r="V243" s="85">
        <f t="shared" si="151"/>
        <v>241</v>
      </c>
      <c r="W243" s="86" t="s">
        <v>275</v>
      </c>
      <c r="X243" s="110"/>
      <c r="Y243" s="114">
        <f t="shared" si="168"/>
        <v>8493955</v>
      </c>
      <c r="Z243" s="111">
        <f t="shared" ca="1" si="169"/>
        <v>125129894</v>
      </c>
      <c r="AA243" s="112">
        <f t="shared" ca="1" si="170"/>
        <v>133623849</v>
      </c>
      <c r="AB243" s="216">
        <f t="shared" ca="1" si="122"/>
        <v>0.11772399546521191</v>
      </c>
      <c r="AC243" s="76">
        <v>18238300</v>
      </c>
      <c r="AD243" s="76">
        <v>11298930</v>
      </c>
      <c r="AE243" s="76">
        <v>5364585</v>
      </c>
      <c r="AF243" s="76">
        <v>7776416</v>
      </c>
      <c r="AG243" s="76">
        <v>5352718</v>
      </c>
      <c r="AH243" s="76">
        <v>3688431</v>
      </c>
      <c r="AI243" s="76">
        <v>40900566</v>
      </c>
      <c r="AJ243" s="76">
        <v>8565589</v>
      </c>
      <c r="AK243" s="76">
        <v>8217364</v>
      </c>
      <c r="AL243" s="76">
        <v>6515161</v>
      </c>
      <c r="AM243" s="76">
        <v>9211834</v>
      </c>
      <c r="AN243" s="76">
        <v>8493955</v>
      </c>
    </row>
    <row r="244" spans="1:43" s="43" customFormat="1" ht="15" customHeight="1" outlineLevel="1" x14ac:dyDescent="0.15">
      <c r="A244" s="34">
        <v>2</v>
      </c>
      <c r="B244" s="85">
        <f t="shared" si="131"/>
        <v>242</v>
      </c>
      <c r="C244" s="70" t="s">
        <v>276</v>
      </c>
      <c r="D244" s="71"/>
      <c r="E244" s="114">
        <f t="shared" si="165"/>
        <v>141700000</v>
      </c>
      <c r="F244" s="111">
        <f t="shared" ca="1" si="166"/>
        <v>46351364</v>
      </c>
      <c r="G244" s="112">
        <f t="shared" ca="1" si="167"/>
        <v>188051364</v>
      </c>
      <c r="H244" s="216">
        <f t="shared" ca="1" si="137"/>
        <v>0.10580543373542002</v>
      </c>
      <c r="I244" s="76"/>
      <c r="J244" s="76">
        <v>100000</v>
      </c>
      <c r="K244" s="76">
        <v>537545</v>
      </c>
      <c r="L244" s="76">
        <v>232728</v>
      </c>
      <c r="M244" s="76">
        <v>300000</v>
      </c>
      <c r="N244" s="76">
        <v>1652000</v>
      </c>
      <c r="O244" s="76">
        <v>36443182</v>
      </c>
      <c r="P244" s="76"/>
      <c r="Q244" s="76">
        <v>6300000</v>
      </c>
      <c r="R244" s="76">
        <v>262909</v>
      </c>
      <c r="S244" s="76">
        <v>523000</v>
      </c>
      <c r="T244" s="76">
        <v>141700000</v>
      </c>
      <c r="U244" s="34">
        <f t="shared" si="151"/>
        <v>2</v>
      </c>
      <c r="V244" s="69">
        <f t="shared" si="151"/>
        <v>242</v>
      </c>
      <c r="W244" s="70" t="s">
        <v>276</v>
      </c>
      <c r="X244" s="71"/>
      <c r="Y244" s="114">
        <f t="shared" si="168"/>
        <v>229091</v>
      </c>
      <c r="Z244" s="111">
        <f t="shared" ca="1" si="169"/>
        <v>98746000</v>
      </c>
      <c r="AA244" s="112">
        <f t="shared" ca="1" si="170"/>
        <v>98975091</v>
      </c>
      <c r="AB244" s="216">
        <f t="shared" ca="1" si="122"/>
        <v>8.7198080666370692E-2</v>
      </c>
      <c r="AC244" s="76">
        <v>248000</v>
      </c>
      <c r="AD244" s="76"/>
      <c r="AE244" s="76">
        <v>820000</v>
      </c>
      <c r="AF244" s="76"/>
      <c r="AG244" s="76"/>
      <c r="AH244" s="76">
        <v>2040000</v>
      </c>
      <c r="AI244" s="76">
        <v>3988000</v>
      </c>
      <c r="AJ244" s="76">
        <v>82894000</v>
      </c>
      <c r="AK244" s="76"/>
      <c r="AL244" s="76">
        <v>8756000</v>
      </c>
      <c r="AM244" s="76"/>
      <c r="AN244" s="76">
        <v>229091</v>
      </c>
    </row>
    <row r="245" spans="1:43" s="43" customFormat="1" ht="15" customHeight="1" outlineLevel="1" x14ac:dyDescent="0.15">
      <c r="A245" s="34">
        <v>2</v>
      </c>
      <c r="B245" s="85">
        <f t="shared" si="131"/>
        <v>243</v>
      </c>
      <c r="C245" s="70" t="s">
        <v>277</v>
      </c>
      <c r="D245" s="71"/>
      <c r="E245" s="114">
        <f t="shared" si="165"/>
        <v>3325339</v>
      </c>
      <c r="F245" s="111">
        <f t="shared" ca="1" si="166"/>
        <v>13915084</v>
      </c>
      <c r="G245" s="112">
        <f t="shared" ca="1" si="167"/>
        <v>17240423</v>
      </c>
      <c r="H245" s="216">
        <f t="shared" ca="1" si="137"/>
        <v>9.7001712430924529E-3</v>
      </c>
      <c r="I245" s="76">
        <v>794319</v>
      </c>
      <c r="J245" s="76">
        <v>732989</v>
      </c>
      <c r="K245" s="76">
        <v>732989</v>
      </c>
      <c r="L245" s="76">
        <v>732989</v>
      </c>
      <c r="M245" s="76">
        <v>732989</v>
      </c>
      <c r="N245" s="76">
        <v>2671019</v>
      </c>
      <c r="O245" s="76">
        <v>1366322</v>
      </c>
      <c r="P245" s="76">
        <v>1191242</v>
      </c>
      <c r="Q245" s="76">
        <v>1191242</v>
      </c>
      <c r="R245" s="76">
        <v>1884492</v>
      </c>
      <c r="S245" s="76">
        <v>1884492</v>
      </c>
      <c r="T245" s="76">
        <v>3325339</v>
      </c>
      <c r="U245" s="34">
        <f t="shared" si="151"/>
        <v>2</v>
      </c>
      <c r="V245" s="69">
        <f t="shared" si="151"/>
        <v>243</v>
      </c>
      <c r="W245" s="70" t="s">
        <v>277</v>
      </c>
      <c r="X245" s="71"/>
      <c r="Y245" s="114">
        <f t="shared" si="168"/>
        <v>12849023</v>
      </c>
      <c r="Z245" s="111">
        <f t="shared" ca="1" si="169"/>
        <v>3597199</v>
      </c>
      <c r="AA245" s="112">
        <f t="shared" ca="1" si="170"/>
        <v>16446222</v>
      </c>
      <c r="AB245" s="216">
        <f t="shared" ca="1" si="122"/>
        <v>1.4489291983707702E-2</v>
      </c>
      <c r="AC245" s="76">
        <v>235540</v>
      </c>
      <c r="AD245" s="76">
        <v>235540</v>
      </c>
      <c r="AE245" s="76">
        <v>235540</v>
      </c>
      <c r="AF245" s="76">
        <v>235990</v>
      </c>
      <c r="AG245" s="76">
        <v>235990</v>
      </c>
      <c r="AH245" s="76">
        <v>235990</v>
      </c>
      <c r="AI245" s="76">
        <v>236430</v>
      </c>
      <c r="AJ245" s="76">
        <v>236430</v>
      </c>
      <c r="AK245" s="76">
        <v>678980</v>
      </c>
      <c r="AL245" s="76">
        <v>236430</v>
      </c>
      <c r="AM245" s="76">
        <v>794339</v>
      </c>
      <c r="AN245" s="76">
        <v>12849023</v>
      </c>
    </row>
    <row r="246" spans="1:43" s="43" customFormat="1" ht="15" customHeight="1" outlineLevel="1" x14ac:dyDescent="0.15">
      <c r="A246" s="34">
        <v>2</v>
      </c>
      <c r="B246" s="85">
        <f t="shared" si="131"/>
        <v>244</v>
      </c>
      <c r="C246" s="70" t="s">
        <v>278</v>
      </c>
      <c r="D246" s="71"/>
      <c r="E246" s="114">
        <f t="shared" si="165"/>
        <v>114605218</v>
      </c>
      <c r="F246" s="111">
        <f t="shared" ca="1" si="166"/>
        <v>958752663</v>
      </c>
      <c r="G246" s="112">
        <f t="shared" ca="1" si="167"/>
        <v>1073357881</v>
      </c>
      <c r="H246" s="216">
        <f t="shared" ca="1" si="137"/>
        <v>0.60391530131382809</v>
      </c>
      <c r="I246" s="76">
        <v>67941994</v>
      </c>
      <c r="J246" s="76">
        <v>66129737</v>
      </c>
      <c r="K246" s="76">
        <v>80736810</v>
      </c>
      <c r="L246" s="76">
        <v>91351706</v>
      </c>
      <c r="M246" s="76">
        <v>78040398</v>
      </c>
      <c r="N246" s="76">
        <v>89575505</v>
      </c>
      <c r="O246" s="76">
        <v>102136690</v>
      </c>
      <c r="P246" s="76">
        <v>87227048</v>
      </c>
      <c r="Q246" s="76">
        <v>93045593</v>
      </c>
      <c r="R246" s="76">
        <v>102694111</v>
      </c>
      <c r="S246" s="76">
        <v>99873071</v>
      </c>
      <c r="T246" s="76">
        <v>114605218</v>
      </c>
      <c r="U246" s="34">
        <f t="shared" si="151"/>
        <v>2</v>
      </c>
      <c r="V246" s="69">
        <f t="shared" si="151"/>
        <v>244</v>
      </c>
      <c r="W246" s="70" t="s">
        <v>278</v>
      </c>
      <c r="X246" s="71"/>
      <c r="Y246" s="114">
        <f t="shared" si="168"/>
        <v>57262578</v>
      </c>
      <c r="Z246" s="111">
        <f t="shared" ca="1" si="169"/>
        <v>668414022</v>
      </c>
      <c r="AA246" s="112">
        <f t="shared" ca="1" si="170"/>
        <v>725676600</v>
      </c>
      <c r="AB246" s="216">
        <f t="shared" ca="1" si="122"/>
        <v>0.63932860344121956</v>
      </c>
      <c r="AC246" s="76">
        <v>64810908</v>
      </c>
      <c r="AD246" s="76">
        <v>54611719</v>
      </c>
      <c r="AE246" s="76">
        <v>50780250</v>
      </c>
      <c r="AF246" s="76">
        <v>60942555</v>
      </c>
      <c r="AG246" s="76">
        <v>63284628</v>
      </c>
      <c r="AH246" s="76">
        <v>58108251</v>
      </c>
      <c r="AI246" s="76">
        <v>54325134</v>
      </c>
      <c r="AJ246" s="76">
        <v>63521607</v>
      </c>
      <c r="AK246" s="76">
        <v>64923451</v>
      </c>
      <c r="AL246" s="76">
        <v>65947066</v>
      </c>
      <c r="AM246" s="76">
        <v>67158453</v>
      </c>
      <c r="AN246" s="76">
        <v>57262578</v>
      </c>
    </row>
    <row r="247" spans="1:43" s="43" customFormat="1" ht="15" customHeight="1" outlineLevel="1" x14ac:dyDescent="0.15">
      <c r="A247" s="34">
        <v>2</v>
      </c>
      <c r="B247" s="85">
        <f t="shared" si="131"/>
        <v>245</v>
      </c>
      <c r="C247" s="70" t="s">
        <v>279</v>
      </c>
      <c r="D247" s="71"/>
      <c r="E247" s="114">
        <f t="shared" si="165"/>
        <v>7854214</v>
      </c>
      <c r="F247" s="111">
        <f t="shared" ca="1" si="166"/>
        <v>70409510</v>
      </c>
      <c r="G247" s="112">
        <f t="shared" ca="1" si="167"/>
        <v>78263724</v>
      </c>
      <c r="H247" s="216">
        <f t="shared" ca="1" si="137"/>
        <v>4.4034390857006507E-2</v>
      </c>
      <c r="I247" s="76">
        <v>5077388</v>
      </c>
      <c r="J247" s="76">
        <v>5145469</v>
      </c>
      <c r="K247" s="76">
        <v>5290880</v>
      </c>
      <c r="L247" s="76">
        <v>5265735</v>
      </c>
      <c r="M247" s="76">
        <v>8233561</v>
      </c>
      <c r="N247" s="76">
        <v>6469904</v>
      </c>
      <c r="O247" s="76">
        <v>6412758</v>
      </c>
      <c r="P247" s="76">
        <v>6751192</v>
      </c>
      <c r="Q247" s="76">
        <v>7657740</v>
      </c>
      <c r="R247" s="76">
        <v>7381031</v>
      </c>
      <c r="S247" s="76">
        <v>6723852</v>
      </c>
      <c r="T247" s="76">
        <v>7854214</v>
      </c>
      <c r="U247" s="34">
        <f t="shared" si="151"/>
        <v>2</v>
      </c>
      <c r="V247" s="69">
        <f t="shared" si="151"/>
        <v>245</v>
      </c>
      <c r="W247" s="70" t="s">
        <v>279</v>
      </c>
      <c r="X247" s="71"/>
      <c r="Y247" s="114">
        <f t="shared" si="168"/>
        <v>5069170</v>
      </c>
      <c r="Z247" s="111">
        <f t="shared" ca="1" si="169"/>
        <v>61400703</v>
      </c>
      <c r="AA247" s="112">
        <f t="shared" ca="1" si="170"/>
        <v>66469873</v>
      </c>
      <c r="AB247" s="216">
        <f t="shared" ca="1" si="122"/>
        <v>5.856064681706042E-2</v>
      </c>
      <c r="AC247" s="76">
        <v>6875060</v>
      </c>
      <c r="AD247" s="76">
        <v>4755040</v>
      </c>
      <c r="AE247" s="76">
        <v>5250052</v>
      </c>
      <c r="AF247" s="76">
        <v>4985631</v>
      </c>
      <c r="AG247" s="76">
        <v>5713371</v>
      </c>
      <c r="AH247" s="76">
        <v>5979359</v>
      </c>
      <c r="AI247" s="76">
        <v>5656580</v>
      </c>
      <c r="AJ247" s="76">
        <v>5766336</v>
      </c>
      <c r="AK247" s="76">
        <v>6173914</v>
      </c>
      <c r="AL247" s="76">
        <v>5247530</v>
      </c>
      <c r="AM247" s="76">
        <v>4997830</v>
      </c>
      <c r="AN247" s="76">
        <v>5069170</v>
      </c>
    </row>
    <row r="248" spans="1:43" s="43" customFormat="1" ht="15" customHeight="1" outlineLevel="1" x14ac:dyDescent="0.15">
      <c r="A248" s="34">
        <v>2</v>
      </c>
      <c r="B248" s="85">
        <f t="shared" si="131"/>
        <v>246</v>
      </c>
      <c r="C248" s="70" t="s">
        <v>280</v>
      </c>
      <c r="D248" s="71"/>
      <c r="E248" s="114">
        <f t="shared" si="165"/>
        <v>520024836</v>
      </c>
      <c r="F248" s="111">
        <f t="shared" ca="1" si="166"/>
        <v>3711909883</v>
      </c>
      <c r="G248" s="112">
        <f t="shared" ca="1" si="167"/>
        <v>4231934719</v>
      </c>
      <c r="H248" s="216">
        <f t="shared" ca="1" si="137"/>
        <v>2.3810605728112555</v>
      </c>
      <c r="I248" s="76">
        <v>291026825</v>
      </c>
      <c r="J248" s="76">
        <v>514569528</v>
      </c>
      <c r="K248" s="76">
        <v>217052715</v>
      </c>
      <c r="L248" s="76">
        <v>206628227</v>
      </c>
      <c r="M248" s="76">
        <v>387918347</v>
      </c>
      <c r="N248" s="76">
        <v>556463971</v>
      </c>
      <c r="O248" s="76">
        <v>405966168</v>
      </c>
      <c r="P248" s="76">
        <v>355291896</v>
      </c>
      <c r="Q248" s="76">
        <v>193935532</v>
      </c>
      <c r="R248" s="76">
        <v>379236858</v>
      </c>
      <c r="S248" s="76">
        <v>203819816</v>
      </c>
      <c r="T248" s="76">
        <v>520024836</v>
      </c>
      <c r="U248" s="34">
        <f t="shared" si="151"/>
        <v>2</v>
      </c>
      <c r="V248" s="69">
        <f t="shared" si="151"/>
        <v>246</v>
      </c>
      <c r="W248" s="70" t="s">
        <v>280</v>
      </c>
      <c r="X248" s="71"/>
      <c r="Y248" s="114">
        <f t="shared" si="168"/>
        <v>710848402</v>
      </c>
      <c r="Z248" s="111">
        <f t="shared" ca="1" si="169"/>
        <v>3660718988</v>
      </c>
      <c r="AA248" s="112">
        <f t="shared" ca="1" si="170"/>
        <v>4371567390</v>
      </c>
      <c r="AB248" s="216">
        <f t="shared" ca="1" si="122"/>
        <v>3.8513961650380861</v>
      </c>
      <c r="AC248" s="76">
        <v>237898435</v>
      </c>
      <c r="AD248" s="76">
        <v>271640328</v>
      </c>
      <c r="AE248" s="76">
        <v>230994713</v>
      </c>
      <c r="AF248" s="76">
        <v>674240437</v>
      </c>
      <c r="AG248" s="76">
        <v>176980981</v>
      </c>
      <c r="AH248" s="76">
        <v>368112666</v>
      </c>
      <c r="AI248" s="76">
        <v>283311440</v>
      </c>
      <c r="AJ248" s="76">
        <v>306596254</v>
      </c>
      <c r="AK248" s="76">
        <v>402065701</v>
      </c>
      <c r="AL248" s="76">
        <v>351545138</v>
      </c>
      <c r="AM248" s="76">
        <v>357332895</v>
      </c>
      <c r="AN248" s="76">
        <v>710848402</v>
      </c>
    </row>
    <row r="249" spans="1:43" s="43" customFormat="1" ht="15" customHeight="1" outlineLevel="1" x14ac:dyDescent="0.15">
      <c r="A249" s="34">
        <v>2</v>
      </c>
      <c r="B249" s="85">
        <f t="shared" si="131"/>
        <v>247</v>
      </c>
      <c r="C249" s="70" t="s">
        <v>281</v>
      </c>
      <c r="D249" s="71"/>
      <c r="E249" s="114">
        <f t="shared" si="165"/>
        <v>227105504</v>
      </c>
      <c r="F249" s="111">
        <f t="shared" ca="1" si="166"/>
        <v>2573841887</v>
      </c>
      <c r="G249" s="112">
        <f t="shared" ca="1" si="167"/>
        <v>2800947391</v>
      </c>
      <c r="H249" s="216">
        <f t="shared" ca="1" si="137"/>
        <v>1.5759282318997063</v>
      </c>
      <c r="I249" s="76">
        <v>188226541</v>
      </c>
      <c r="J249" s="76">
        <v>181128129</v>
      </c>
      <c r="K249" s="76">
        <v>176564645</v>
      </c>
      <c r="L249" s="76">
        <v>243307181</v>
      </c>
      <c r="M249" s="76">
        <v>193727728</v>
      </c>
      <c r="N249" s="76">
        <v>190489524</v>
      </c>
      <c r="O249" s="43">
        <v>490532669</v>
      </c>
      <c r="P249" s="76">
        <v>267582876</v>
      </c>
      <c r="Q249" s="76">
        <v>287388547</v>
      </c>
      <c r="R249" s="76">
        <v>148048736</v>
      </c>
      <c r="S249" s="76">
        <v>206845311</v>
      </c>
      <c r="T249" s="76">
        <v>227105504</v>
      </c>
      <c r="U249" s="34">
        <f t="shared" si="151"/>
        <v>2</v>
      </c>
      <c r="V249" s="69">
        <f t="shared" si="151"/>
        <v>247</v>
      </c>
      <c r="W249" s="70" t="s">
        <v>281</v>
      </c>
      <c r="X249" s="71"/>
      <c r="Y249" s="114">
        <f t="shared" si="168"/>
        <v>164071855</v>
      </c>
      <c r="Z249" s="111">
        <f t="shared" ca="1" si="169"/>
        <v>2019222768</v>
      </c>
      <c r="AA249" s="112">
        <f t="shared" ca="1" si="170"/>
        <v>2183294623</v>
      </c>
      <c r="AB249" s="216">
        <f t="shared" ca="1" si="122"/>
        <v>1.9235051842974045</v>
      </c>
      <c r="AC249" s="76">
        <v>161102625</v>
      </c>
      <c r="AD249" s="76">
        <v>132460349</v>
      </c>
      <c r="AE249" s="76">
        <v>133950194</v>
      </c>
      <c r="AF249" s="76">
        <v>141744674</v>
      </c>
      <c r="AG249" s="76">
        <v>170997358</v>
      </c>
      <c r="AH249" s="76">
        <v>260302797</v>
      </c>
      <c r="AI249" s="76">
        <v>321441331</v>
      </c>
      <c r="AJ249" s="76">
        <v>220959343</v>
      </c>
      <c r="AK249" s="76">
        <v>149657974</v>
      </c>
      <c r="AL249" s="76">
        <v>150836309</v>
      </c>
      <c r="AM249" s="76">
        <v>175769814</v>
      </c>
      <c r="AN249" s="76">
        <v>164071855</v>
      </c>
    </row>
    <row r="250" spans="1:43" s="43" customFormat="1" ht="15" customHeight="1" outlineLevel="1" x14ac:dyDescent="0.15">
      <c r="A250" s="34">
        <v>2</v>
      </c>
      <c r="B250" s="85">
        <f t="shared" si="131"/>
        <v>248</v>
      </c>
      <c r="C250" s="70" t="s">
        <v>282</v>
      </c>
      <c r="D250" s="71"/>
      <c r="E250" s="114">
        <f t="shared" si="165"/>
        <v>34133190</v>
      </c>
      <c r="F250" s="111">
        <f t="shared" ca="1" si="166"/>
        <v>99221070</v>
      </c>
      <c r="G250" s="112">
        <f t="shared" ca="1" si="167"/>
        <v>133354260</v>
      </c>
      <c r="H250" s="216">
        <f t="shared" ca="1" si="137"/>
        <v>7.5030592810621535E-2</v>
      </c>
      <c r="I250" s="76">
        <v>10824567</v>
      </c>
      <c r="J250" s="76">
        <v>6136568</v>
      </c>
      <c r="K250" s="76">
        <v>6538852</v>
      </c>
      <c r="L250" s="76">
        <v>912648</v>
      </c>
      <c r="M250" s="76">
        <v>4720228</v>
      </c>
      <c r="N250" s="76">
        <v>538358</v>
      </c>
      <c r="O250" s="76">
        <v>15672208</v>
      </c>
      <c r="P250" s="76">
        <v>6150893</v>
      </c>
      <c r="Q250" s="76">
        <v>18726089</v>
      </c>
      <c r="R250" s="76">
        <v>-774952</v>
      </c>
      <c r="S250" s="76">
        <v>29775611</v>
      </c>
      <c r="T250" s="76">
        <v>34133190</v>
      </c>
      <c r="U250" s="34">
        <f t="shared" si="151"/>
        <v>2</v>
      </c>
      <c r="V250" s="69">
        <f t="shared" si="151"/>
        <v>248</v>
      </c>
      <c r="W250" s="70" t="s">
        <v>282</v>
      </c>
      <c r="X250" s="71"/>
      <c r="Y250" s="114">
        <f t="shared" si="168"/>
        <v>26890028</v>
      </c>
      <c r="Z250" s="111">
        <f t="shared" ca="1" si="169"/>
        <v>35418954</v>
      </c>
      <c r="AA250" s="112">
        <f t="shared" ca="1" si="170"/>
        <v>62308982</v>
      </c>
      <c r="AB250" s="216">
        <f t="shared" ca="1" si="122"/>
        <v>5.489485873446117E-2</v>
      </c>
      <c r="AC250" s="76">
        <v>3155233</v>
      </c>
      <c r="AD250" s="76">
        <v>803477</v>
      </c>
      <c r="AE250" s="76">
        <v>3472970</v>
      </c>
      <c r="AF250" s="76">
        <v>1930097</v>
      </c>
      <c r="AG250" s="76">
        <v>4876188</v>
      </c>
      <c r="AH250" s="76">
        <v>767174</v>
      </c>
      <c r="AI250" s="76">
        <v>1115259</v>
      </c>
      <c r="AJ250" s="76">
        <v>10485018</v>
      </c>
      <c r="AK250" s="76">
        <v>5382988</v>
      </c>
      <c r="AL250" s="76">
        <v>2057640</v>
      </c>
      <c r="AM250" s="76">
        <v>1372910</v>
      </c>
      <c r="AN250" s="76">
        <v>26890028</v>
      </c>
    </row>
    <row r="251" spans="1:43" s="43" customFormat="1" ht="15" customHeight="1" outlineLevel="1" x14ac:dyDescent="0.15">
      <c r="A251" s="34">
        <v>2</v>
      </c>
      <c r="B251" s="85">
        <f t="shared" si="131"/>
        <v>249</v>
      </c>
      <c r="C251" s="70" t="s">
        <v>283</v>
      </c>
      <c r="D251" s="71"/>
      <c r="E251" s="114">
        <f t="shared" si="165"/>
        <v>-7334302</v>
      </c>
      <c r="F251" s="111">
        <f t="shared" ca="1" si="166"/>
        <v>369538663</v>
      </c>
      <c r="G251" s="112">
        <f t="shared" ca="1" si="167"/>
        <v>362204361</v>
      </c>
      <c r="H251" s="216">
        <f t="shared" ca="1" si="137"/>
        <v>0.20379107442403691</v>
      </c>
      <c r="I251" s="76">
        <v>15898760</v>
      </c>
      <c r="J251" s="76">
        <v>12155068</v>
      </c>
      <c r="K251" s="76">
        <v>53315616</v>
      </c>
      <c r="L251" s="76">
        <v>29292844</v>
      </c>
      <c r="M251" s="76">
        <v>104814104</v>
      </c>
      <c r="N251" s="76">
        <v>-20258508</v>
      </c>
      <c r="O251" s="76">
        <v>54782692</v>
      </c>
      <c r="P251" s="76">
        <v>-9355287</v>
      </c>
      <c r="Q251" s="76">
        <v>60382648</v>
      </c>
      <c r="R251" s="76">
        <v>-8509011</v>
      </c>
      <c r="S251" s="76">
        <v>77019737</v>
      </c>
      <c r="T251" s="76">
        <v>-7334302</v>
      </c>
      <c r="U251" s="34">
        <f t="shared" si="151"/>
        <v>2</v>
      </c>
      <c r="V251" s="69">
        <f t="shared" si="151"/>
        <v>249</v>
      </c>
      <c r="W251" s="70" t="s">
        <v>283</v>
      </c>
      <c r="X251" s="71"/>
      <c r="Y251" s="114">
        <f t="shared" si="168"/>
        <v>22317704</v>
      </c>
      <c r="Z251" s="111">
        <f t="shared" ca="1" si="169"/>
        <v>401446948</v>
      </c>
      <c r="AA251" s="112">
        <f t="shared" ca="1" si="170"/>
        <v>423764652</v>
      </c>
      <c r="AB251" s="216">
        <f t="shared" ca="1" si="122"/>
        <v>0.3733410490994396</v>
      </c>
      <c r="AC251" s="76">
        <v>838126</v>
      </c>
      <c r="AD251" s="76">
        <v>-25397525</v>
      </c>
      <c r="AE251" s="76">
        <v>67949028</v>
      </c>
      <c r="AF251" s="76">
        <v>106156011</v>
      </c>
      <c r="AG251" s="76">
        <v>87146456</v>
      </c>
      <c r="AH251" s="76">
        <v>-30318679</v>
      </c>
      <c r="AI251" s="76">
        <v>12208465</v>
      </c>
      <c r="AJ251" s="76">
        <v>64806674</v>
      </c>
      <c r="AK251" s="76">
        <v>52668371</v>
      </c>
      <c r="AL251" s="76">
        <v>2271203</v>
      </c>
      <c r="AM251" s="76">
        <v>63118818</v>
      </c>
      <c r="AN251" s="76">
        <v>22317704</v>
      </c>
    </row>
    <row r="252" spans="1:43" s="43" customFormat="1" ht="15" customHeight="1" outlineLevel="1" x14ac:dyDescent="0.15">
      <c r="A252" s="34">
        <v>2</v>
      </c>
      <c r="B252" s="85">
        <f t="shared" si="131"/>
        <v>250</v>
      </c>
      <c r="C252" s="78" t="s">
        <v>284</v>
      </c>
      <c r="D252" s="79"/>
      <c r="E252" s="118">
        <f t="shared" si="165"/>
        <v>945939284</v>
      </c>
      <c r="F252" s="142">
        <f t="shared" ca="1" si="166"/>
        <v>7567027984</v>
      </c>
      <c r="G252" s="143">
        <f t="shared" ca="1" si="167"/>
        <v>8512967268</v>
      </c>
      <c r="H252" s="221">
        <f t="shared" ca="1" si="137"/>
        <v>4.7897456046432811</v>
      </c>
      <c r="I252" s="76">
        <v>322735161</v>
      </c>
      <c r="J252" s="76">
        <v>499734229</v>
      </c>
      <c r="K252" s="76">
        <v>1201453985</v>
      </c>
      <c r="L252" s="76">
        <v>555284988</v>
      </c>
      <c r="M252" s="76">
        <v>504419002</v>
      </c>
      <c r="N252" s="76">
        <v>719140775</v>
      </c>
      <c r="O252" s="76">
        <v>1215541272</v>
      </c>
      <c r="P252" s="76">
        <v>599500997</v>
      </c>
      <c r="Q252" s="76">
        <v>528111452</v>
      </c>
      <c r="R252" s="76">
        <v>566346087</v>
      </c>
      <c r="S252" s="76">
        <v>854760036</v>
      </c>
      <c r="T252" s="76">
        <v>945939284</v>
      </c>
      <c r="U252" s="34">
        <f t="shared" si="151"/>
        <v>2</v>
      </c>
      <c r="V252" s="77">
        <f t="shared" si="151"/>
        <v>250</v>
      </c>
      <c r="W252" s="78" t="s">
        <v>284</v>
      </c>
      <c r="X252" s="79"/>
      <c r="Y252" s="118">
        <f t="shared" si="168"/>
        <v>747831641</v>
      </c>
      <c r="Z252" s="142">
        <f t="shared" ca="1" si="169"/>
        <v>4582296534</v>
      </c>
      <c r="AA252" s="143">
        <f t="shared" ca="1" si="170"/>
        <v>5330128175</v>
      </c>
      <c r="AB252" s="221">
        <f t="shared" ca="1" si="122"/>
        <v>4.6958981484113531</v>
      </c>
      <c r="AC252" s="76">
        <v>104797603</v>
      </c>
      <c r="AD252" s="76">
        <v>390334569</v>
      </c>
      <c r="AE252" s="76">
        <v>405148105</v>
      </c>
      <c r="AF252" s="76">
        <v>469865579</v>
      </c>
      <c r="AG252" s="76">
        <v>485833225</v>
      </c>
      <c r="AH252" s="76">
        <v>473820423</v>
      </c>
      <c r="AI252" s="76">
        <v>368133292</v>
      </c>
      <c r="AJ252" s="76">
        <v>517987531</v>
      </c>
      <c r="AK252" s="76">
        <v>450936744</v>
      </c>
      <c r="AL252" s="76">
        <v>485766443</v>
      </c>
      <c r="AM252" s="76">
        <v>429673020</v>
      </c>
      <c r="AN252" s="76">
        <v>747831641</v>
      </c>
    </row>
    <row r="253" spans="1:43" s="158" customFormat="1" ht="15" customHeight="1" x14ac:dyDescent="0.15">
      <c r="A253" s="34">
        <v>2</v>
      </c>
      <c r="B253" s="85">
        <f t="shared" si="131"/>
        <v>251</v>
      </c>
      <c r="C253" s="251" t="s">
        <v>285</v>
      </c>
      <c r="D253" s="252"/>
      <c r="E253" s="250">
        <f>E227-E228</f>
        <v>3563862388</v>
      </c>
      <c r="F253" s="253">
        <f ca="1">F227-F228</f>
        <v>-57169654151</v>
      </c>
      <c r="G253" s="254">
        <f ca="1">G227-G228</f>
        <v>28316317934</v>
      </c>
      <c r="H253" s="255">
        <f t="shared" ca="1" si="137"/>
        <v>15.931925390325393</v>
      </c>
      <c r="I253" s="250">
        <f t="shared" ref="I253:T253" si="171">I227-I228</f>
        <v>1823403381</v>
      </c>
      <c r="J253" s="250">
        <f t="shared" si="171"/>
        <v>1655517825</v>
      </c>
      <c r="K253" s="250">
        <f t="shared" si="171"/>
        <v>8839352501.6514549</v>
      </c>
      <c r="L253" s="250">
        <f t="shared" si="171"/>
        <v>2658246182.3485451</v>
      </c>
      <c r="M253" s="250">
        <f t="shared" si="171"/>
        <v>2617560273</v>
      </c>
      <c r="N253" s="250">
        <f t="shared" si="171"/>
        <v>1257014045</v>
      </c>
      <c r="O253" s="250">
        <f t="shared" si="171"/>
        <v>2284661074</v>
      </c>
      <c r="P253" s="250">
        <f t="shared" si="171"/>
        <v>1528815644</v>
      </c>
      <c r="Q253" s="250">
        <f t="shared" si="171"/>
        <v>782640405</v>
      </c>
      <c r="R253" s="250">
        <f t="shared" si="171"/>
        <v>585649804</v>
      </c>
      <c r="S253" s="250">
        <f t="shared" si="171"/>
        <v>719594411</v>
      </c>
      <c r="T253" s="250">
        <f t="shared" si="171"/>
        <v>3563862388</v>
      </c>
      <c r="U253" s="34">
        <f t="shared" si="151"/>
        <v>2</v>
      </c>
      <c r="V253" s="256">
        <f t="shared" si="151"/>
        <v>251</v>
      </c>
      <c r="W253" s="251" t="s">
        <v>285</v>
      </c>
      <c r="X253" s="252"/>
      <c r="Y253" s="250">
        <f>Y227-Y228</f>
        <v>-330526305</v>
      </c>
      <c r="Z253" s="253">
        <f ca="1">Z227-Z228</f>
        <v>18506254513</v>
      </c>
      <c r="AA253" s="254">
        <f ca="1">AA227-AA228</f>
        <v>18175728208</v>
      </c>
      <c r="AB253" s="255">
        <f t="shared" ca="1" si="122"/>
        <v>16.013004872622076</v>
      </c>
      <c r="AC253" s="250">
        <f t="shared" ref="AC253:AN253" si="172">AC227-AC228</f>
        <v>2149051443</v>
      </c>
      <c r="AD253" s="250">
        <f t="shared" si="172"/>
        <v>1191035073</v>
      </c>
      <c r="AE253" s="250">
        <f t="shared" si="172"/>
        <v>2598764312</v>
      </c>
      <c r="AF253" s="250">
        <f t="shared" si="172"/>
        <v>861259335</v>
      </c>
      <c r="AG253" s="250">
        <f t="shared" si="172"/>
        <v>1725774650</v>
      </c>
      <c r="AH253" s="250">
        <f t="shared" si="172"/>
        <v>2516176490</v>
      </c>
      <c r="AI253" s="250">
        <f t="shared" si="172"/>
        <v>1774683782</v>
      </c>
      <c r="AJ253" s="250">
        <f t="shared" si="172"/>
        <v>860063046</v>
      </c>
      <c r="AK253" s="250">
        <f t="shared" si="172"/>
        <v>1295595878</v>
      </c>
      <c r="AL253" s="250">
        <f t="shared" si="172"/>
        <v>2153655975</v>
      </c>
      <c r="AM253" s="250">
        <f t="shared" si="172"/>
        <v>1380194529</v>
      </c>
      <c r="AN253" s="250">
        <f t="shared" si="172"/>
        <v>-330526305</v>
      </c>
      <c r="AO253" s="52"/>
      <c r="AQ253" s="52"/>
    </row>
    <row r="254" spans="1:43" s="52" customFormat="1" ht="15" customHeight="1" collapsed="1" x14ac:dyDescent="0.15">
      <c r="A254" s="34">
        <v>2</v>
      </c>
      <c r="B254" s="85">
        <f t="shared" si="131"/>
        <v>252</v>
      </c>
      <c r="C254" s="223" t="s">
        <v>286</v>
      </c>
      <c r="D254" s="224"/>
      <c r="E254" s="225">
        <f>SUM(E255:E262)</f>
        <v>2859285120</v>
      </c>
      <c r="F254" s="226">
        <f ca="1">SUM(F255:F262)</f>
        <v>9676238973</v>
      </c>
      <c r="G254" s="227">
        <f ca="1">SUM(G255:G262)</f>
        <v>13065264093</v>
      </c>
      <c r="H254" s="211">
        <f t="shared" ca="1" si="137"/>
        <v>7.3510550778439141</v>
      </c>
      <c r="I254" s="225">
        <f t="shared" ref="I254:T254" si="173">SUM(I255:I262)</f>
        <v>1611990612</v>
      </c>
      <c r="J254" s="225">
        <f t="shared" si="173"/>
        <v>10281695</v>
      </c>
      <c r="K254" s="225">
        <f t="shared" si="173"/>
        <v>-606202109</v>
      </c>
      <c r="L254" s="225">
        <f t="shared" si="173"/>
        <v>1194879725</v>
      </c>
      <c r="M254" s="225">
        <f t="shared" si="173"/>
        <v>2513041467</v>
      </c>
      <c r="N254" s="225">
        <f>SUM(N255:N262)</f>
        <v>1440913034</v>
      </c>
      <c r="O254" s="225">
        <f t="shared" si="173"/>
        <v>-29377960</v>
      </c>
      <c r="P254" s="225">
        <f t="shared" si="173"/>
        <v>153998259</v>
      </c>
      <c r="Q254" s="225">
        <f t="shared" si="173"/>
        <v>3747165540</v>
      </c>
      <c r="R254" s="225">
        <f t="shared" si="173"/>
        <v>223371706</v>
      </c>
      <c r="S254" s="225">
        <f t="shared" si="173"/>
        <v>-54082996</v>
      </c>
      <c r="T254" s="225">
        <f t="shared" si="173"/>
        <v>2859285120</v>
      </c>
      <c r="U254" s="34">
        <f t="shared" si="151"/>
        <v>2</v>
      </c>
      <c r="V254" s="228">
        <f t="shared" si="151"/>
        <v>252</v>
      </c>
      <c r="W254" s="223" t="s">
        <v>286</v>
      </c>
      <c r="X254" s="224"/>
      <c r="Y254" s="225">
        <f>SUM(Y255:Y262)</f>
        <v>226728595</v>
      </c>
      <c r="Z254" s="226">
        <f ca="1">SUM(Z255:Z262)</f>
        <v>8629839133</v>
      </c>
      <c r="AA254" s="227">
        <f ca="1">SUM(AA255:AA262)</f>
        <v>16829462700</v>
      </c>
      <c r="AB254" s="211">
        <f t="shared" ca="1" si="122"/>
        <v>14.826931011220557</v>
      </c>
      <c r="AC254" s="225">
        <f t="shared" ref="AC254:AN254" si="174">SUM(AC255:AC262)</f>
        <v>1712945437</v>
      </c>
      <c r="AD254" s="225">
        <f t="shared" si="174"/>
        <v>274652955</v>
      </c>
      <c r="AE254" s="225">
        <f t="shared" si="174"/>
        <v>662672479</v>
      </c>
      <c r="AF254" s="225">
        <f t="shared" si="174"/>
        <v>1267587949</v>
      </c>
      <c r="AG254" s="225">
        <f t="shared" si="174"/>
        <v>84386960</v>
      </c>
      <c r="AH254" s="225">
        <f t="shared" si="174"/>
        <v>6775194605</v>
      </c>
      <c r="AI254" s="225">
        <f t="shared" si="174"/>
        <v>96940544</v>
      </c>
      <c r="AJ254" s="225">
        <f t="shared" si="174"/>
        <v>551928105</v>
      </c>
      <c r="AK254" s="225">
        <f t="shared" si="174"/>
        <v>-870448116</v>
      </c>
      <c r="AL254" s="225">
        <f t="shared" si="174"/>
        <v>2635804257</v>
      </c>
      <c r="AM254" s="225">
        <f t="shared" si="174"/>
        <v>523503415</v>
      </c>
      <c r="AN254" s="225">
        <f t="shared" si="174"/>
        <v>3114294110</v>
      </c>
    </row>
    <row r="255" spans="1:43" s="43" customFormat="1" ht="15" customHeight="1" outlineLevel="1" x14ac:dyDescent="0.15">
      <c r="A255" s="34">
        <v>2</v>
      </c>
      <c r="B255" s="85">
        <f t="shared" si="131"/>
        <v>253</v>
      </c>
      <c r="C255" s="62" t="s">
        <v>287</v>
      </c>
      <c r="D255" s="63"/>
      <c r="E255" s="229">
        <f t="shared" ref="E255:E260" si="175">HLOOKUP($A$1,$I$3:$T$365,B255,0)</f>
        <v>-3173355825</v>
      </c>
      <c r="F255" s="230">
        <f ca="1">IF($F$3&gt;0,SUM(OFFSET(I255,,,,MATCH($F$3,$I$3:$T$3,0))),SUM(AC255:AN255))</f>
        <v>6375149405</v>
      </c>
      <c r="G255" s="231">
        <f t="shared" ref="G255:G262" ca="1" si="176">SUM(OFFSET(I255,,,,MATCH($A$1,$I$3:$T$3,0)))</f>
        <v>3201793580</v>
      </c>
      <c r="H255" s="244">
        <f t="shared" ca="1" si="137"/>
        <v>1.8014607884640672</v>
      </c>
      <c r="I255" s="76">
        <v>220707018</v>
      </c>
      <c r="J255" s="68">
        <v>227596914</v>
      </c>
      <c r="K255" s="68">
        <v>233599452</v>
      </c>
      <c r="L255" s="68">
        <v>213599840</v>
      </c>
      <c r="M255" s="68">
        <v>225508950</v>
      </c>
      <c r="N255" s="68">
        <v>221889691</v>
      </c>
      <c r="O255" s="68">
        <v>227776269</v>
      </c>
      <c r="P255" s="68">
        <v>227488270</v>
      </c>
      <c r="Q255" s="68">
        <v>3879458093</v>
      </c>
      <c r="R255" s="68">
        <v>385161165</v>
      </c>
      <c r="S255" s="68">
        <v>312363743</v>
      </c>
      <c r="T255" s="68">
        <v>-3173355825</v>
      </c>
      <c r="U255" s="34">
        <f t="shared" si="151"/>
        <v>2</v>
      </c>
      <c r="V255" s="61">
        <f t="shared" si="151"/>
        <v>253</v>
      </c>
      <c r="W255" s="62" t="s">
        <v>287</v>
      </c>
      <c r="X255" s="63"/>
      <c r="Y255" s="229">
        <f>HLOOKUP($U$1,$AC$3:$AN$365,V255,0)</f>
        <v>226728595</v>
      </c>
      <c r="Z255" s="230">
        <f ca="1">IF($Z$3&gt;0,SUM(OFFSET(AC255,,,,MATCH($Z$3,$AC$3:$AN$3,0))),)</f>
        <v>1931799331</v>
      </c>
      <c r="AA255" s="231">
        <f ca="1">SUM(OFFSET(AC255,,,,MATCH($U$1,$AC$3:$AN$3,0)))</f>
        <v>2158527926</v>
      </c>
      <c r="AB255" s="244">
        <f t="shared" ca="1" si="122"/>
        <v>1.9016854676290402</v>
      </c>
      <c r="AC255" s="68">
        <v>188528824</v>
      </c>
      <c r="AD255" s="68">
        <v>146941027</v>
      </c>
      <c r="AE255" s="68">
        <v>151116209</v>
      </c>
      <c r="AF255" s="68">
        <v>145565210</v>
      </c>
      <c r="AG255" s="68">
        <v>151817710</v>
      </c>
      <c r="AH255" s="68">
        <v>153510933</v>
      </c>
      <c r="AI255" s="68">
        <v>167846956</v>
      </c>
      <c r="AJ255" s="68">
        <v>168497850</v>
      </c>
      <c r="AK255" s="68">
        <v>180475015</v>
      </c>
      <c r="AL255" s="68">
        <v>278942682</v>
      </c>
      <c r="AM255" s="68">
        <v>198556915</v>
      </c>
      <c r="AN255" s="68">
        <v>226728595</v>
      </c>
    </row>
    <row r="256" spans="1:43" s="43" customFormat="1" ht="15" customHeight="1" outlineLevel="1" x14ac:dyDescent="0.15">
      <c r="A256" s="34">
        <v>2</v>
      </c>
      <c r="B256" s="85">
        <f t="shared" si="131"/>
        <v>254</v>
      </c>
      <c r="C256" s="70" t="s">
        <v>234</v>
      </c>
      <c r="D256" s="71"/>
      <c r="E256" s="235">
        <f t="shared" si="175"/>
        <v>5273767412</v>
      </c>
      <c r="F256" s="236">
        <f ca="1">IF($F$3&gt;0,SUM(OFFSET(I256,,,,MATCH($F$3,$I$3:$T$3,0))),SUM(AC256:AN256))</f>
        <v>23616000</v>
      </c>
      <c r="G256" s="237">
        <f t="shared" ca="1" si="176"/>
        <v>5297383412</v>
      </c>
      <c r="H256" s="216">
        <f t="shared" ca="1" si="137"/>
        <v>2.9805258395758258</v>
      </c>
      <c r="I256" s="76"/>
      <c r="J256" s="76"/>
      <c r="K256" s="76">
        <v>23616000</v>
      </c>
      <c r="L256" s="76"/>
      <c r="M256" s="76"/>
      <c r="N256" s="76"/>
      <c r="O256" s="76"/>
      <c r="P256" s="76"/>
      <c r="Q256" s="76"/>
      <c r="R256" s="76"/>
      <c r="S256" s="76"/>
      <c r="T256" s="76">
        <v>5273767412</v>
      </c>
      <c r="U256" s="34">
        <f t="shared" si="151"/>
        <v>2</v>
      </c>
      <c r="V256" s="69">
        <f t="shared" si="151"/>
        <v>254</v>
      </c>
      <c r="W256" s="70" t="s">
        <v>234</v>
      </c>
      <c r="X256" s="71"/>
      <c r="Y256" s="235">
        <f>HLOOKUP($U$1,$AC$3:$AN$365,V256,0)</f>
        <v>0</v>
      </c>
      <c r="Z256" s="236">
        <f ca="1">IF($Z$3&gt;0,SUM(OFFSET(AC256,,,,MATCH($Z$3,$AC$3:$AN$3,0))),)</f>
        <v>23616000</v>
      </c>
      <c r="AA256" s="237">
        <f ca="1">SUM(OFFSET(AC256,,,,MATCH($U$1,$AC$3:$AN$3,0)))</f>
        <v>23616000</v>
      </c>
      <c r="AB256" s="216">
        <f t="shared" ca="1" si="122"/>
        <v>2.0805940688824527E-2</v>
      </c>
      <c r="AC256" s="76"/>
      <c r="AD256" s="76"/>
      <c r="AE256" s="76">
        <v>23616000</v>
      </c>
      <c r="AF256" s="76"/>
      <c r="AG256" s="76"/>
      <c r="AH256" s="76"/>
      <c r="AI256" s="76"/>
      <c r="AJ256" s="76"/>
      <c r="AK256" s="76"/>
      <c r="AL256" s="76"/>
      <c r="AM256" s="76"/>
      <c r="AN256" s="76"/>
    </row>
    <row r="257" spans="1:40" s="43" customFormat="1" ht="15" customHeight="1" outlineLevel="1" x14ac:dyDescent="0.15">
      <c r="A257" s="34">
        <v>2</v>
      </c>
      <c r="B257" s="85">
        <f t="shared" si="131"/>
        <v>255</v>
      </c>
      <c r="C257" s="70" t="s">
        <v>288</v>
      </c>
      <c r="D257" s="71"/>
      <c r="E257" s="235">
        <f t="shared" si="175"/>
        <v>510392669</v>
      </c>
      <c r="F257" s="236">
        <f ca="1">IF($F$3&gt;0,SUM(OFFSET(I257,,,,MATCH($F$3,$I$3:$T$3,0))),SUM(AC257:AN257))</f>
        <v>457177189</v>
      </c>
      <c r="G257" s="237">
        <f t="shared" ca="1" si="176"/>
        <v>967569858</v>
      </c>
      <c r="H257" s="216">
        <f t="shared" ca="1" si="137"/>
        <v>0.54439460750206936</v>
      </c>
      <c r="I257" s="76">
        <v>94225073</v>
      </c>
      <c r="J257" s="76">
        <v>25811471</v>
      </c>
      <c r="K257" s="76">
        <v>30192172</v>
      </c>
      <c r="L257" s="76">
        <v>27807678</v>
      </c>
      <c r="M257" s="76">
        <v>87305225</v>
      </c>
      <c r="N257" s="76">
        <v>94632838</v>
      </c>
      <c r="O257" s="76">
        <v>35734069</v>
      </c>
      <c r="P257" s="115">
        <v>2593801</v>
      </c>
      <c r="Q257" s="76">
        <v>30520727</v>
      </c>
      <c r="R257" s="76">
        <v>15574239</v>
      </c>
      <c r="S257" s="76">
        <v>12779896</v>
      </c>
      <c r="T257" s="76">
        <v>510392669</v>
      </c>
      <c r="U257" s="34">
        <f t="shared" si="151"/>
        <v>2</v>
      </c>
      <c r="V257" s="69">
        <f t="shared" si="151"/>
        <v>255</v>
      </c>
      <c r="W257" s="70" t="s">
        <v>288</v>
      </c>
      <c r="X257" s="71"/>
      <c r="Y257" s="235"/>
      <c r="Z257" s="236">
        <f ca="1">IF($Z$3&gt;0,SUM(OFFSET(AC257,,,,MATCH($Z$3,$AC$3:$AN$3,0))),)</f>
        <v>6508668197</v>
      </c>
      <c r="AA257" s="237">
        <f ca="1">SUM(OFFSET(AC257,,,,MATCH($U$1,$AC$3:$AN$3,0)))</f>
        <v>6613264737</v>
      </c>
      <c r="AB257" s="216">
        <f t="shared" ca="1" si="122"/>
        <v>5.8263547542986416</v>
      </c>
      <c r="AC257" s="76">
        <v>4839479</v>
      </c>
      <c r="AD257" s="76">
        <v>24477275</v>
      </c>
      <c r="AE257" s="76">
        <v>70849112</v>
      </c>
      <c r="AF257" s="76">
        <v>67003527</v>
      </c>
      <c r="AG257" s="76">
        <v>26202221</v>
      </c>
      <c r="AH257" s="76">
        <v>4459167240</v>
      </c>
      <c r="AI257" s="76">
        <v>15782707</v>
      </c>
      <c r="AJ257" s="76">
        <v>23094745</v>
      </c>
      <c r="AK257" s="76">
        <v>1738881909</v>
      </c>
      <c r="AL257" s="76">
        <v>49995506</v>
      </c>
      <c r="AM257" s="76">
        <v>28374476</v>
      </c>
      <c r="AN257" s="76">
        <v>104596540</v>
      </c>
    </row>
    <row r="258" spans="1:40" s="43" customFormat="1" ht="15" customHeight="1" outlineLevel="1" x14ac:dyDescent="0.15">
      <c r="A258" s="34">
        <v>2</v>
      </c>
      <c r="B258" s="85">
        <f t="shared" si="131"/>
        <v>256</v>
      </c>
      <c r="C258" s="70" t="s">
        <v>289</v>
      </c>
      <c r="D258" s="71"/>
      <c r="E258" s="235">
        <f t="shared" si="175"/>
        <v>248480864</v>
      </c>
      <c r="F258" s="236">
        <f ca="1">IF($F$3&gt;0,SUM(OFFSET(I258,,,,MATCH($F$3,$I$3:$T$3,0))),SUM(AC258:AN258))</f>
        <v>2807313465</v>
      </c>
      <c r="G258" s="237">
        <f t="shared" ca="1" si="176"/>
        <v>3055794329</v>
      </c>
      <c r="H258" s="216">
        <f t="shared" ca="1" si="137"/>
        <v>1.7193156035075703</v>
      </c>
      <c r="I258" s="76">
        <v>1297058521</v>
      </c>
      <c r="J258" s="76">
        <v>-243126690</v>
      </c>
      <c r="K258" s="76">
        <v>-906592647</v>
      </c>
      <c r="L258" s="76">
        <v>953472207</v>
      </c>
      <c r="M258" s="76">
        <v>2200227292</v>
      </c>
      <c r="N258" s="76">
        <v>594650505</v>
      </c>
      <c r="O258" s="76">
        <v>-292888298</v>
      </c>
      <c r="P258" s="76">
        <v>-76083812</v>
      </c>
      <c r="Q258" s="76">
        <v>-162813280</v>
      </c>
      <c r="R258" s="76">
        <v>-177363698</v>
      </c>
      <c r="S258" s="76">
        <v>-379226635</v>
      </c>
      <c r="T258" s="76">
        <v>248480864</v>
      </c>
      <c r="U258" s="34">
        <f t="shared" si="151"/>
        <v>2</v>
      </c>
      <c r="V258" s="69">
        <f t="shared" si="151"/>
        <v>256</v>
      </c>
      <c r="W258" s="70" t="s">
        <v>289</v>
      </c>
      <c r="X258" s="71"/>
      <c r="Y258" s="235"/>
      <c r="Z258" s="236">
        <f ca="1">IF($Z$3&gt;0,SUM(OFFSET(AC258,,,,MATCH($Z$3,$AC$3:$AN$3,0))),)</f>
        <v>165755605</v>
      </c>
      <c r="AA258" s="237">
        <f ca="1">SUM(OFFSET(AC258,,,,MATCH($U$1,$AC$3:$AN$3,0)))</f>
        <v>433704580</v>
      </c>
      <c r="AB258" s="216">
        <f t="shared" ref="AB258:AB321" ca="1" si="177">IF(ISERROR(AA258/$AA$194*100),"",(AA258/$AA$194*100))</f>
        <v>0.38209822865648507</v>
      </c>
      <c r="AC258" s="76">
        <v>143497134</v>
      </c>
      <c r="AD258" s="76">
        <v>-10325347</v>
      </c>
      <c r="AE258" s="76">
        <v>-10428842</v>
      </c>
      <c r="AF258" s="76">
        <v>66419096</v>
      </c>
      <c r="AG258" s="76">
        <v>-20152971</v>
      </c>
      <c r="AH258" s="76">
        <v>-18832909</v>
      </c>
      <c r="AI258" s="76">
        <v>22950881</v>
      </c>
      <c r="AJ258" s="76">
        <v>981975510</v>
      </c>
      <c r="AK258" s="76">
        <v>-1084445040</v>
      </c>
      <c r="AL258" s="76">
        <v>122286069</v>
      </c>
      <c r="AM258" s="76">
        <v>-27187976</v>
      </c>
      <c r="AN258" s="76">
        <v>267948975</v>
      </c>
    </row>
    <row r="259" spans="1:40" s="43" customFormat="1" ht="15" customHeight="1" outlineLevel="1" x14ac:dyDescent="0.15">
      <c r="A259" s="34">
        <v>2</v>
      </c>
      <c r="B259" s="85">
        <f t="shared" si="131"/>
        <v>257</v>
      </c>
      <c r="C259" s="70" t="s">
        <v>290</v>
      </c>
      <c r="D259" s="71"/>
      <c r="E259" s="235">
        <f t="shared" si="175"/>
        <v>0</v>
      </c>
      <c r="F259" s="236">
        <f t="shared" ref="F259:F260" ca="1" si="178">IF($F$3&gt;0,SUM(OFFSET(I259,,,,MATCH($F$3,$I$3:$T$3,0))),SUM(AC259:AN259))</f>
        <v>1600938</v>
      </c>
      <c r="G259" s="237">
        <f t="shared" ca="1" si="176"/>
        <v>1600938</v>
      </c>
      <c r="H259" s="216">
        <f t="shared" ca="1" si="137"/>
        <v>9.0075358067339458E-4</v>
      </c>
      <c r="I259" s="76"/>
      <c r="J259" s="76"/>
      <c r="K259" s="76">
        <v>1600938</v>
      </c>
      <c r="L259" s="76"/>
      <c r="M259" s="76"/>
      <c r="N259" s="76"/>
      <c r="O259" s="76"/>
      <c r="P259" s="76"/>
      <c r="Q259" s="76"/>
      <c r="R259" s="76"/>
      <c r="S259" s="76"/>
      <c r="T259" s="76"/>
      <c r="U259" s="34">
        <f t="shared" si="151"/>
        <v>2</v>
      </c>
      <c r="V259" s="69">
        <f t="shared" si="151"/>
        <v>257</v>
      </c>
      <c r="W259" s="70" t="s">
        <v>291</v>
      </c>
      <c r="X259" s="71"/>
      <c r="Y259" s="235"/>
      <c r="Z259" s="236"/>
      <c r="AA259" s="237">
        <f t="shared" ref="AA259:AA261" ca="1" si="179">SUM(OFFSET(AC259,,,,MATCH($U$1,$AC$3:$AN$3,0)))</f>
        <v>0</v>
      </c>
      <c r="AB259" s="216">
        <f t="shared" ca="1" si="177"/>
        <v>0</v>
      </c>
      <c r="AC259" s="76"/>
      <c r="AD259" s="76"/>
      <c r="AE259" s="76"/>
      <c r="AF259" s="76"/>
      <c r="AG259" s="76"/>
      <c r="AH259" s="76"/>
      <c r="AI259" s="76"/>
      <c r="AJ259" s="76"/>
      <c r="AK259" s="76"/>
      <c r="AL259" s="76"/>
      <c r="AM259" s="76"/>
      <c r="AN259" s="76"/>
    </row>
    <row r="260" spans="1:40" s="43" customFormat="1" ht="15" customHeight="1" outlineLevel="1" x14ac:dyDescent="0.15">
      <c r="A260" s="34">
        <v>2</v>
      </c>
      <c r="B260" s="85">
        <f t="shared" si="131"/>
        <v>258</v>
      </c>
      <c r="C260" s="70" t="s">
        <v>292</v>
      </c>
      <c r="D260" s="71"/>
      <c r="E260" s="235">
        <f t="shared" si="175"/>
        <v>0</v>
      </c>
      <c r="F260" s="236">
        <f t="shared" ca="1" si="178"/>
        <v>11381976</v>
      </c>
      <c r="G260" s="237">
        <f t="shared" ca="1" si="176"/>
        <v>11381976</v>
      </c>
      <c r="H260" s="216">
        <f t="shared" ca="1" si="137"/>
        <v>6.4039679470027202E-3</v>
      </c>
      <c r="I260" s="76"/>
      <c r="J260" s="76"/>
      <c r="K260" s="76">
        <v>11381976</v>
      </c>
      <c r="L260" s="76"/>
      <c r="M260" s="76"/>
      <c r="N260" s="76"/>
      <c r="O260" s="76"/>
      <c r="P260" s="76"/>
      <c r="Q260" s="76"/>
      <c r="R260" s="76"/>
      <c r="S260" s="76"/>
      <c r="T260" s="76"/>
      <c r="U260" s="34">
        <f t="shared" si="151"/>
        <v>2</v>
      </c>
      <c r="V260" s="69">
        <f t="shared" si="151"/>
        <v>258</v>
      </c>
      <c r="W260" s="70" t="s">
        <v>293</v>
      </c>
      <c r="X260" s="71"/>
      <c r="Y260" s="235"/>
      <c r="Z260" s="236"/>
      <c r="AA260" s="237">
        <f t="shared" ca="1" si="179"/>
        <v>0</v>
      </c>
      <c r="AB260" s="216">
        <f t="shared" ca="1" si="177"/>
        <v>0</v>
      </c>
      <c r="AC260" s="76"/>
      <c r="AD260" s="76"/>
      <c r="AE260" s="76"/>
      <c r="AF260" s="76"/>
      <c r="AG260" s="76"/>
      <c r="AH260" s="76"/>
      <c r="AI260" s="76"/>
      <c r="AJ260" s="76"/>
      <c r="AK260" s="76"/>
      <c r="AL260" s="76"/>
      <c r="AM260" s="76"/>
      <c r="AN260" s="76"/>
    </row>
    <row r="261" spans="1:40" s="43" customFormat="1" ht="15" customHeight="1" outlineLevel="1" x14ac:dyDescent="0.15">
      <c r="A261" s="34">
        <v>2</v>
      </c>
      <c r="B261" s="85">
        <f t="shared" si="131"/>
        <v>259</v>
      </c>
      <c r="C261" s="70" t="s">
        <v>294</v>
      </c>
      <c r="D261" s="71"/>
      <c r="E261" s="235"/>
      <c r="F261" s="236"/>
      <c r="G261" s="237">
        <f t="shared" ca="1" si="176"/>
        <v>529740000</v>
      </c>
      <c r="H261" s="216">
        <f t="shared" ca="1" si="137"/>
        <v>0.29805351726670487</v>
      </c>
      <c r="I261" s="76"/>
      <c r="J261" s="76"/>
      <c r="K261" s="76"/>
      <c r="L261" s="76"/>
      <c r="M261" s="76"/>
      <c r="N261" s="76">
        <v>529740000</v>
      </c>
      <c r="O261" s="76"/>
      <c r="P261" s="76"/>
      <c r="Q261" s="76"/>
      <c r="R261" s="76"/>
      <c r="S261" s="76"/>
      <c r="T261" s="76"/>
      <c r="U261" s="34">
        <f t="shared" si="151"/>
        <v>2</v>
      </c>
      <c r="V261" s="69">
        <f t="shared" si="151"/>
        <v>259</v>
      </c>
      <c r="W261" s="70" t="s">
        <v>295</v>
      </c>
      <c r="X261" s="71"/>
      <c r="Y261" s="235"/>
      <c r="Z261" s="236"/>
      <c r="AA261" s="237">
        <f t="shared" ca="1" si="179"/>
        <v>1680309457</v>
      </c>
      <c r="AB261" s="216">
        <f t="shared" ca="1" si="177"/>
        <v>1.4803700415486511</v>
      </c>
      <c r="AC261" s="76"/>
      <c r="AD261" s="76"/>
      <c r="AE261" s="76"/>
      <c r="AF261" s="76"/>
      <c r="AG261" s="76"/>
      <c r="AH261" s="76">
        <v>1680309457</v>
      </c>
      <c r="AI261" s="76"/>
      <c r="AJ261" s="76"/>
      <c r="AK261" s="76"/>
      <c r="AL261" s="76"/>
      <c r="AM261" s="76"/>
      <c r="AN261" s="76"/>
    </row>
    <row r="262" spans="1:40" s="43" customFormat="1" ht="15" customHeight="1" outlineLevel="1" x14ac:dyDescent="0.15">
      <c r="A262" s="34">
        <v>2</v>
      </c>
      <c r="B262" s="85">
        <f t="shared" ref="B262:B325" si="180">B261+1</f>
        <v>260</v>
      </c>
      <c r="C262" s="78" t="s">
        <v>296</v>
      </c>
      <c r="D262" s="79"/>
      <c r="E262" s="241">
        <f>HLOOKUP($A$1,$I$3:$T$365,B262,0)</f>
        <v>0</v>
      </c>
      <c r="F262" s="242">
        <f ca="1">IF($F$3&gt;0,SUM(OFFSET(I262,,,,MATCH($F$3,$I$3:$T$3,0))),SUM(AC262:AN262))</f>
        <v>0</v>
      </c>
      <c r="G262" s="243">
        <f t="shared" ca="1" si="176"/>
        <v>0</v>
      </c>
      <c r="H262" s="221">
        <f t="shared" ca="1" si="137"/>
        <v>0</v>
      </c>
      <c r="I262" s="84"/>
      <c r="J262" s="84"/>
      <c r="K262" s="84"/>
      <c r="L262" s="84"/>
      <c r="M262" s="84"/>
      <c r="O262" s="84"/>
      <c r="P262" s="84"/>
      <c r="Q262" s="84"/>
      <c r="R262" s="76"/>
      <c r="S262" s="76"/>
      <c r="T262" s="84"/>
      <c r="U262" s="34">
        <f t="shared" si="151"/>
        <v>2</v>
      </c>
      <c r="V262" s="77">
        <f t="shared" si="151"/>
        <v>260</v>
      </c>
      <c r="W262" s="78" t="s">
        <v>296</v>
      </c>
      <c r="X262" s="79"/>
      <c r="Y262" s="241"/>
      <c r="Z262" s="242"/>
      <c r="AA262" s="243">
        <f ca="1">SUM(OFFSET(AC262,,,,MATCH($U$1,$AC$3:$AN$3,0)))</f>
        <v>5920040000</v>
      </c>
      <c r="AB262" s="221">
        <f t="shared" ca="1" si="177"/>
        <v>5.2156165783989143</v>
      </c>
      <c r="AC262" s="84">
        <v>1376080000</v>
      </c>
      <c r="AD262" s="84">
        <v>113560000</v>
      </c>
      <c r="AE262" s="84">
        <v>427520000</v>
      </c>
      <c r="AF262" s="84">
        <v>988600116</v>
      </c>
      <c r="AG262" s="84">
        <v>-73480000</v>
      </c>
      <c r="AH262" s="84">
        <v>501039884</v>
      </c>
      <c r="AI262" s="84">
        <v>-109640000</v>
      </c>
      <c r="AJ262" s="84">
        <v>-621640000</v>
      </c>
      <c r="AK262" s="84">
        <v>-1705360000</v>
      </c>
      <c r="AL262" s="84">
        <v>2184580000</v>
      </c>
      <c r="AM262" s="84">
        <v>323760000</v>
      </c>
      <c r="AN262" s="84">
        <v>2515020000</v>
      </c>
    </row>
    <row r="263" spans="1:40" s="52" customFormat="1" ht="15" customHeight="1" x14ac:dyDescent="0.15">
      <c r="A263" s="34">
        <v>2</v>
      </c>
      <c r="B263" s="85">
        <f t="shared" si="180"/>
        <v>261</v>
      </c>
      <c r="C263" s="223" t="s">
        <v>297</v>
      </c>
      <c r="D263" s="224"/>
      <c r="E263" s="225">
        <f>SUM(E264:E279)</f>
        <v>1698704</v>
      </c>
      <c r="F263" s="226">
        <f ca="1">SUM(F264:F279)</f>
        <v>69232748</v>
      </c>
      <c r="G263" s="227">
        <f ca="1">SUM(G264:G279)</f>
        <v>70931452</v>
      </c>
      <c r="H263" s="211">
        <f t="shared" ca="1" si="137"/>
        <v>3.9908952983415354E-2</v>
      </c>
      <c r="I263" s="225">
        <f t="shared" ref="I263:T263" si="181">SUM(I264:I279)</f>
        <v>727047</v>
      </c>
      <c r="J263" s="225">
        <f t="shared" si="181"/>
        <v>1403380</v>
      </c>
      <c r="K263" s="225">
        <f t="shared" si="181"/>
        <v>1288029</v>
      </c>
      <c r="L263" s="225">
        <f t="shared" si="181"/>
        <v>1293647</v>
      </c>
      <c r="M263" s="225">
        <f>SUM(M264:M279)</f>
        <v>1717837</v>
      </c>
      <c r="N263" s="225">
        <f t="shared" si="181"/>
        <v>20887148</v>
      </c>
      <c r="O263" s="225">
        <f t="shared" si="181"/>
        <v>1287567</v>
      </c>
      <c r="P263" s="225">
        <f t="shared" si="181"/>
        <v>29722335</v>
      </c>
      <c r="Q263" s="225">
        <f t="shared" si="181"/>
        <v>1287883</v>
      </c>
      <c r="R263" s="225">
        <f t="shared" si="181"/>
        <v>2331804</v>
      </c>
      <c r="S263" s="225">
        <f t="shared" si="181"/>
        <v>7286071</v>
      </c>
      <c r="T263" s="225">
        <f t="shared" si="181"/>
        <v>1698704</v>
      </c>
      <c r="U263" s="34">
        <f t="shared" si="151"/>
        <v>2</v>
      </c>
      <c r="V263" s="228">
        <f t="shared" si="151"/>
        <v>261</v>
      </c>
      <c r="W263" s="223" t="s">
        <v>297</v>
      </c>
      <c r="X263" s="224"/>
      <c r="Y263" s="225">
        <f>SUM(Y264:Y279)</f>
        <v>2489502881</v>
      </c>
      <c r="Z263" s="226">
        <f ca="1">SUM(Z264:Z279)</f>
        <v>210097190</v>
      </c>
      <c r="AA263" s="227">
        <f ca="1">SUM(AA264:AA279)</f>
        <v>2701363855</v>
      </c>
      <c r="AB263" s="211">
        <f t="shared" ca="1" si="177"/>
        <v>2.3799295454803682</v>
      </c>
      <c r="AC263" s="225">
        <f t="shared" ref="AC263:AN263" si="182">SUM(AC264:AC279)</f>
        <v>1389074</v>
      </c>
      <c r="AD263" s="225">
        <f t="shared" si="182"/>
        <v>6766085</v>
      </c>
      <c r="AE263" s="225">
        <f t="shared" si="182"/>
        <v>260532</v>
      </c>
      <c r="AF263" s="225">
        <f t="shared" si="182"/>
        <v>240</v>
      </c>
      <c r="AG263" s="225">
        <f t="shared" si="182"/>
        <v>14603</v>
      </c>
      <c r="AH263" s="225">
        <f t="shared" si="182"/>
        <v>75215</v>
      </c>
      <c r="AI263" s="225">
        <f t="shared" si="182"/>
        <v>200000200</v>
      </c>
      <c r="AJ263" s="225">
        <f t="shared" si="182"/>
        <v>2936775</v>
      </c>
      <c r="AK263" s="225">
        <f t="shared" si="182"/>
        <v>226866</v>
      </c>
      <c r="AL263" s="225">
        <f t="shared" si="182"/>
        <v>192531</v>
      </c>
      <c r="AM263" s="225">
        <f t="shared" si="182"/>
        <v>4786</v>
      </c>
      <c r="AN263" s="225">
        <f t="shared" si="182"/>
        <v>2489496948</v>
      </c>
    </row>
    <row r="264" spans="1:40" s="43" customFormat="1" ht="15" customHeight="1" outlineLevel="1" x14ac:dyDescent="0.15">
      <c r="A264" s="34">
        <v>2</v>
      </c>
      <c r="B264" s="85">
        <f t="shared" si="180"/>
        <v>262</v>
      </c>
      <c r="C264" s="62" t="s">
        <v>298</v>
      </c>
      <c r="D264" s="63"/>
      <c r="E264" s="229">
        <f t="shared" ref="E264:E279" si="183">HLOOKUP($A$1,$I$3:$T$365,B264,0)</f>
        <v>0</v>
      </c>
      <c r="F264" s="230">
        <f t="shared" ref="F264:F279" ca="1" si="184">IF($F$3&gt;0,SUM(OFFSET(I264,,,,MATCH($F$3,$I$3:$T$3,0))),SUM(AC264:AN264))</f>
        <v>0</v>
      </c>
      <c r="G264" s="231">
        <f t="shared" ref="G264:G279" ca="1" si="185">SUM(OFFSET(I264,,,,MATCH($A$1,$I$3:$T$3,0)))</f>
        <v>0</v>
      </c>
      <c r="H264" s="244">
        <f t="shared" ca="1" si="137"/>
        <v>0</v>
      </c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34">
        <f t="shared" si="151"/>
        <v>2</v>
      </c>
      <c r="V264" s="61">
        <f t="shared" si="151"/>
        <v>262</v>
      </c>
      <c r="W264" s="62" t="s">
        <v>298</v>
      </c>
      <c r="X264" s="63"/>
      <c r="Y264" s="229">
        <f t="shared" ref="Y264:Y277" si="186">HLOOKUP($U$1,$AC$3:$AN$365,V264,0)</f>
        <v>0</v>
      </c>
      <c r="Z264" s="230">
        <f t="shared" ref="Z264:Z277" ca="1" si="187">IF($Z$3&gt;0,SUM(OFFSET(AC264,,,,MATCH($Z$3,$AC$3:$AN$3,0))),)</f>
        <v>0</v>
      </c>
      <c r="AA264" s="231">
        <f t="shared" ref="AA264:AA279" ca="1" si="188">SUM(OFFSET(AC264,,,,MATCH($U$1,$AC$3:$AN$3,0)))</f>
        <v>0</v>
      </c>
      <c r="AB264" s="244">
        <f t="shared" ca="1" si="177"/>
        <v>0</v>
      </c>
      <c r="AC264" s="68"/>
      <c r="AD264" s="68"/>
      <c r="AE264" s="68"/>
      <c r="AF264" s="68"/>
      <c r="AG264" s="68"/>
      <c r="AH264" s="68"/>
      <c r="AI264" s="68"/>
      <c r="AJ264" s="68"/>
      <c r="AK264" s="68"/>
      <c r="AL264" s="68"/>
      <c r="AM264" s="68"/>
      <c r="AN264" s="68"/>
    </row>
    <row r="265" spans="1:40" s="43" customFormat="1" ht="15" customHeight="1" outlineLevel="1" x14ac:dyDescent="0.15">
      <c r="A265" s="34">
        <v>2</v>
      </c>
      <c r="B265" s="85">
        <f t="shared" si="180"/>
        <v>263</v>
      </c>
      <c r="C265" s="70" t="s">
        <v>288</v>
      </c>
      <c r="D265" s="71"/>
      <c r="E265" s="235">
        <f t="shared" si="183"/>
        <v>0</v>
      </c>
      <c r="F265" s="236">
        <f t="shared" ca="1" si="184"/>
        <v>0</v>
      </c>
      <c r="G265" s="237">
        <f t="shared" ca="1" si="185"/>
        <v>0</v>
      </c>
      <c r="H265" s="216">
        <f t="shared" ca="1" si="137"/>
        <v>0</v>
      </c>
      <c r="I265" s="76"/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34">
        <f t="shared" si="151"/>
        <v>2</v>
      </c>
      <c r="V265" s="69">
        <f t="shared" si="151"/>
        <v>263</v>
      </c>
      <c r="W265" s="70" t="s">
        <v>288</v>
      </c>
      <c r="X265" s="71"/>
      <c r="Y265" s="235">
        <f t="shared" si="186"/>
        <v>0</v>
      </c>
      <c r="Z265" s="236">
        <f t="shared" ca="1" si="187"/>
        <v>0</v>
      </c>
      <c r="AA265" s="237">
        <f t="shared" ca="1" si="188"/>
        <v>0</v>
      </c>
      <c r="AB265" s="216">
        <f t="shared" ca="1" si="177"/>
        <v>0</v>
      </c>
      <c r="AC265" s="76"/>
      <c r="AD265" s="76"/>
      <c r="AE265" s="76"/>
      <c r="AF265" s="76"/>
      <c r="AG265" s="76"/>
      <c r="AH265" s="76"/>
      <c r="AI265" s="76"/>
      <c r="AJ265" s="76"/>
      <c r="AK265" s="76"/>
      <c r="AL265" s="76"/>
      <c r="AM265" s="76"/>
      <c r="AN265" s="76"/>
    </row>
    <row r="266" spans="1:40" s="43" customFormat="1" ht="15" customHeight="1" outlineLevel="1" x14ac:dyDescent="0.15">
      <c r="A266" s="34">
        <v>2</v>
      </c>
      <c r="B266" s="85">
        <f t="shared" si="180"/>
        <v>264</v>
      </c>
      <c r="C266" s="70" t="s">
        <v>289</v>
      </c>
      <c r="D266" s="71"/>
      <c r="E266" s="235">
        <f t="shared" si="183"/>
        <v>0</v>
      </c>
      <c r="F266" s="236">
        <f t="shared" ca="1" si="184"/>
        <v>0</v>
      </c>
      <c r="G266" s="237">
        <f t="shared" ca="1" si="185"/>
        <v>0</v>
      </c>
      <c r="H266" s="216">
        <f t="shared" ca="1" si="137"/>
        <v>0</v>
      </c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34">
        <f t="shared" si="151"/>
        <v>2</v>
      </c>
      <c r="V266" s="69">
        <f t="shared" si="151"/>
        <v>264</v>
      </c>
      <c r="W266" s="70" t="s">
        <v>289</v>
      </c>
      <c r="X266" s="71"/>
      <c r="Y266" s="235">
        <f t="shared" si="186"/>
        <v>0</v>
      </c>
      <c r="Z266" s="236">
        <f t="shared" ca="1" si="187"/>
        <v>0</v>
      </c>
      <c r="AA266" s="237">
        <f t="shared" ca="1" si="188"/>
        <v>0</v>
      </c>
      <c r="AB266" s="216">
        <f t="shared" ca="1" si="177"/>
        <v>0</v>
      </c>
      <c r="AC266" s="76"/>
      <c r="AD266" s="76"/>
      <c r="AE266" s="76"/>
      <c r="AF266" s="76"/>
      <c r="AG266" s="76"/>
      <c r="AH266" s="76"/>
      <c r="AI266" s="76"/>
      <c r="AJ266" s="76"/>
      <c r="AK266" s="76"/>
      <c r="AL266" s="76"/>
      <c r="AM266" s="76"/>
      <c r="AN266" s="76"/>
    </row>
    <row r="267" spans="1:40" s="43" customFormat="1" ht="15" customHeight="1" outlineLevel="1" x14ac:dyDescent="0.15">
      <c r="A267" s="34">
        <v>2</v>
      </c>
      <c r="B267" s="85">
        <f t="shared" si="180"/>
        <v>265</v>
      </c>
      <c r="C267" s="70" t="s">
        <v>299</v>
      </c>
      <c r="D267" s="71"/>
      <c r="E267" s="235">
        <f t="shared" si="183"/>
        <v>0</v>
      </c>
      <c r="F267" s="236">
        <f t="shared" ca="1" si="184"/>
        <v>19678643</v>
      </c>
      <c r="G267" s="237">
        <f t="shared" ca="1" si="185"/>
        <v>19678643</v>
      </c>
      <c r="H267" s="216">
        <f t="shared" ca="1" si="137"/>
        <v>1.1072014122372902E-2</v>
      </c>
      <c r="I267" s="76"/>
      <c r="J267" s="76"/>
      <c r="K267" s="76"/>
      <c r="L267" s="76"/>
      <c r="M267" s="76"/>
      <c r="N267" s="76">
        <v>18635364</v>
      </c>
      <c r="O267" s="76"/>
      <c r="P267" s="76"/>
      <c r="Q267" s="76"/>
      <c r="R267" s="76">
        <v>1043279</v>
      </c>
      <c r="S267" s="76"/>
      <c r="T267" s="76"/>
      <c r="U267" s="34">
        <f t="shared" si="151"/>
        <v>2</v>
      </c>
      <c r="V267" s="69">
        <f t="shared" si="151"/>
        <v>265</v>
      </c>
      <c r="W267" s="70" t="s">
        <v>299</v>
      </c>
      <c r="X267" s="71"/>
      <c r="Y267" s="235">
        <f t="shared" si="186"/>
        <v>2489124728</v>
      </c>
      <c r="Z267" s="236">
        <f t="shared" ca="1" si="187"/>
        <v>65000</v>
      </c>
      <c r="AA267" s="237">
        <f t="shared" ca="1" si="188"/>
        <v>2489189728</v>
      </c>
      <c r="AB267" s="216">
        <f t="shared" ca="1" si="177"/>
        <v>2.1930019412262558</v>
      </c>
      <c r="AC267" s="76"/>
      <c r="AD267" s="76"/>
      <c r="AE267" s="76"/>
      <c r="AF267" s="76"/>
      <c r="AG267" s="76"/>
      <c r="AH267" s="76">
        <v>65000</v>
      </c>
      <c r="AI267" s="76"/>
      <c r="AJ267" s="76"/>
      <c r="AK267" s="76"/>
      <c r="AL267" s="76"/>
      <c r="AM267" s="76"/>
      <c r="AN267" s="76">
        <v>2489124728</v>
      </c>
    </row>
    <row r="268" spans="1:40" s="43" customFormat="1" ht="15" customHeight="1" outlineLevel="1" x14ac:dyDescent="0.15">
      <c r="A268" s="34">
        <v>2</v>
      </c>
      <c r="B268" s="85">
        <f t="shared" si="180"/>
        <v>266</v>
      </c>
      <c r="C268" s="70" t="s">
        <v>300</v>
      </c>
      <c r="D268" s="71"/>
      <c r="E268" s="235">
        <f t="shared" si="183"/>
        <v>0</v>
      </c>
      <c r="F268" s="236">
        <f t="shared" ca="1" si="184"/>
        <v>0</v>
      </c>
      <c r="G268" s="237">
        <f t="shared" ca="1" si="185"/>
        <v>0</v>
      </c>
      <c r="H268" s="216">
        <f t="shared" ca="1" si="137"/>
        <v>0</v>
      </c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34">
        <f t="shared" si="151"/>
        <v>2</v>
      </c>
      <c r="V268" s="69">
        <f t="shared" si="151"/>
        <v>266</v>
      </c>
      <c r="W268" s="70" t="s">
        <v>300</v>
      </c>
      <c r="X268" s="71"/>
      <c r="Y268" s="235">
        <f t="shared" si="186"/>
        <v>0</v>
      </c>
      <c r="Z268" s="236">
        <f t="shared" ca="1" si="187"/>
        <v>0</v>
      </c>
      <c r="AA268" s="237">
        <f t="shared" ca="1" si="188"/>
        <v>0</v>
      </c>
      <c r="AB268" s="216">
        <f t="shared" ca="1" si="177"/>
        <v>0</v>
      </c>
      <c r="AC268" s="76"/>
      <c r="AD268" s="76"/>
      <c r="AE268" s="76"/>
      <c r="AF268" s="76"/>
      <c r="AG268" s="76"/>
      <c r="AH268" s="76"/>
      <c r="AI268" s="76"/>
      <c r="AJ268" s="76"/>
      <c r="AK268" s="76"/>
      <c r="AL268" s="76"/>
      <c r="AM268" s="76"/>
      <c r="AN268" s="76"/>
    </row>
    <row r="269" spans="1:40" s="43" customFormat="1" ht="15" customHeight="1" outlineLevel="1" x14ac:dyDescent="0.15">
      <c r="A269" s="34">
        <v>2</v>
      </c>
      <c r="B269" s="85">
        <f t="shared" si="180"/>
        <v>267</v>
      </c>
      <c r="C269" s="70" t="s">
        <v>301</v>
      </c>
      <c r="D269" s="71"/>
      <c r="E269" s="235">
        <f t="shared" si="183"/>
        <v>0</v>
      </c>
      <c r="F269" s="236">
        <f t="shared" ca="1" si="184"/>
        <v>0</v>
      </c>
      <c r="G269" s="237">
        <f t="shared" ca="1" si="185"/>
        <v>0</v>
      </c>
      <c r="H269" s="216">
        <f t="shared" ca="1" si="137"/>
        <v>0</v>
      </c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34">
        <f t="shared" si="151"/>
        <v>2</v>
      </c>
      <c r="V269" s="69">
        <f t="shared" si="151"/>
        <v>267</v>
      </c>
      <c r="W269" s="70" t="s">
        <v>301</v>
      </c>
      <c r="X269" s="71"/>
      <c r="Y269" s="235">
        <f t="shared" si="186"/>
        <v>0</v>
      </c>
      <c r="Z269" s="236">
        <f t="shared" ca="1" si="187"/>
        <v>0</v>
      </c>
      <c r="AA269" s="237">
        <f t="shared" ca="1" si="188"/>
        <v>0</v>
      </c>
      <c r="AB269" s="216">
        <f t="shared" ca="1" si="177"/>
        <v>0</v>
      </c>
      <c r="AC269" s="76"/>
      <c r="AD269" s="76"/>
      <c r="AE269" s="76"/>
      <c r="AF269" s="76"/>
      <c r="AG269" s="76"/>
      <c r="AH269" s="76"/>
      <c r="AI269" s="76"/>
      <c r="AJ269" s="76"/>
      <c r="AK269" s="76"/>
      <c r="AL269" s="76"/>
      <c r="AM269" s="76"/>
      <c r="AN269" s="76"/>
    </row>
    <row r="270" spans="1:40" s="43" customFormat="1" ht="15" customHeight="1" outlineLevel="1" x14ac:dyDescent="0.15">
      <c r="A270" s="34">
        <v>2</v>
      </c>
      <c r="B270" s="85">
        <f t="shared" si="180"/>
        <v>268</v>
      </c>
      <c r="C270" s="70" t="s">
        <v>290</v>
      </c>
      <c r="D270" s="71"/>
      <c r="E270" s="235">
        <f t="shared" si="183"/>
        <v>0</v>
      </c>
      <c r="F270" s="236">
        <f t="shared" ca="1" si="184"/>
        <v>0</v>
      </c>
      <c r="G270" s="237">
        <f t="shared" ca="1" si="185"/>
        <v>0</v>
      </c>
      <c r="H270" s="216">
        <f t="shared" ca="1" si="137"/>
        <v>0</v>
      </c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34">
        <f t="shared" si="151"/>
        <v>2</v>
      </c>
      <c r="V270" s="69">
        <f t="shared" si="151"/>
        <v>268</v>
      </c>
      <c r="W270" s="70" t="s">
        <v>302</v>
      </c>
      <c r="X270" s="71"/>
      <c r="Y270" s="235">
        <f t="shared" si="186"/>
        <v>0</v>
      </c>
      <c r="Z270" s="236">
        <f t="shared" ca="1" si="187"/>
        <v>0</v>
      </c>
      <c r="AA270" s="237">
        <f t="shared" ca="1" si="188"/>
        <v>0</v>
      </c>
      <c r="AB270" s="216">
        <f t="shared" ca="1" si="177"/>
        <v>0</v>
      </c>
      <c r="AC270" s="76"/>
      <c r="AD270" s="76"/>
      <c r="AE270" s="76"/>
      <c r="AF270" s="76"/>
      <c r="AG270" s="76"/>
      <c r="AH270" s="76"/>
      <c r="AI270" s="76"/>
      <c r="AJ270" s="76"/>
      <c r="AK270" s="76"/>
      <c r="AL270" s="76"/>
      <c r="AM270" s="76"/>
      <c r="AN270" s="76"/>
    </row>
    <row r="271" spans="1:40" s="43" customFormat="1" ht="15" customHeight="1" outlineLevel="1" x14ac:dyDescent="0.15">
      <c r="A271" s="34">
        <v>2</v>
      </c>
      <c r="B271" s="85">
        <f t="shared" si="180"/>
        <v>269</v>
      </c>
      <c r="C271" s="70" t="s">
        <v>303</v>
      </c>
      <c r="D271" s="71"/>
      <c r="E271" s="235">
        <f t="shared" si="183"/>
        <v>0</v>
      </c>
      <c r="F271" s="236">
        <f t="shared" ca="1" si="184"/>
        <v>0</v>
      </c>
      <c r="G271" s="237">
        <f t="shared" ca="1" si="185"/>
        <v>0</v>
      </c>
      <c r="H271" s="216">
        <f t="shared" ref="H271:H334" ca="1" si="189">IF(ISERROR(G271/$G$194*100),"",(G271/$G$194*100))</f>
        <v>0</v>
      </c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34">
        <f t="shared" si="151"/>
        <v>2</v>
      </c>
      <c r="V271" s="69">
        <f t="shared" si="151"/>
        <v>269</v>
      </c>
      <c r="W271" s="70" t="s">
        <v>303</v>
      </c>
      <c r="X271" s="71"/>
      <c r="Y271" s="235">
        <f t="shared" si="186"/>
        <v>0</v>
      </c>
      <c r="Z271" s="236">
        <f t="shared" ca="1" si="187"/>
        <v>6735869</v>
      </c>
      <c r="AA271" s="237">
        <f t="shared" ca="1" si="188"/>
        <v>6735869</v>
      </c>
      <c r="AB271" s="216">
        <f t="shared" ca="1" si="177"/>
        <v>5.934370380322314E-3</v>
      </c>
      <c r="AC271" s="76"/>
      <c r="AD271" s="76">
        <v>6735869</v>
      </c>
      <c r="AE271" s="76"/>
      <c r="AF271" s="76"/>
      <c r="AG271" s="76"/>
      <c r="AH271" s="76"/>
      <c r="AI271" s="76"/>
      <c r="AJ271" s="76"/>
      <c r="AK271" s="76"/>
      <c r="AL271" s="76"/>
      <c r="AM271" s="76"/>
      <c r="AN271" s="76"/>
    </row>
    <row r="272" spans="1:40" s="43" customFormat="1" ht="15" customHeight="1" outlineLevel="1" x14ac:dyDescent="0.15">
      <c r="A272" s="34">
        <v>2</v>
      </c>
      <c r="B272" s="85">
        <f t="shared" si="180"/>
        <v>270</v>
      </c>
      <c r="C272" s="70" t="s">
        <v>304</v>
      </c>
      <c r="D272" s="71"/>
      <c r="E272" s="235">
        <f t="shared" si="183"/>
        <v>0</v>
      </c>
      <c r="F272" s="236">
        <f t="shared" ca="1" si="184"/>
        <v>0</v>
      </c>
      <c r="G272" s="237">
        <f t="shared" ca="1" si="185"/>
        <v>0</v>
      </c>
      <c r="H272" s="216">
        <f t="shared" ca="1" si="189"/>
        <v>0</v>
      </c>
      <c r="I272" s="76"/>
      <c r="J272" s="76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34">
        <f t="shared" si="151"/>
        <v>2</v>
      </c>
      <c r="V272" s="69">
        <f t="shared" si="151"/>
        <v>270</v>
      </c>
      <c r="W272" s="70" t="s">
        <v>304</v>
      </c>
      <c r="X272" s="71"/>
      <c r="Y272" s="235">
        <f t="shared" si="186"/>
        <v>0</v>
      </c>
      <c r="Z272" s="236">
        <f t="shared" ca="1" si="187"/>
        <v>0</v>
      </c>
      <c r="AA272" s="237">
        <f t="shared" ca="1" si="188"/>
        <v>0</v>
      </c>
      <c r="AB272" s="216">
        <f t="shared" ca="1" si="177"/>
        <v>0</v>
      </c>
      <c r="AC272" s="76"/>
      <c r="AD272" s="76"/>
      <c r="AE272" s="76"/>
      <c r="AF272" s="76"/>
      <c r="AG272" s="76"/>
      <c r="AH272" s="76"/>
      <c r="AI272" s="76"/>
      <c r="AJ272" s="76"/>
      <c r="AK272" s="76"/>
      <c r="AL272" s="76"/>
      <c r="AM272" s="76"/>
      <c r="AN272" s="76"/>
    </row>
    <row r="273" spans="1:40" s="43" customFormat="1" ht="15" customHeight="1" outlineLevel="1" x14ac:dyDescent="0.15">
      <c r="A273" s="34">
        <v>2</v>
      </c>
      <c r="B273" s="85">
        <f t="shared" si="180"/>
        <v>271</v>
      </c>
      <c r="C273" s="70" t="s">
        <v>305</v>
      </c>
      <c r="D273" s="71"/>
      <c r="E273" s="235">
        <f t="shared" si="183"/>
        <v>0</v>
      </c>
      <c r="F273" s="236">
        <f t="shared" ca="1" si="184"/>
        <v>0</v>
      </c>
      <c r="G273" s="237">
        <f t="shared" ca="1" si="185"/>
        <v>0</v>
      </c>
      <c r="H273" s="216">
        <f t="shared" ca="1" si="189"/>
        <v>0</v>
      </c>
      <c r="I273" s="76"/>
      <c r="J273" s="76"/>
      <c r="K273" s="76"/>
      <c r="L273" s="76"/>
      <c r="M273" s="76"/>
      <c r="N273" s="76"/>
      <c r="O273" s="76"/>
      <c r="P273" s="76"/>
      <c r="Q273" s="76"/>
      <c r="R273" s="76"/>
      <c r="S273" s="76"/>
      <c r="T273" s="76"/>
      <c r="U273" s="34">
        <f t="shared" si="151"/>
        <v>2</v>
      </c>
      <c r="V273" s="69">
        <f t="shared" si="151"/>
        <v>271</v>
      </c>
      <c r="W273" s="70" t="s">
        <v>305</v>
      </c>
      <c r="X273" s="71"/>
      <c r="Y273" s="235">
        <f t="shared" si="186"/>
        <v>0</v>
      </c>
      <c r="Z273" s="236">
        <f t="shared" ca="1" si="187"/>
        <v>0</v>
      </c>
      <c r="AA273" s="237">
        <f t="shared" ca="1" si="188"/>
        <v>0</v>
      </c>
      <c r="AB273" s="216">
        <f t="shared" ca="1" si="177"/>
        <v>0</v>
      </c>
      <c r="AC273" s="76"/>
      <c r="AD273" s="76"/>
      <c r="AE273" s="76"/>
      <c r="AF273" s="76"/>
      <c r="AG273" s="76"/>
      <c r="AH273" s="76"/>
      <c r="AI273" s="76"/>
      <c r="AJ273" s="76"/>
      <c r="AK273" s="76"/>
      <c r="AL273" s="76"/>
      <c r="AM273" s="76"/>
      <c r="AN273" s="76"/>
    </row>
    <row r="274" spans="1:40" s="43" customFormat="1" ht="15" customHeight="1" outlineLevel="1" x14ac:dyDescent="0.15">
      <c r="A274" s="34">
        <v>2</v>
      </c>
      <c r="B274" s="85">
        <f t="shared" si="180"/>
        <v>272</v>
      </c>
      <c r="C274" s="70" t="s">
        <v>306</v>
      </c>
      <c r="D274" s="71"/>
      <c r="E274" s="235">
        <f t="shared" si="183"/>
        <v>1287000</v>
      </c>
      <c r="F274" s="236">
        <f t="shared" ca="1" si="184"/>
        <v>12870000</v>
      </c>
      <c r="G274" s="237">
        <f t="shared" ca="1" si="185"/>
        <v>14157000</v>
      </c>
      <c r="H274" s="216">
        <f t="shared" ca="1" si="189"/>
        <v>7.9653106126491135E-3</v>
      </c>
      <c r="I274" s="76"/>
      <c r="J274" s="76">
        <v>1287000</v>
      </c>
      <c r="K274" s="76">
        <v>1287000</v>
      </c>
      <c r="L274" s="76">
        <v>1287000</v>
      </c>
      <c r="M274" s="76">
        <v>1287000</v>
      </c>
      <c r="N274" s="76">
        <v>1287000</v>
      </c>
      <c r="O274" s="76">
        <v>1287000</v>
      </c>
      <c r="P274" s="76">
        <v>1287000</v>
      </c>
      <c r="Q274" s="76">
        <v>1287000</v>
      </c>
      <c r="R274" s="76">
        <v>1287000</v>
      </c>
      <c r="S274" s="76">
        <v>1287000</v>
      </c>
      <c r="T274" s="76">
        <v>1287000</v>
      </c>
      <c r="U274" s="34">
        <f t="shared" si="151"/>
        <v>2</v>
      </c>
      <c r="V274" s="69">
        <f t="shared" si="151"/>
        <v>272</v>
      </c>
      <c r="W274" s="70" t="s">
        <v>306</v>
      </c>
      <c r="X274" s="71"/>
      <c r="Y274" s="235">
        <f t="shared" si="186"/>
        <v>0</v>
      </c>
      <c r="Z274" s="236">
        <f t="shared" ca="1" si="187"/>
        <v>0</v>
      </c>
      <c r="AA274" s="237">
        <f t="shared" ca="1" si="188"/>
        <v>0</v>
      </c>
      <c r="AB274" s="216">
        <f t="shared" ca="1" si="177"/>
        <v>0</v>
      </c>
      <c r="AC274" s="76"/>
      <c r="AD274" s="76"/>
      <c r="AE274" s="76"/>
      <c r="AF274" s="76"/>
      <c r="AG274" s="76"/>
      <c r="AH274" s="76"/>
      <c r="AI274" s="76"/>
      <c r="AJ274" s="76"/>
      <c r="AK274" s="76"/>
      <c r="AL274" s="76"/>
      <c r="AM274" s="76"/>
      <c r="AN274" s="76"/>
    </row>
    <row r="275" spans="1:40" s="43" customFormat="1" ht="15" customHeight="1" outlineLevel="1" x14ac:dyDescent="0.15">
      <c r="A275" s="34">
        <v>2</v>
      </c>
      <c r="B275" s="85">
        <f t="shared" si="180"/>
        <v>273</v>
      </c>
      <c r="C275" s="70" t="s">
        <v>307</v>
      </c>
      <c r="D275" s="71"/>
      <c r="E275" s="235">
        <f t="shared" si="183"/>
        <v>0</v>
      </c>
      <c r="F275" s="236">
        <f t="shared" ca="1" si="184"/>
        <v>0</v>
      </c>
      <c r="G275" s="237">
        <f t="shared" ca="1" si="185"/>
        <v>0</v>
      </c>
      <c r="H275" s="216">
        <f t="shared" ca="1" si="189"/>
        <v>0</v>
      </c>
      <c r="I275" s="76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34">
        <f t="shared" si="151"/>
        <v>2</v>
      </c>
      <c r="V275" s="69">
        <f t="shared" si="151"/>
        <v>273</v>
      </c>
      <c r="W275" s="70" t="s">
        <v>307</v>
      </c>
      <c r="X275" s="71"/>
      <c r="Y275" s="235">
        <f t="shared" si="186"/>
        <v>0</v>
      </c>
      <c r="Z275" s="236">
        <f t="shared" ca="1" si="187"/>
        <v>0</v>
      </c>
      <c r="AA275" s="237">
        <f t="shared" ca="1" si="188"/>
        <v>0</v>
      </c>
      <c r="AB275" s="216">
        <f t="shared" ca="1" si="177"/>
        <v>0</v>
      </c>
      <c r="AC275" s="76"/>
      <c r="AD275" s="76"/>
      <c r="AE275" s="76"/>
      <c r="AF275" s="76"/>
      <c r="AG275" s="76"/>
      <c r="AH275" s="76"/>
      <c r="AI275" s="76"/>
      <c r="AJ275" s="76"/>
      <c r="AK275" s="76"/>
      <c r="AL275" s="76"/>
      <c r="AM275" s="76"/>
      <c r="AN275" s="76"/>
    </row>
    <row r="276" spans="1:40" s="43" customFormat="1" ht="15" customHeight="1" outlineLevel="1" x14ac:dyDescent="0.15">
      <c r="A276" s="34">
        <v>2</v>
      </c>
      <c r="B276" s="85">
        <f t="shared" si="180"/>
        <v>274</v>
      </c>
      <c r="C276" s="70" t="s">
        <v>308</v>
      </c>
      <c r="D276" s="71"/>
      <c r="E276" s="235">
        <f t="shared" si="183"/>
        <v>0</v>
      </c>
      <c r="F276" s="236">
        <f t="shared" ca="1" si="184"/>
        <v>0</v>
      </c>
      <c r="G276" s="237">
        <f t="shared" ca="1" si="185"/>
        <v>0</v>
      </c>
      <c r="H276" s="216">
        <f t="shared" ca="1" si="189"/>
        <v>0</v>
      </c>
      <c r="I276" s="76"/>
      <c r="J276" s="76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34">
        <f t="shared" si="151"/>
        <v>2</v>
      </c>
      <c r="V276" s="69">
        <f t="shared" si="151"/>
        <v>274</v>
      </c>
      <c r="W276" s="70" t="s">
        <v>308</v>
      </c>
      <c r="X276" s="71"/>
      <c r="Y276" s="235">
        <f t="shared" si="186"/>
        <v>0</v>
      </c>
      <c r="Z276" s="236">
        <f t="shared" ca="1" si="187"/>
        <v>0</v>
      </c>
      <c r="AA276" s="237">
        <f t="shared" ca="1" si="188"/>
        <v>0</v>
      </c>
      <c r="AB276" s="216">
        <f t="shared" ca="1" si="177"/>
        <v>0</v>
      </c>
      <c r="AC276" s="76"/>
      <c r="AD276" s="76"/>
      <c r="AE276" s="76"/>
      <c r="AF276" s="76"/>
      <c r="AG276" s="76"/>
      <c r="AH276" s="76"/>
      <c r="AI276" s="76"/>
      <c r="AJ276" s="76"/>
      <c r="AK276" s="76"/>
      <c r="AL276" s="76"/>
      <c r="AM276" s="76"/>
      <c r="AN276" s="76"/>
    </row>
    <row r="277" spans="1:40" s="43" customFormat="1" ht="15" customHeight="1" outlineLevel="1" x14ac:dyDescent="0.15">
      <c r="A277" s="34">
        <v>2</v>
      </c>
      <c r="B277" s="85">
        <f t="shared" si="180"/>
        <v>275</v>
      </c>
      <c r="C277" s="70" t="s">
        <v>309</v>
      </c>
      <c r="D277" s="71"/>
      <c r="E277" s="235">
        <f t="shared" si="183"/>
        <v>0</v>
      </c>
      <c r="F277" s="236">
        <f t="shared" ca="1" si="184"/>
        <v>0</v>
      </c>
      <c r="G277" s="237">
        <f t="shared" ca="1" si="185"/>
        <v>0</v>
      </c>
      <c r="H277" s="216">
        <f t="shared" ca="1" si="189"/>
        <v>0</v>
      </c>
      <c r="I277" s="76"/>
      <c r="J277" s="76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34">
        <f t="shared" si="151"/>
        <v>2</v>
      </c>
      <c r="V277" s="69">
        <f t="shared" si="151"/>
        <v>275</v>
      </c>
      <c r="W277" s="70" t="s">
        <v>309</v>
      </c>
      <c r="X277" s="71"/>
      <c r="Y277" s="235">
        <f t="shared" si="186"/>
        <v>0</v>
      </c>
      <c r="Z277" s="236">
        <f t="shared" ca="1" si="187"/>
        <v>0</v>
      </c>
      <c r="AA277" s="237">
        <f t="shared" ca="1" si="188"/>
        <v>0</v>
      </c>
      <c r="AB277" s="216">
        <f t="shared" ca="1" si="177"/>
        <v>0</v>
      </c>
      <c r="AC277" s="76"/>
      <c r="AD277" s="76"/>
      <c r="AE277" s="76"/>
      <c r="AF277" s="76"/>
      <c r="AG277" s="76"/>
      <c r="AH277" s="76"/>
      <c r="AI277" s="76"/>
      <c r="AJ277" s="76"/>
      <c r="AK277" s="76"/>
      <c r="AL277" s="76"/>
      <c r="AM277" s="76"/>
      <c r="AN277" s="76"/>
    </row>
    <row r="278" spans="1:40" s="43" customFormat="1" ht="15" customHeight="1" outlineLevel="1" x14ac:dyDescent="0.15">
      <c r="A278" s="34">
        <v>2</v>
      </c>
      <c r="B278" s="85">
        <f t="shared" si="180"/>
        <v>276</v>
      </c>
      <c r="C278" s="70" t="s">
        <v>310</v>
      </c>
      <c r="D278" s="71"/>
      <c r="E278" s="235">
        <f t="shared" si="183"/>
        <v>0</v>
      </c>
      <c r="F278" s="236">
        <f t="shared" ca="1" si="184"/>
        <v>3002371</v>
      </c>
      <c r="G278" s="237">
        <f t="shared" ca="1" si="185"/>
        <v>3002371</v>
      </c>
      <c r="H278" s="216">
        <f t="shared" ca="1" si="189"/>
        <v>1.689257440800306E-3</v>
      </c>
      <c r="I278" s="76">
        <v>726837</v>
      </c>
      <c r="J278" s="76">
        <v>115267</v>
      </c>
      <c r="K278" s="76">
        <v>0</v>
      </c>
      <c r="L278" s="76"/>
      <c r="M278" s="76">
        <v>430463</v>
      </c>
      <c r="N278" s="76">
        <v>954560</v>
      </c>
      <c r="O278" s="76"/>
      <c r="P278" s="76"/>
      <c r="R278" s="76"/>
      <c r="S278" s="76">
        <v>775244</v>
      </c>
      <c r="T278" s="76"/>
      <c r="U278" s="34">
        <f t="shared" si="151"/>
        <v>2</v>
      </c>
      <c r="V278" s="69">
        <f t="shared" si="151"/>
        <v>276</v>
      </c>
      <c r="W278" s="70" t="s">
        <v>310</v>
      </c>
      <c r="X278" s="71"/>
      <c r="Y278" s="235"/>
      <c r="Z278" s="236"/>
      <c r="AA278" s="237">
        <f t="shared" ca="1" si="188"/>
        <v>1763784</v>
      </c>
      <c r="AB278" s="216">
        <f t="shared" ca="1" si="177"/>
        <v>1.5539119788235806E-3</v>
      </c>
      <c r="AC278" s="76">
        <v>1387053</v>
      </c>
      <c r="AD278" s="76">
        <v>28986</v>
      </c>
      <c r="AE278" s="76">
        <v>127020</v>
      </c>
      <c r="AF278" s="76"/>
      <c r="AG278" s="76"/>
      <c r="AH278" s="76"/>
      <c r="AI278" s="76"/>
      <c r="AJ278" s="76"/>
      <c r="AK278" s="76">
        <v>226658</v>
      </c>
      <c r="AL278" s="76"/>
      <c r="AM278" s="76"/>
      <c r="AN278" s="76">
        <v>-5933</v>
      </c>
    </row>
    <row r="279" spans="1:40" s="43" customFormat="1" ht="15" customHeight="1" outlineLevel="1" x14ac:dyDescent="0.15">
      <c r="A279" s="34">
        <v>2</v>
      </c>
      <c r="B279" s="85">
        <f t="shared" si="180"/>
        <v>277</v>
      </c>
      <c r="C279" s="78" t="s">
        <v>311</v>
      </c>
      <c r="D279" s="79"/>
      <c r="E279" s="241">
        <f t="shared" si="183"/>
        <v>411704</v>
      </c>
      <c r="F279" s="242">
        <f t="shared" ca="1" si="184"/>
        <v>33681734</v>
      </c>
      <c r="G279" s="243">
        <f t="shared" ca="1" si="185"/>
        <v>34093438</v>
      </c>
      <c r="H279" s="221">
        <f t="shared" ca="1" si="189"/>
        <v>1.9182370807593035E-2</v>
      </c>
      <c r="I279" s="84">
        <v>210</v>
      </c>
      <c r="J279" s="84">
        <v>1113</v>
      </c>
      <c r="K279" s="84">
        <v>1029</v>
      </c>
      <c r="L279" s="84">
        <v>6647</v>
      </c>
      <c r="M279" s="84">
        <v>374</v>
      </c>
      <c r="N279" s="84">
        <v>10224</v>
      </c>
      <c r="O279" s="84">
        <v>567</v>
      </c>
      <c r="P279" s="76">
        <v>28435335</v>
      </c>
      <c r="Q279" s="257">
        <v>883</v>
      </c>
      <c r="R279" s="76">
        <v>1525</v>
      </c>
      <c r="S279" s="76">
        <v>5223827</v>
      </c>
      <c r="T279" s="84">
        <v>411704</v>
      </c>
      <c r="U279" s="34">
        <f t="shared" si="151"/>
        <v>2</v>
      </c>
      <c r="V279" s="77">
        <f t="shared" si="151"/>
        <v>277</v>
      </c>
      <c r="W279" s="78" t="s">
        <v>311</v>
      </c>
      <c r="X279" s="79"/>
      <c r="Y279" s="241">
        <f>HLOOKUP($U$1,$AC$3:$AN$365,V279,0)</f>
        <v>378153</v>
      </c>
      <c r="Z279" s="242">
        <f ca="1">IF($Z$3&gt;0,SUM(OFFSET(AC279,,,,MATCH($Z$3,$AC$3:$AN$3,0))),)</f>
        <v>203296321</v>
      </c>
      <c r="AA279" s="243">
        <f t="shared" ca="1" si="188"/>
        <v>203674474</v>
      </c>
      <c r="AB279" s="221">
        <f t="shared" ca="1" si="177"/>
        <v>0.17943932189496667</v>
      </c>
      <c r="AC279" s="84">
        <v>2021</v>
      </c>
      <c r="AD279" s="84">
        <v>1230</v>
      </c>
      <c r="AE279" s="84">
        <v>133512</v>
      </c>
      <c r="AF279" s="84">
        <v>240</v>
      </c>
      <c r="AG279" s="84">
        <v>14603</v>
      </c>
      <c r="AH279" s="84">
        <v>10215</v>
      </c>
      <c r="AI279" s="84">
        <v>200000200</v>
      </c>
      <c r="AJ279" s="84">
        <v>2936775</v>
      </c>
      <c r="AK279" s="84">
        <v>208</v>
      </c>
      <c r="AL279" s="84">
        <v>192531</v>
      </c>
      <c r="AM279" s="84">
        <v>4786</v>
      </c>
      <c r="AN279" s="84">
        <v>378153</v>
      </c>
    </row>
    <row r="280" spans="1:40" s="52" customFormat="1" ht="15" customHeight="1" x14ac:dyDescent="0.15">
      <c r="A280" s="34">
        <v>2</v>
      </c>
      <c r="B280" s="85">
        <f t="shared" si="180"/>
        <v>278</v>
      </c>
      <c r="C280" s="223" t="s">
        <v>312</v>
      </c>
      <c r="D280" s="224"/>
      <c r="E280" s="225">
        <f>SUM(E281:E284)</f>
        <v>1582184664</v>
      </c>
      <c r="F280" s="226">
        <f ca="1">SUM(F281:F284)</f>
        <v>12049008157</v>
      </c>
      <c r="G280" s="227">
        <f ca="1">SUM(G281:G290)</f>
        <v>16658575721</v>
      </c>
      <c r="H280" s="211">
        <f t="shared" ca="1" si="189"/>
        <v>9.372800026990193</v>
      </c>
      <c r="I280" s="225">
        <f t="shared" ref="I280:T280" si="190">SUM(I281:I290)</f>
        <v>2453911829</v>
      </c>
      <c r="J280" s="225">
        <f t="shared" si="190"/>
        <v>686332479</v>
      </c>
      <c r="K280" s="225">
        <f t="shared" si="190"/>
        <v>58411796</v>
      </c>
      <c r="L280" s="225">
        <f t="shared" si="190"/>
        <v>2027562052</v>
      </c>
      <c r="M280" s="225">
        <f t="shared" si="190"/>
        <v>3303590810</v>
      </c>
      <c r="N280" s="225">
        <f t="shared" si="190"/>
        <v>2196102896</v>
      </c>
      <c r="O280" s="225">
        <f t="shared" si="190"/>
        <v>693431595</v>
      </c>
      <c r="P280" s="225">
        <f t="shared" si="190"/>
        <v>954772285</v>
      </c>
      <c r="Q280" s="225">
        <f t="shared" si="190"/>
        <v>823898231</v>
      </c>
      <c r="R280" s="225">
        <f t="shared" si="190"/>
        <v>871046792</v>
      </c>
      <c r="S280" s="225">
        <f t="shared" si="190"/>
        <v>614431292</v>
      </c>
      <c r="T280" s="225">
        <f t="shared" si="190"/>
        <v>1975083664</v>
      </c>
      <c r="U280" s="34">
        <f t="shared" si="151"/>
        <v>2</v>
      </c>
      <c r="V280" s="228">
        <f t="shared" si="151"/>
        <v>278</v>
      </c>
      <c r="W280" s="223" t="s">
        <v>312</v>
      </c>
      <c r="X280" s="224"/>
      <c r="Y280" s="225">
        <f>SUM(Y281:Y290)</f>
        <v>3720914764</v>
      </c>
      <c r="Z280" s="226">
        <f ca="1">SUM(Z281:Z290)</f>
        <v>12883702785</v>
      </c>
      <c r="AA280" s="227">
        <f ca="1">SUM(AA281:AA290)</f>
        <v>24909587652</v>
      </c>
      <c r="AB280" s="211">
        <f t="shared" ca="1" si="177"/>
        <v>21.945604813287083</v>
      </c>
      <c r="AC280" s="225">
        <f t="shared" ref="AC280:AN280" si="191">SUM(AC281:AC290)</f>
        <v>2270130578</v>
      </c>
      <c r="AD280" s="225">
        <f t="shared" si="191"/>
        <v>866266499</v>
      </c>
      <c r="AE280" s="225">
        <f t="shared" si="191"/>
        <v>1239341825</v>
      </c>
      <c r="AF280" s="225">
        <f t="shared" si="191"/>
        <v>1778031206</v>
      </c>
      <c r="AG280" s="225">
        <f t="shared" si="191"/>
        <v>687234747</v>
      </c>
      <c r="AH280" s="225">
        <f t="shared" si="191"/>
        <v>7727213352</v>
      </c>
      <c r="AI280" s="225">
        <f t="shared" si="191"/>
        <v>833846551</v>
      </c>
      <c r="AJ280" s="225">
        <f t="shared" si="191"/>
        <v>1313599051</v>
      </c>
      <c r="AK280" s="225">
        <f t="shared" si="191"/>
        <v>-62057919</v>
      </c>
      <c r="AL280" s="225">
        <f t="shared" si="191"/>
        <v>3262742251</v>
      </c>
      <c r="AM280" s="225">
        <f t="shared" si="191"/>
        <v>1272324747</v>
      </c>
      <c r="AN280" s="225">
        <f t="shared" si="191"/>
        <v>3720914764</v>
      </c>
    </row>
    <row r="281" spans="1:40" s="43" customFormat="1" ht="15" customHeight="1" outlineLevel="1" x14ac:dyDescent="0.15">
      <c r="A281" s="34">
        <v>2</v>
      </c>
      <c r="B281" s="85">
        <f t="shared" si="180"/>
        <v>279</v>
      </c>
      <c r="C281" s="62" t="s">
        <v>313</v>
      </c>
      <c r="D281" s="63"/>
      <c r="E281" s="229">
        <f t="shared" ref="E281:E287" si="192">HLOOKUP($A$1,$I$3:$T$365,B281,0)</f>
        <v>1094041015</v>
      </c>
      <c r="F281" s="230">
        <f ca="1">IF($F$3&gt;0,SUM(OFFSET(I281,,,,MATCH($F$3,$I$3:$T$3,0))),SUM(AC281:AN281))</f>
        <v>10703846156</v>
      </c>
      <c r="G281" s="231">
        <f t="shared" ref="G281:G290" ca="1" si="193">SUM(OFFSET(I281,,,,MATCH($A$1,$I$3:$T$3,0)))</f>
        <v>11797887171</v>
      </c>
      <c r="H281" s="244">
        <f t="shared" ca="1" si="189"/>
        <v>6.6379766822069026</v>
      </c>
      <c r="I281" s="68">
        <v>989841060</v>
      </c>
      <c r="J281" s="68">
        <v>889813943</v>
      </c>
      <c r="K281" s="68">
        <v>972257463</v>
      </c>
      <c r="L281" s="68">
        <v>942656265</v>
      </c>
      <c r="M281" s="68">
        <v>955059423</v>
      </c>
      <c r="N281" s="68">
        <v>916558899</v>
      </c>
      <c r="O281" s="68">
        <v>1009791024</v>
      </c>
      <c r="P281" s="68">
        <v>993330894</v>
      </c>
      <c r="Q281" s="258">
        <v>961672371</v>
      </c>
      <c r="R281" s="68">
        <v>1043678353</v>
      </c>
      <c r="S281" s="68">
        <v>1029186461</v>
      </c>
      <c r="T281" s="68">
        <v>1094041015</v>
      </c>
      <c r="U281" s="34">
        <f t="shared" si="151"/>
        <v>2</v>
      </c>
      <c r="V281" s="61">
        <f t="shared" si="151"/>
        <v>279</v>
      </c>
      <c r="W281" s="62" t="s">
        <v>313</v>
      </c>
      <c r="X281" s="63"/>
      <c r="Y281" s="229">
        <f>HLOOKUP($U$1,$AC$3:$AN$365,V281,0)</f>
        <v>987285931</v>
      </c>
      <c r="Z281" s="230">
        <f ca="1">IF($Z$3&gt;0,SUM(OFFSET(AC281,,,,MATCH($Z$3,$AC$3:$AN$3,0))),)</f>
        <v>8953730330</v>
      </c>
      <c r="AA281" s="231">
        <f t="shared" ref="AA281:AA290" ca="1" si="194">SUM(OFFSET(AC281,,,,MATCH($U$1,$AC$3:$AN$3,0)))</f>
        <v>9941016261</v>
      </c>
      <c r="AB281" s="244">
        <f t="shared" ca="1" si="177"/>
        <v>8.7581383262621166</v>
      </c>
      <c r="AC281" s="68">
        <v>778292362</v>
      </c>
      <c r="AD281" s="68">
        <v>731956737</v>
      </c>
      <c r="AE281" s="68">
        <v>754409444</v>
      </c>
      <c r="AF281" s="68">
        <v>573903107</v>
      </c>
      <c r="AG281" s="68">
        <v>763549432</v>
      </c>
      <c r="AH281" s="68">
        <v>664200327</v>
      </c>
      <c r="AI281" s="68">
        <v>887023107</v>
      </c>
      <c r="AJ281" s="68">
        <v>875727111</v>
      </c>
      <c r="AK281" s="258">
        <v>957145703</v>
      </c>
      <c r="AL281" s="68">
        <v>1006304534</v>
      </c>
      <c r="AM281" s="68">
        <v>961218466</v>
      </c>
      <c r="AN281" s="68">
        <v>987285931</v>
      </c>
    </row>
    <row r="282" spans="1:40" s="43" customFormat="1" ht="15" customHeight="1" outlineLevel="1" x14ac:dyDescent="0.15">
      <c r="A282" s="34">
        <v>2</v>
      </c>
      <c r="B282" s="85">
        <f t="shared" si="180"/>
        <v>280</v>
      </c>
      <c r="C282" s="70" t="s">
        <v>314</v>
      </c>
      <c r="D282" s="71"/>
      <c r="E282" s="235">
        <f t="shared" si="192"/>
        <v>0</v>
      </c>
      <c r="F282" s="236">
        <f ca="1">IF($F$3&gt;0,SUM(OFFSET(I282,,,,MATCH($F$3,$I$3:$T$3,0))),SUM(AC282:AN282))</f>
        <v>0</v>
      </c>
      <c r="G282" s="237">
        <f t="shared" ca="1" si="193"/>
        <v>0</v>
      </c>
      <c r="H282" s="216">
        <f t="shared" ca="1" si="189"/>
        <v>0</v>
      </c>
      <c r="I282" s="76"/>
      <c r="J282" s="76"/>
      <c r="L282" s="76"/>
      <c r="M282" s="76"/>
      <c r="N282" s="76"/>
      <c r="O282" s="76"/>
      <c r="P282" s="76"/>
      <c r="Q282" s="76"/>
      <c r="R282" s="76"/>
      <c r="S282" s="76"/>
      <c r="T282" s="76"/>
      <c r="U282" s="34">
        <f t="shared" si="151"/>
        <v>2</v>
      </c>
      <c r="V282" s="69">
        <f t="shared" si="151"/>
        <v>280</v>
      </c>
      <c r="W282" s="70" t="s">
        <v>314</v>
      </c>
      <c r="X282" s="71"/>
      <c r="Y282" s="235">
        <f>HLOOKUP($U$1,$AC$3:$AN$365,V282,0)</f>
        <v>0</v>
      </c>
      <c r="Z282" s="236">
        <f ca="1">IF($Z$3&gt;0,SUM(OFFSET(AC282,,,,MATCH($Z$3,$AC$3:$AN$3,0))),)</f>
        <v>0</v>
      </c>
      <c r="AA282" s="237">
        <f t="shared" ca="1" si="194"/>
        <v>0</v>
      </c>
      <c r="AB282" s="216">
        <f t="shared" ca="1" si="177"/>
        <v>0</v>
      </c>
      <c r="AC282" s="76"/>
      <c r="AD282" s="76"/>
      <c r="AE282" s="76"/>
      <c r="AF282" s="76"/>
      <c r="AG282" s="76"/>
      <c r="AH282" s="76"/>
      <c r="AI282" s="76"/>
      <c r="AJ282" s="76"/>
      <c r="AK282" s="76"/>
      <c r="AL282" s="76"/>
      <c r="AM282" s="76"/>
      <c r="AN282" s="76"/>
    </row>
    <row r="283" spans="1:40" s="43" customFormat="1" ht="15" customHeight="1" outlineLevel="1" x14ac:dyDescent="0.15">
      <c r="A283" s="34">
        <v>2</v>
      </c>
      <c r="B283" s="85">
        <f t="shared" si="180"/>
        <v>281</v>
      </c>
      <c r="C283" s="70" t="s">
        <v>315</v>
      </c>
      <c r="D283" s="71"/>
      <c r="E283" s="235">
        <f t="shared" si="192"/>
        <v>477315903</v>
      </c>
      <c r="F283" s="236">
        <f ca="1">IF($F$3&gt;0,SUM(OFFSET(I283,,,,MATCH($F$3,$I$3:$T$3,0))),SUM(AC283:AN283))</f>
        <v>1280973119</v>
      </c>
      <c r="G283" s="237">
        <f t="shared" ca="1" si="193"/>
        <v>1758289022</v>
      </c>
      <c r="H283" s="216">
        <f t="shared" ca="1" si="189"/>
        <v>0.98928573900127348</v>
      </c>
      <c r="I283" s="76">
        <v>83741218</v>
      </c>
      <c r="J283" s="76">
        <v>38540416</v>
      </c>
      <c r="K283" s="76">
        <v>53355243</v>
      </c>
      <c r="L283" s="76">
        <v>62349867</v>
      </c>
      <c r="M283" s="76">
        <v>22957248</v>
      </c>
      <c r="N283" s="76">
        <v>705374740</v>
      </c>
      <c r="O283" s="76">
        <v>41269150</v>
      </c>
      <c r="P283" s="76">
        <v>52702375</v>
      </c>
      <c r="Q283" s="76">
        <v>63096009</v>
      </c>
      <c r="R283" s="76">
        <v>81803491</v>
      </c>
      <c r="S283" s="76">
        <v>75783362</v>
      </c>
      <c r="T283" s="76">
        <v>477315903</v>
      </c>
      <c r="U283" s="34">
        <f t="shared" ref="U283:V356" si="195">A283</f>
        <v>2</v>
      </c>
      <c r="V283" s="69">
        <f t="shared" si="195"/>
        <v>281</v>
      </c>
      <c r="W283" s="70" t="s">
        <v>315</v>
      </c>
      <c r="X283" s="71"/>
      <c r="Y283" s="235">
        <f>HLOOKUP($U$1,$AC$3:$AN$365,V283,0)</f>
        <v>88251695</v>
      </c>
      <c r="Z283" s="236">
        <f ca="1">IF($Z$3&gt;0,SUM(OFFSET(AC283,,,,MATCH($Z$3,$AC$3:$AN$3,0))),)</f>
        <v>445509144</v>
      </c>
      <c r="AA283" s="237">
        <f t="shared" ca="1" si="194"/>
        <v>533760839</v>
      </c>
      <c r="AB283" s="216">
        <f t="shared" ca="1" si="177"/>
        <v>0.47024882953299529</v>
      </c>
      <c r="AC283" s="76">
        <v>45630151</v>
      </c>
      <c r="AD283" s="76">
        <v>48767535</v>
      </c>
      <c r="AE283" s="76">
        <v>29601423</v>
      </c>
      <c r="AF283" s="76">
        <v>69657947</v>
      </c>
      <c r="AG283" s="76">
        <v>41804675</v>
      </c>
      <c r="AH283" s="76">
        <v>28255829</v>
      </c>
      <c r="AI283" s="76">
        <v>17568600</v>
      </c>
      <c r="AJ283" s="76">
        <v>15020884</v>
      </c>
      <c r="AK283" s="76">
        <v>40907989</v>
      </c>
      <c r="AL283" s="76">
        <v>51681307</v>
      </c>
      <c r="AM283" s="76">
        <v>56612804</v>
      </c>
      <c r="AN283" s="76">
        <v>88251695</v>
      </c>
    </row>
    <row r="284" spans="1:40" s="43" customFormat="1" ht="15" customHeight="1" outlineLevel="1" x14ac:dyDescent="0.15">
      <c r="A284" s="34">
        <v>2</v>
      </c>
      <c r="B284" s="85">
        <f t="shared" si="180"/>
        <v>282</v>
      </c>
      <c r="C284" s="70" t="s">
        <v>316</v>
      </c>
      <c r="D284" s="71"/>
      <c r="E284" s="235">
        <f t="shared" si="192"/>
        <v>10827746</v>
      </c>
      <c r="F284" s="236">
        <f ca="1">IF($F$3&gt;0,SUM(OFFSET(I284,,,,MATCH($F$3,$I$3:$T$3,0))),SUM(AC284:AN284))</f>
        <v>64188882</v>
      </c>
      <c r="G284" s="237">
        <f t="shared" ca="1" si="193"/>
        <v>75016628</v>
      </c>
      <c r="H284" s="216">
        <f t="shared" ca="1" si="189"/>
        <v>4.2207441063329139E-2</v>
      </c>
      <c r="I284" s="76">
        <v>154549551</v>
      </c>
      <c r="J284" s="76">
        <v>-31601880</v>
      </c>
      <c r="K284" s="76">
        <v>-68740910</v>
      </c>
      <c r="L284" s="76">
        <v>87355920</v>
      </c>
      <c r="M284" s="76">
        <v>228054139</v>
      </c>
      <c r="N284" s="76">
        <v>-24950743</v>
      </c>
      <c r="O284" s="76">
        <v>-92628579</v>
      </c>
      <c r="P284" s="76">
        <v>-34260984</v>
      </c>
      <c r="Q284" s="259">
        <v>-64870149</v>
      </c>
      <c r="R284" s="76">
        <v>-62178952</v>
      </c>
      <c r="S284" s="76">
        <v>-26538531</v>
      </c>
      <c r="T284" s="76">
        <v>10827746</v>
      </c>
      <c r="U284" s="34">
        <f t="shared" si="195"/>
        <v>2</v>
      </c>
      <c r="V284" s="69">
        <f t="shared" si="195"/>
        <v>282</v>
      </c>
      <c r="W284" s="70" t="s">
        <v>316</v>
      </c>
      <c r="X284" s="71"/>
      <c r="Y284" s="235">
        <f>HLOOKUP($U$1,$AC$3:$AN$365,V284,0)</f>
        <v>2645377138</v>
      </c>
      <c r="Z284" s="236">
        <f ca="1">IF($Z$3&gt;0,SUM(OFFSET(AC284,,,,MATCH($Z$3,$AC$3:$AN$3,0))),)</f>
        <v>3484463311</v>
      </c>
      <c r="AA284" s="237">
        <f t="shared" ca="1" si="194"/>
        <v>6129840449</v>
      </c>
      <c r="AB284" s="216">
        <f t="shared" ca="1" si="177"/>
        <v>5.4004529477410026</v>
      </c>
      <c r="AC284" s="76">
        <v>1442920395</v>
      </c>
      <c r="AD284" s="76">
        <v>85542227</v>
      </c>
      <c r="AE284" s="76">
        <v>453334413</v>
      </c>
      <c r="AF284" s="76">
        <v>1134470152</v>
      </c>
      <c r="AG284" s="76">
        <v>-118119360</v>
      </c>
      <c r="AH284" s="76">
        <v>449071308</v>
      </c>
      <c r="AI284" s="76">
        <v>-114745156</v>
      </c>
      <c r="AJ284" s="76">
        <v>-602128944</v>
      </c>
      <c r="AK284" s="76">
        <v>-1705131611</v>
      </c>
      <c r="AL284" s="76">
        <v>2147756410</v>
      </c>
      <c r="AM284" s="76">
        <v>311493477</v>
      </c>
      <c r="AN284" s="76">
        <v>2645377138</v>
      </c>
    </row>
    <row r="285" spans="1:40" s="43" customFormat="1" ht="15" customHeight="1" outlineLevel="1" x14ac:dyDescent="0.15">
      <c r="A285" s="34">
        <v>2</v>
      </c>
      <c r="B285" s="85">
        <f t="shared" si="180"/>
        <v>283</v>
      </c>
      <c r="C285" s="70" t="s">
        <v>317</v>
      </c>
      <c r="D285" s="71"/>
      <c r="E285" s="235">
        <f t="shared" si="192"/>
        <v>45899000</v>
      </c>
      <c r="F285" s="236"/>
      <c r="G285" s="237">
        <f t="shared" ca="1" si="193"/>
        <v>45899000</v>
      </c>
      <c r="H285" s="216">
        <f t="shared" ca="1" si="189"/>
        <v>2.5824665664334372E-2</v>
      </c>
      <c r="I285" s="76"/>
      <c r="J285" s="76"/>
      <c r="K285" s="76"/>
      <c r="L285" s="76"/>
      <c r="M285" s="76"/>
      <c r="N285" s="76"/>
      <c r="P285" s="76"/>
      <c r="Q285" s="76"/>
      <c r="R285" s="76"/>
      <c r="S285" s="76"/>
      <c r="T285" s="76">
        <v>45899000</v>
      </c>
      <c r="U285" s="34">
        <f t="shared" si="195"/>
        <v>2</v>
      </c>
      <c r="V285" s="69">
        <f t="shared" si="195"/>
        <v>283</v>
      </c>
      <c r="W285" s="70" t="s">
        <v>318</v>
      </c>
      <c r="X285" s="71"/>
      <c r="Y285" s="235"/>
      <c r="Z285" s="236"/>
      <c r="AA285" s="237">
        <f t="shared" ca="1" si="194"/>
        <v>7476504</v>
      </c>
      <c r="AB285" s="216">
        <f t="shared" ca="1" si="177"/>
        <v>6.5868774891497013E-3</v>
      </c>
      <c r="AC285" s="76"/>
      <c r="AD285" s="76"/>
      <c r="AE285" s="76">
        <v>1996545</v>
      </c>
      <c r="AF285" s="76"/>
      <c r="AG285" s="76"/>
      <c r="AH285" s="76">
        <v>5479959</v>
      </c>
      <c r="AI285" s="76"/>
      <c r="AJ285" s="76"/>
      <c r="AK285" s="76"/>
      <c r="AL285" s="76"/>
      <c r="AM285" s="76"/>
      <c r="AN285" s="76"/>
    </row>
    <row r="286" spans="1:40" s="43" customFormat="1" ht="15" customHeight="1" outlineLevel="1" x14ac:dyDescent="0.15">
      <c r="A286" s="34">
        <v>2</v>
      </c>
      <c r="B286" s="85">
        <f t="shared" si="180"/>
        <v>284</v>
      </c>
      <c r="C286" s="70" t="s">
        <v>319</v>
      </c>
      <c r="D286" s="71"/>
      <c r="E286" s="235">
        <f t="shared" si="192"/>
        <v>0</v>
      </c>
      <c r="F286" s="236"/>
      <c r="G286" s="237">
        <f t="shared" ca="1" si="193"/>
        <v>17743900</v>
      </c>
      <c r="H286" s="216">
        <f t="shared" ca="1" si="189"/>
        <v>9.9834481161110832E-3</v>
      </c>
      <c r="I286" s="76"/>
      <c r="J286" s="76"/>
      <c r="K286" s="76"/>
      <c r="L286" s="76"/>
      <c r="M286" s="76"/>
      <c r="N286" s="76"/>
      <c r="P286" s="76"/>
      <c r="Q286" s="76"/>
      <c r="R286" s="76">
        <v>17743900</v>
      </c>
      <c r="S286" s="76"/>
      <c r="T286" s="76"/>
      <c r="U286" s="34">
        <f t="shared" si="195"/>
        <v>2</v>
      </c>
      <c r="V286" s="69">
        <f t="shared" si="195"/>
        <v>284</v>
      </c>
      <c r="W286" s="70" t="s">
        <v>320</v>
      </c>
      <c r="X286" s="71"/>
      <c r="Y286" s="235"/>
      <c r="Z286" s="236"/>
      <c r="AA286" s="237">
        <f t="shared" ca="1" si="194"/>
        <v>3287670</v>
      </c>
      <c r="AB286" s="216">
        <f t="shared" ca="1" si="177"/>
        <v>2.8964713340289519E-3</v>
      </c>
      <c r="AC286" s="76">
        <v>3287670</v>
      </c>
      <c r="AD286" s="76"/>
      <c r="AE286" s="76"/>
      <c r="AF286" s="76"/>
      <c r="AG286" s="76"/>
      <c r="AH286" s="76"/>
      <c r="AI286" s="76"/>
      <c r="AJ286" s="76"/>
      <c r="AK286" s="76"/>
      <c r="AL286" s="76"/>
      <c r="AM286" s="76"/>
      <c r="AN286" s="76"/>
    </row>
    <row r="287" spans="1:40" s="43" customFormat="1" ht="15" customHeight="1" outlineLevel="1" x14ac:dyDescent="0.15">
      <c r="A287" s="34">
        <v>2</v>
      </c>
      <c r="B287" s="85">
        <f t="shared" si="180"/>
        <v>285</v>
      </c>
      <c r="C287" s="70" t="s">
        <v>321</v>
      </c>
      <c r="D287" s="71"/>
      <c r="E287" s="235">
        <f t="shared" si="192"/>
        <v>0</v>
      </c>
      <c r="F287" s="236"/>
      <c r="G287" s="237">
        <f t="shared" ca="1" si="193"/>
        <v>0</v>
      </c>
      <c r="H287" s="216">
        <f t="shared" ca="1" si="189"/>
        <v>0</v>
      </c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34">
        <f t="shared" si="195"/>
        <v>2</v>
      </c>
      <c r="V287" s="69">
        <f t="shared" si="195"/>
        <v>285</v>
      </c>
      <c r="W287" s="70" t="s">
        <v>322</v>
      </c>
      <c r="X287" s="71"/>
      <c r="Y287" s="235">
        <f>HLOOKUP($U$1,$AC$3:$AN$365,V287,0)</f>
        <v>0</v>
      </c>
      <c r="Z287" s="236">
        <f ca="1">IF($Z$3&gt;0,SUM(OFFSET(AC287,,,,MATCH($Z$3,$AC$3:$AN$3,0))),)</f>
        <v>0</v>
      </c>
      <c r="AA287" s="237">
        <f t="shared" ca="1" si="194"/>
        <v>0</v>
      </c>
      <c r="AB287" s="216">
        <f t="shared" ca="1" si="177"/>
        <v>0</v>
      </c>
      <c r="AC287" s="76"/>
      <c r="AD287" s="76"/>
      <c r="AE287" s="76"/>
      <c r="AF287" s="76"/>
      <c r="AG287" s="76"/>
      <c r="AH287" s="76"/>
      <c r="AI287" s="76"/>
      <c r="AJ287" s="76"/>
      <c r="AK287" s="76"/>
      <c r="AL287" s="76"/>
      <c r="AM287" s="76"/>
      <c r="AN287" s="76"/>
    </row>
    <row r="288" spans="1:40" s="43" customFormat="1" ht="15" customHeight="1" outlineLevel="1" x14ac:dyDescent="0.15">
      <c r="A288" s="34">
        <v>2</v>
      </c>
      <c r="B288" s="85">
        <f t="shared" si="180"/>
        <v>286</v>
      </c>
      <c r="C288" s="70" t="s">
        <v>323</v>
      </c>
      <c r="D288" s="71"/>
      <c r="E288" s="235"/>
      <c r="F288" s="236"/>
      <c r="G288" s="237">
        <f t="shared" ca="1" si="193"/>
        <v>0</v>
      </c>
      <c r="H288" s="216">
        <f t="shared" ca="1" si="189"/>
        <v>0</v>
      </c>
      <c r="I288" s="76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34">
        <f t="shared" si="195"/>
        <v>2</v>
      </c>
      <c r="V288" s="69">
        <f t="shared" si="195"/>
        <v>286</v>
      </c>
      <c r="W288" s="70" t="s">
        <v>323</v>
      </c>
      <c r="X288" s="71"/>
      <c r="Y288" s="235"/>
      <c r="Z288" s="236"/>
      <c r="AA288" s="237">
        <f t="shared" ref="AA288" ca="1" si="196">SUM(OFFSET(AC288,,,,MATCH($U$1,$AC$3:$AN$3,0)))</f>
        <v>2142268920</v>
      </c>
      <c r="AB288" s="216">
        <f t="shared" ca="1" si="177"/>
        <v>1.8873611148811049</v>
      </c>
      <c r="AC288" s="76"/>
      <c r="AD288" s="76"/>
      <c r="AE288" s="76"/>
      <c r="AF288" s="76"/>
      <c r="AG288" s="76"/>
      <c r="AH288" s="76">
        <v>2142268920</v>
      </c>
      <c r="AI288" s="76"/>
      <c r="AJ288" s="76"/>
      <c r="AK288" s="76"/>
      <c r="AL288" s="76"/>
      <c r="AM288" s="76"/>
      <c r="AN288" s="76"/>
    </row>
    <row r="289" spans="1:40" s="43" customFormat="1" ht="15" customHeight="1" outlineLevel="1" x14ac:dyDescent="0.15">
      <c r="A289" s="34">
        <v>2</v>
      </c>
      <c r="B289" s="85">
        <f t="shared" si="180"/>
        <v>287</v>
      </c>
      <c r="C289" s="70" t="s">
        <v>324</v>
      </c>
      <c r="D289" s="71"/>
      <c r="E289" s="235">
        <f>HLOOKUP($A$1,$I$3:$T$365,B289,0)</f>
        <v>0</v>
      </c>
      <c r="F289" s="236"/>
      <c r="G289" s="237">
        <f t="shared" ca="1" si="193"/>
        <v>0</v>
      </c>
      <c r="H289" s="216">
        <f t="shared" ca="1" si="189"/>
        <v>0</v>
      </c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34">
        <f t="shared" si="195"/>
        <v>2</v>
      </c>
      <c r="V289" s="69">
        <f t="shared" si="195"/>
        <v>287</v>
      </c>
      <c r="W289" s="70" t="s">
        <v>325</v>
      </c>
      <c r="X289" s="71"/>
      <c r="Y289" s="235"/>
      <c r="Z289" s="236"/>
      <c r="AA289" s="237">
        <f t="shared" ref="AA289" ca="1" si="197">SUM(OFFSET(AC289,,,,MATCH($U$1,$AC$3:$AN$3,0)))</f>
        <v>6151937009</v>
      </c>
      <c r="AB289" s="216">
        <f t="shared" ca="1" si="177"/>
        <v>5.4199202460466864</v>
      </c>
      <c r="AC289" s="76"/>
      <c r="AD289" s="76"/>
      <c r="AE289" s="76"/>
      <c r="AF289" s="76"/>
      <c r="AG289" s="76"/>
      <c r="AH289" s="76">
        <v>4437937009</v>
      </c>
      <c r="AI289" s="76"/>
      <c r="AJ289" s="76"/>
      <c r="AK289" s="76">
        <v>1714000000</v>
      </c>
      <c r="AL289" s="76"/>
      <c r="AM289" s="76"/>
      <c r="AN289" s="76"/>
    </row>
    <row r="290" spans="1:40" s="43" customFormat="1" ht="15" customHeight="1" outlineLevel="1" x14ac:dyDescent="0.15">
      <c r="A290" s="34">
        <v>2</v>
      </c>
      <c r="B290" s="85">
        <f t="shared" si="180"/>
        <v>288</v>
      </c>
      <c r="C290" s="70" t="s">
        <v>326</v>
      </c>
      <c r="D290" s="79"/>
      <c r="E290" s="241">
        <f>HLOOKUP($A$1,$I$3:$T$365,B290,0)</f>
        <v>347000000</v>
      </c>
      <c r="F290" s="242">
        <f ca="1">IF($F$3&gt;0,SUM(OFFSET(I290,,,,MATCH($F$3,$I$3:$T$3,0))),SUM(AC290:AN290))</f>
        <v>2616740000</v>
      </c>
      <c r="G290" s="243">
        <f t="shared" ca="1" si="193"/>
        <v>2963740000</v>
      </c>
      <c r="H290" s="221">
        <f t="shared" ca="1" si="189"/>
        <v>1.6675220509382411</v>
      </c>
      <c r="I290" s="84">
        <v>1225780000</v>
      </c>
      <c r="J290" s="84">
        <v>-210420000</v>
      </c>
      <c r="K290" s="84">
        <v>-898460000</v>
      </c>
      <c r="L290" s="84">
        <v>935200000</v>
      </c>
      <c r="M290" s="84">
        <v>2097520000</v>
      </c>
      <c r="N290" s="76">
        <v>599120000</v>
      </c>
      <c r="O290" s="84">
        <v>-265000000</v>
      </c>
      <c r="P290" s="76">
        <v>-57000000</v>
      </c>
      <c r="Q290" s="84">
        <v>-136000000</v>
      </c>
      <c r="R290" s="76">
        <v>-210000000</v>
      </c>
      <c r="S290" s="84">
        <v>-464000000</v>
      </c>
      <c r="T290" s="76">
        <v>347000000</v>
      </c>
      <c r="U290" s="34">
        <f t="shared" si="195"/>
        <v>2</v>
      </c>
      <c r="V290" s="69">
        <f t="shared" si="195"/>
        <v>288</v>
      </c>
      <c r="W290" s="70" t="s">
        <v>327</v>
      </c>
      <c r="X290" s="79"/>
      <c r="Y290" s="241">
        <f>HLOOKUP($U$1,$AC$3:$AN$365,V290,0)</f>
        <v>0</v>
      </c>
      <c r="Z290" s="242">
        <f ca="1">IF($Z$3&gt;0,SUM(OFFSET(AC290,,,,MATCH($Z$3,$AC$3:$AN$3,0))),)</f>
        <v>0</v>
      </c>
      <c r="AA290" s="243">
        <f t="shared" ca="1" si="194"/>
        <v>0</v>
      </c>
      <c r="AB290" s="221">
        <f t="shared" ca="1" si="177"/>
        <v>0</v>
      </c>
      <c r="AC290" s="84"/>
      <c r="AD290" s="84"/>
      <c r="AE290" s="84"/>
      <c r="AF290" s="84"/>
      <c r="AG290" s="84"/>
      <c r="AH290" s="84"/>
      <c r="AI290" s="84">
        <v>44000000</v>
      </c>
      <c r="AJ290" s="84">
        <v>1024980000</v>
      </c>
      <c r="AK290" s="84">
        <v>-1068980000</v>
      </c>
      <c r="AL290" s="84">
        <v>57000000</v>
      </c>
      <c r="AM290" s="84">
        <v>-57000000</v>
      </c>
      <c r="AN290" s="84"/>
    </row>
    <row r="291" spans="1:40" s="52" customFormat="1" ht="15" customHeight="1" x14ac:dyDescent="0.15">
      <c r="A291" s="34">
        <v>2</v>
      </c>
      <c r="B291" s="85">
        <f t="shared" si="180"/>
        <v>289</v>
      </c>
      <c r="C291" s="223" t="s">
        <v>328</v>
      </c>
      <c r="D291" s="224"/>
      <c r="E291" s="225">
        <f>SUM(E292:E307)</f>
        <v>8788560</v>
      </c>
      <c r="F291" s="226">
        <f ca="1">SUM(F292:F307)</f>
        <v>43293169</v>
      </c>
      <c r="G291" s="227">
        <f ca="1">SUM(G292:G307)</f>
        <v>52081729</v>
      </c>
      <c r="H291" s="211">
        <f t="shared" ca="1" si="189"/>
        <v>2.9303323354440566E-2</v>
      </c>
      <c r="I291" s="225">
        <f t="shared" ref="I291:T291" si="198">SUM(I292:I307)</f>
        <v>126104</v>
      </c>
      <c r="J291" s="225">
        <f t="shared" si="198"/>
        <v>0</v>
      </c>
      <c r="K291" s="225">
        <f t="shared" si="198"/>
        <v>2</v>
      </c>
      <c r="L291" s="225">
        <f t="shared" si="198"/>
        <v>412</v>
      </c>
      <c r="M291" s="225">
        <f t="shared" si="198"/>
        <v>7859</v>
      </c>
      <c r="N291" s="225">
        <f t="shared" si="198"/>
        <v>0</v>
      </c>
      <c r="O291" s="225">
        <f t="shared" si="198"/>
        <v>36946566</v>
      </c>
      <c r="P291" s="225">
        <f t="shared" si="198"/>
        <v>0</v>
      </c>
      <c r="Q291" s="225">
        <f t="shared" si="198"/>
        <v>23955925</v>
      </c>
      <c r="R291" s="225">
        <f t="shared" si="198"/>
        <v>-17743699</v>
      </c>
      <c r="S291" s="225">
        <f t="shared" si="198"/>
        <v>0</v>
      </c>
      <c r="T291" s="225">
        <f t="shared" si="198"/>
        <v>8788560</v>
      </c>
      <c r="U291" s="34">
        <f t="shared" si="195"/>
        <v>2</v>
      </c>
      <c r="V291" s="69">
        <f t="shared" si="195"/>
        <v>289</v>
      </c>
      <c r="W291" s="223" t="s">
        <v>328</v>
      </c>
      <c r="X291" s="224"/>
      <c r="Y291" s="225">
        <f>SUM(Y292:Y307)</f>
        <v>346468595</v>
      </c>
      <c r="Z291" s="226">
        <f ca="1">SUM(Z292:Z307)</f>
        <v>142871447</v>
      </c>
      <c r="AA291" s="227">
        <f ca="1">SUM(AA292:AA307)</f>
        <v>489340042</v>
      </c>
      <c r="AB291" s="211">
        <f t="shared" ca="1" si="177"/>
        <v>0.43111364712563099</v>
      </c>
      <c r="AC291" s="225">
        <f t="shared" ref="AC291:AN291" si="199">SUM(AC292:AC307)</f>
        <v>0</v>
      </c>
      <c r="AD291" s="225">
        <f t="shared" si="199"/>
        <v>1985450</v>
      </c>
      <c r="AE291" s="225">
        <f t="shared" si="199"/>
        <v>22182714</v>
      </c>
      <c r="AF291" s="225">
        <f t="shared" si="199"/>
        <v>31295574</v>
      </c>
      <c r="AG291" s="225">
        <f t="shared" si="199"/>
        <v>0</v>
      </c>
      <c r="AH291" s="225">
        <f t="shared" si="199"/>
        <v>0</v>
      </c>
      <c r="AI291" s="225">
        <f t="shared" si="199"/>
        <v>78877939</v>
      </c>
      <c r="AJ291" s="225">
        <f t="shared" si="199"/>
        <v>8000000</v>
      </c>
      <c r="AK291" s="225">
        <f t="shared" si="199"/>
        <v>0</v>
      </c>
      <c r="AL291" s="225">
        <f t="shared" si="199"/>
        <v>-1011</v>
      </c>
      <c r="AM291" s="225">
        <f t="shared" si="199"/>
        <v>530781</v>
      </c>
      <c r="AN291" s="225">
        <f t="shared" si="199"/>
        <v>346468595</v>
      </c>
    </row>
    <row r="292" spans="1:40" s="43" customFormat="1" ht="15" customHeight="1" outlineLevel="1" x14ac:dyDescent="0.15">
      <c r="A292" s="34">
        <v>2</v>
      </c>
      <c r="B292" s="85">
        <f t="shared" si="180"/>
        <v>290</v>
      </c>
      <c r="C292" s="62" t="s">
        <v>329</v>
      </c>
      <c r="D292" s="63"/>
      <c r="E292" s="229">
        <f t="shared" ref="E292:E297" si="200">HLOOKUP($A$1,$I$3:$T$365,B292,0)</f>
        <v>0</v>
      </c>
      <c r="F292" s="230">
        <f t="shared" ref="F292:F307" ca="1" si="201">IF($F$3&gt;0,SUM(OFFSET(I292,,,,MATCH($F$3,$I$3:$T$3,0))),SUM(AC292:AN292))</f>
        <v>0</v>
      </c>
      <c r="G292" s="231">
        <f t="shared" ref="G292:G307" ca="1" si="202">SUM(OFFSET(I292,,,,MATCH($A$1,$I$3:$T$3,0)))</f>
        <v>0</v>
      </c>
      <c r="H292" s="244">
        <f t="shared" ca="1" si="189"/>
        <v>0</v>
      </c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76"/>
      <c r="T292" s="68"/>
      <c r="U292" s="34">
        <f t="shared" si="195"/>
        <v>2</v>
      </c>
      <c r="V292" s="69">
        <f t="shared" si="195"/>
        <v>290</v>
      </c>
      <c r="W292" s="62" t="s">
        <v>329</v>
      </c>
      <c r="X292" s="63"/>
      <c r="Y292" s="229">
        <f t="shared" ref="Y292:Y297" si="203">HLOOKUP($U$1,$AC$3:$AN$365,V292,0)</f>
        <v>0</v>
      </c>
      <c r="Z292" s="230">
        <f t="shared" ref="Z292:Z305" ca="1" si="204">IF($Z$3&gt;0,SUM(OFFSET(AC292,,,,MATCH($Z$3,$AC$3:$AN$3,0))),)</f>
        <v>0</v>
      </c>
      <c r="AA292" s="231">
        <f t="shared" ref="AA292:AA307" ca="1" si="205">SUM(OFFSET(AC292,,,,MATCH($U$1,$AC$3:$AN$3,0)))</f>
        <v>0</v>
      </c>
      <c r="AB292" s="244">
        <f t="shared" ca="1" si="177"/>
        <v>0</v>
      </c>
      <c r="AC292" s="68"/>
      <c r="AD292" s="68"/>
      <c r="AE292" s="68"/>
      <c r="AF292" s="68"/>
      <c r="AG292" s="68"/>
      <c r="AH292" s="68"/>
      <c r="AI292" s="68"/>
      <c r="AJ292" s="68"/>
      <c r="AK292" s="68"/>
      <c r="AL292" s="68"/>
      <c r="AM292" s="76"/>
      <c r="AN292" s="68"/>
    </row>
    <row r="293" spans="1:40" s="43" customFormat="1" ht="15" customHeight="1" outlineLevel="1" x14ac:dyDescent="0.15">
      <c r="A293" s="34">
        <v>2</v>
      </c>
      <c r="B293" s="85">
        <f t="shared" si="180"/>
        <v>291</v>
      </c>
      <c r="C293" s="70" t="s">
        <v>315</v>
      </c>
      <c r="D293" s="71"/>
      <c r="E293" s="235">
        <f t="shared" si="200"/>
        <v>0</v>
      </c>
      <c r="F293" s="236">
        <f t="shared" ca="1" si="201"/>
        <v>0</v>
      </c>
      <c r="G293" s="237">
        <f t="shared" ca="1" si="202"/>
        <v>0</v>
      </c>
      <c r="H293" s="216">
        <f t="shared" ca="1" si="189"/>
        <v>0</v>
      </c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34">
        <f t="shared" si="195"/>
        <v>2</v>
      </c>
      <c r="V293" s="69">
        <f t="shared" si="195"/>
        <v>291</v>
      </c>
      <c r="W293" s="70" t="s">
        <v>315</v>
      </c>
      <c r="X293" s="71"/>
      <c r="Y293" s="235">
        <f t="shared" si="203"/>
        <v>0</v>
      </c>
      <c r="Z293" s="236">
        <f t="shared" ca="1" si="204"/>
        <v>0</v>
      </c>
      <c r="AA293" s="237">
        <f t="shared" ca="1" si="205"/>
        <v>0</v>
      </c>
      <c r="AB293" s="216">
        <f t="shared" ca="1" si="177"/>
        <v>0</v>
      </c>
      <c r="AC293" s="76"/>
      <c r="AD293" s="76"/>
      <c r="AE293" s="76"/>
      <c r="AF293" s="76"/>
      <c r="AG293" s="76"/>
      <c r="AH293" s="76"/>
      <c r="AI293" s="76"/>
      <c r="AJ293" s="76"/>
      <c r="AK293" s="76"/>
      <c r="AL293" s="76"/>
      <c r="AM293" s="76"/>
      <c r="AN293" s="76"/>
    </row>
    <row r="294" spans="1:40" s="43" customFormat="1" ht="15" customHeight="1" outlineLevel="1" x14ac:dyDescent="0.15">
      <c r="A294" s="34">
        <v>2</v>
      </c>
      <c r="B294" s="85">
        <f t="shared" si="180"/>
        <v>292</v>
      </c>
      <c r="C294" s="70" t="s">
        <v>316</v>
      </c>
      <c r="D294" s="71"/>
      <c r="E294" s="235">
        <f t="shared" si="200"/>
        <v>0</v>
      </c>
      <c r="F294" s="236">
        <f t="shared" ca="1" si="201"/>
        <v>0</v>
      </c>
      <c r="G294" s="237">
        <f t="shared" ca="1" si="202"/>
        <v>0</v>
      </c>
      <c r="H294" s="216">
        <f t="shared" ca="1" si="189"/>
        <v>0</v>
      </c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34">
        <f t="shared" si="195"/>
        <v>2</v>
      </c>
      <c r="V294" s="69">
        <f t="shared" si="195"/>
        <v>292</v>
      </c>
      <c r="W294" s="70" t="s">
        <v>316</v>
      </c>
      <c r="X294" s="71"/>
      <c r="Y294" s="235">
        <f t="shared" si="203"/>
        <v>0</v>
      </c>
      <c r="Z294" s="236">
        <f t="shared" ca="1" si="204"/>
        <v>0</v>
      </c>
      <c r="AA294" s="237">
        <f t="shared" ca="1" si="205"/>
        <v>0</v>
      </c>
      <c r="AB294" s="216">
        <f t="shared" ca="1" si="177"/>
        <v>0</v>
      </c>
      <c r="AC294" s="76"/>
      <c r="AD294" s="76"/>
      <c r="AE294" s="76"/>
      <c r="AF294" s="76"/>
      <c r="AG294" s="76"/>
      <c r="AH294" s="76"/>
      <c r="AI294" s="76"/>
      <c r="AJ294" s="76"/>
      <c r="AK294" s="76"/>
      <c r="AL294" s="76"/>
      <c r="AM294" s="76"/>
      <c r="AN294" s="76"/>
    </row>
    <row r="295" spans="1:40" s="43" customFormat="1" ht="15" customHeight="1" outlineLevel="1" x14ac:dyDescent="0.15">
      <c r="A295" s="34">
        <v>2</v>
      </c>
      <c r="B295" s="85">
        <f t="shared" si="180"/>
        <v>293</v>
      </c>
      <c r="C295" s="70" t="s">
        <v>330</v>
      </c>
      <c r="D295" s="71"/>
      <c r="E295" s="235">
        <f t="shared" si="200"/>
        <v>0</v>
      </c>
      <c r="F295" s="236">
        <f t="shared" ca="1" si="201"/>
        <v>0</v>
      </c>
      <c r="G295" s="237">
        <f t="shared" ca="1" si="202"/>
        <v>0</v>
      </c>
      <c r="H295" s="216">
        <f t="shared" ca="1" si="189"/>
        <v>0</v>
      </c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34">
        <f t="shared" si="195"/>
        <v>2</v>
      </c>
      <c r="V295" s="69">
        <f t="shared" si="195"/>
        <v>293</v>
      </c>
      <c r="W295" s="69" t="str">
        <f>C295</f>
        <v>재고자산폐기손실</v>
      </c>
      <c r="X295" s="71"/>
      <c r="Y295" s="235">
        <f t="shared" si="203"/>
        <v>0</v>
      </c>
      <c r="Z295" s="236">
        <f t="shared" ca="1" si="204"/>
        <v>0</v>
      </c>
      <c r="AA295" s="237">
        <f t="shared" ca="1" si="205"/>
        <v>0</v>
      </c>
      <c r="AB295" s="216">
        <f t="shared" ca="1" si="177"/>
        <v>0</v>
      </c>
      <c r="AC295" s="76"/>
      <c r="AD295" s="76"/>
      <c r="AE295" s="76"/>
      <c r="AF295" s="76"/>
      <c r="AG295" s="76"/>
      <c r="AH295" s="76"/>
      <c r="AI295" s="76"/>
      <c r="AJ295" s="76"/>
      <c r="AK295" s="76"/>
      <c r="AL295" s="76"/>
      <c r="AM295" s="76"/>
      <c r="AN295" s="76"/>
    </row>
    <row r="296" spans="1:40" s="43" customFormat="1" ht="15" customHeight="1" outlineLevel="1" x14ac:dyDescent="0.15">
      <c r="A296" s="34">
        <v>2</v>
      </c>
      <c r="B296" s="85">
        <f t="shared" si="180"/>
        <v>294</v>
      </c>
      <c r="C296" s="70" t="s">
        <v>331</v>
      </c>
      <c r="D296" s="71"/>
      <c r="E296" s="235">
        <f t="shared" si="200"/>
        <v>0</v>
      </c>
      <c r="F296" s="236">
        <f t="shared" ca="1" si="201"/>
        <v>4000</v>
      </c>
      <c r="G296" s="237">
        <f t="shared" ca="1" si="202"/>
        <v>4000</v>
      </c>
      <c r="H296" s="216">
        <f t="shared" ca="1" si="189"/>
        <v>2.2505645582112353E-6</v>
      </c>
      <c r="I296" s="76"/>
      <c r="J296" s="76"/>
      <c r="K296" s="76"/>
      <c r="L296" s="76"/>
      <c r="M296" s="76">
        <v>4000</v>
      </c>
      <c r="N296" s="76"/>
      <c r="O296" s="76"/>
      <c r="P296" s="76"/>
      <c r="Q296" s="76"/>
      <c r="R296" s="76"/>
      <c r="S296" s="76"/>
      <c r="T296" s="76"/>
      <c r="U296" s="34">
        <f t="shared" si="195"/>
        <v>2</v>
      </c>
      <c r="V296" s="69">
        <f t="shared" si="195"/>
        <v>294</v>
      </c>
      <c r="W296" s="70" t="s">
        <v>332</v>
      </c>
      <c r="X296" s="71"/>
      <c r="Y296" s="235">
        <f t="shared" si="203"/>
        <v>0</v>
      </c>
      <c r="Z296" s="236">
        <f t="shared" ca="1" si="204"/>
        <v>0</v>
      </c>
      <c r="AA296" s="237">
        <f t="shared" ca="1" si="205"/>
        <v>0</v>
      </c>
      <c r="AB296" s="216">
        <f t="shared" ca="1" si="177"/>
        <v>0</v>
      </c>
      <c r="AC296" s="76"/>
      <c r="AD296" s="76"/>
      <c r="AE296" s="76"/>
      <c r="AF296" s="76"/>
      <c r="AG296" s="76"/>
      <c r="AH296" s="76"/>
      <c r="AI296" s="76"/>
      <c r="AJ296" s="76"/>
      <c r="AK296" s="76"/>
      <c r="AL296" s="76"/>
      <c r="AM296" s="76"/>
      <c r="AN296" s="76"/>
    </row>
    <row r="297" spans="1:40" s="43" customFormat="1" ht="15" customHeight="1" outlineLevel="1" x14ac:dyDescent="0.15">
      <c r="A297" s="34">
        <v>2</v>
      </c>
      <c r="B297" s="85">
        <f t="shared" si="180"/>
        <v>295</v>
      </c>
      <c r="C297" s="70" t="s">
        <v>333</v>
      </c>
      <c r="D297" s="71"/>
      <c r="E297" s="235">
        <f t="shared" si="200"/>
        <v>0</v>
      </c>
      <c r="F297" s="236">
        <f t="shared" ca="1" si="201"/>
        <v>36945985</v>
      </c>
      <c r="G297" s="237">
        <f t="shared" ca="1" si="202"/>
        <v>36945985</v>
      </c>
      <c r="H297" s="216">
        <f t="shared" ca="1" si="189"/>
        <v>2.0787331102300979E-2</v>
      </c>
      <c r="I297" s="76"/>
      <c r="J297" s="76"/>
      <c r="K297" s="76"/>
      <c r="L297" s="76"/>
      <c r="M297" s="76"/>
      <c r="N297" s="76"/>
      <c r="O297" s="76">
        <v>36945985</v>
      </c>
      <c r="P297" s="76"/>
      <c r="Q297" s="76"/>
      <c r="R297" s="76"/>
      <c r="S297" s="76"/>
      <c r="T297" s="76"/>
      <c r="U297" s="34">
        <f t="shared" si="195"/>
        <v>2</v>
      </c>
      <c r="V297" s="69">
        <f t="shared" si="195"/>
        <v>295</v>
      </c>
      <c r="W297" s="70" t="s">
        <v>333</v>
      </c>
      <c r="X297" s="71"/>
      <c r="Y297" s="235">
        <f t="shared" si="203"/>
        <v>-78877939</v>
      </c>
      <c r="Z297" s="236">
        <f t="shared" ca="1" si="204"/>
        <v>78877939</v>
      </c>
      <c r="AA297" s="237">
        <f t="shared" ca="1" si="205"/>
        <v>0</v>
      </c>
      <c r="AB297" s="216">
        <f t="shared" ca="1" si="177"/>
        <v>0</v>
      </c>
      <c r="AC297" s="76"/>
      <c r="AD297" s="76"/>
      <c r="AE297" s="76"/>
      <c r="AF297" s="76"/>
      <c r="AG297" s="76"/>
      <c r="AH297" s="76"/>
      <c r="AI297" s="76">
        <v>78877939</v>
      </c>
      <c r="AJ297" s="76"/>
      <c r="AK297" s="76"/>
      <c r="AL297" s="76"/>
      <c r="AM297" s="76"/>
      <c r="AN297" s="76">
        <v>-78877939</v>
      </c>
    </row>
    <row r="298" spans="1:40" s="43" customFormat="1" ht="15" customHeight="1" outlineLevel="1" x14ac:dyDescent="0.15">
      <c r="A298" s="34">
        <v>2</v>
      </c>
      <c r="B298" s="85">
        <f t="shared" si="180"/>
        <v>296</v>
      </c>
      <c r="C298" s="70" t="s">
        <v>334</v>
      </c>
      <c r="D298" s="71"/>
      <c r="E298" s="235"/>
      <c r="F298" s="236"/>
      <c r="G298" s="237">
        <f t="shared" ca="1" si="202"/>
        <v>0</v>
      </c>
      <c r="H298" s="216">
        <f t="shared" ca="1" si="189"/>
        <v>0</v>
      </c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34">
        <f t="shared" si="195"/>
        <v>2</v>
      </c>
      <c r="V298" s="69"/>
      <c r="W298" s="70" t="s">
        <v>335</v>
      </c>
      <c r="X298" s="71"/>
      <c r="Y298" s="235"/>
      <c r="Z298" s="236"/>
      <c r="AA298" s="237">
        <f t="shared" ca="1" si="205"/>
        <v>0</v>
      </c>
      <c r="AB298" s="216">
        <f t="shared" ca="1" si="177"/>
        <v>0</v>
      </c>
      <c r="AC298" s="76"/>
      <c r="AD298" s="76"/>
      <c r="AE298" s="76"/>
      <c r="AF298" s="76"/>
      <c r="AG298" s="76"/>
      <c r="AH298" s="76"/>
      <c r="AI298" s="76"/>
      <c r="AJ298" s="76"/>
      <c r="AK298" s="76"/>
      <c r="AL298" s="76"/>
      <c r="AM298" s="76"/>
      <c r="AN298" s="76"/>
    </row>
    <row r="299" spans="1:40" s="43" customFormat="1" ht="15" customHeight="1" outlineLevel="1" x14ac:dyDescent="0.15">
      <c r="A299" s="34">
        <v>2</v>
      </c>
      <c r="B299" s="85">
        <f t="shared" si="180"/>
        <v>297</v>
      </c>
      <c r="C299" s="70" t="s">
        <v>336</v>
      </c>
      <c r="D299" s="71"/>
      <c r="E299" s="235">
        <f t="shared" ref="E299:E307" si="206">HLOOKUP($A$1,$I$3:$T$365,B299,0)</f>
        <v>0</v>
      </c>
      <c r="F299" s="236">
        <f t="shared" ca="1" si="201"/>
        <v>0</v>
      </c>
      <c r="G299" s="237">
        <f t="shared" ca="1" si="202"/>
        <v>0</v>
      </c>
      <c r="H299" s="216">
        <f t="shared" ca="1" si="189"/>
        <v>0</v>
      </c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34">
        <f t="shared" si="195"/>
        <v>2</v>
      </c>
      <c r="V299" s="69">
        <f t="shared" si="195"/>
        <v>297</v>
      </c>
      <c r="W299" s="70" t="s">
        <v>336</v>
      </c>
      <c r="X299" s="71"/>
      <c r="Y299" s="235">
        <f t="shared" ref="Y299:Y305" si="207">HLOOKUP($U$1,$AC$3:$AN$365,V299,0)</f>
        <v>0</v>
      </c>
      <c r="Z299" s="236">
        <f t="shared" ca="1" si="204"/>
        <v>0</v>
      </c>
      <c r="AA299" s="237">
        <f t="shared" ca="1" si="205"/>
        <v>0</v>
      </c>
      <c r="AB299" s="216">
        <f t="shared" ca="1" si="177"/>
        <v>0</v>
      </c>
      <c r="AC299" s="76"/>
      <c r="AD299" s="76"/>
      <c r="AE299" s="76"/>
      <c r="AF299" s="76"/>
      <c r="AG299" s="76"/>
      <c r="AH299" s="76"/>
      <c r="AI299" s="76"/>
      <c r="AJ299" s="76"/>
      <c r="AK299" s="76"/>
      <c r="AL299" s="76"/>
      <c r="AM299" s="76"/>
      <c r="AN299" s="76"/>
    </row>
    <row r="300" spans="1:40" s="43" customFormat="1" ht="15" customHeight="1" outlineLevel="1" x14ac:dyDescent="0.15">
      <c r="A300" s="34">
        <v>2</v>
      </c>
      <c r="B300" s="85">
        <f t="shared" si="180"/>
        <v>298</v>
      </c>
      <c r="C300" s="70" t="s">
        <v>337</v>
      </c>
      <c r="D300" s="71"/>
      <c r="E300" s="235">
        <f t="shared" si="206"/>
        <v>0</v>
      </c>
      <c r="F300" s="236">
        <f t="shared" ca="1" si="201"/>
        <v>0</v>
      </c>
      <c r="G300" s="237">
        <f t="shared" ca="1" si="202"/>
        <v>0</v>
      </c>
      <c r="H300" s="216">
        <f t="shared" ca="1" si="189"/>
        <v>0</v>
      </c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34">
        <f t="shared" si="195"/>
        <v>2</v>
      </c>
      <c r="V300" s="69">
        <f t="shared" si="195"/>
        <v>298</v>
      </c>
      <c r="W300" s="70" t="s">
        <v>337</v>
      </c>
      <c r="X300" s="71"/>
      <c r="Y300" s="235">
        <f t="shared" si="207"/>
        <v>0</v>
      </c>
      <c r="Z300" s="236">
        <f t="shared" ca="1" si="204"/>
        <v>0</v>
      </c>
      <c r="AA300" s="237">
        <f t="shared" ca="1" si="205"/>
        <v>0</v>
      </c>
      <c r="AB300" s="216">
        <f t="shared" ca="1" si="177"/>
        <v>0</v>
      </c>
      <c r="AC300" s="76"/>
      <c r="AD300" s="76"/>
      <c r="AE300" s="76"/>
      <c r="AF300" s="76"/>
      <c r="AG300" s="76"/>
      <c r="AH300" s="76"/>
      <c r="AI300" s="76"/>
      <c r="AJ300" s="76"/>
      <c r="AK300" s="76"/>
      <c r="AL300" s="76"/>
      <c r="AM300" s="76"/>
      <c r="AN300" s="76"/>
    </row>
    <row r="301" spans="1:40" s="43" customFormat="1" ht="15" customHeight="1" outlineLevel="1" x14ac:dyDescent="0.15">
      <c r="A301" s="34">
        <v>2</v>
      </c>
      <c r="B301" s="85">
        <f t="shared" si="180"/>
        <v>299</v>
      </c>
      <c r="C301" s="70" t="s">
        <v>317</v>
      </c>
      <c r="D301" s="71"/>
      <c r="E301" s="235">
        <f t="shared" si="206"/>
        <v>0</v>
      </c>
      <c r="F301" s="236">
        <f t="shared" ca="1" si="201"/>
        <v>0</v>
      </c>
      <c r="G301" s="237">
        <f t="shared" ca="1" si="202"/>
        <v>0</v>
      </c>
      <c r="H301" s="216">
        <f t="shared" ca="1" si="189"/>
        <v>0</v>
      </c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34">
        <f t="shared" si="195"/>
        <v>2</v>
      </c>
      <c r="V301" s="69">
        <f t="shared" si="195"/>
        <v>299</v>
      </c>
      <c r="W301" s="70" t="s">
        <v>338</v>
      </c>
      <c r="X301" s="71"/>
      <c r="Y301" s="235">
        <f t="shared" si="207"/>
        <v>0</v>
      </c>
      <c r="Z301" s="236">
        <f t="shared" ca="1" si="204"/>
        <v>0</v>
      </c>
      <c r="AA301" s="237">
        <f t="shared" ca="1" si="205"/>
        <v>0</v>
      </c>
      <c r="AB301" s="216">
        <f t="shared" ca="1" si="177"/>
        <v>0</v>
      </c>
      <c r="AC301" s="76"/>
      <c r="AD301" s="76"/>
      <c r="AE301" s="76"/>
      <c r="AF301" s="76"/>
      <c r="AG301" s="76"/>
      <c r="AH301" s="76"/>
      <c r="AI301" s="76"/>
      <c r="AJ301" s="76"/>
      <c r="AK301" s="76"/>
      <c r="AL301" s="76"/>
      <c r="AM301" s="76"/>
      <c r="AN301" s="76"/>
    </row>
    <row r="302" spans="1:40" s="43" customFormat="1" ht="15" customHeight="1" outlineLevel="1" x14ac:dyDescent="0.15">
      <c r="A302" s="34">
        <v>2</v>
      </c>
      <c r="B302" s="85">
        <f t="shared" si="180"/>
        <v>300</v>
      </c>
      <c r="C302" s="70" t="s">
        <v>339</v>
      </c>
      <c r="D302" s="71"/>
      <c r="E302" s="235">
        <f t="shared" si="206"/>
        <v>0</v>
      </c>
      <c r="F302" s="236">
        <f t="shared" ca="1" si="201"/>
        <v>0</v>
      </c>
      <c r="G302" s="237">
        <f t="shared" ca="1" si="202"/>
        <v>0</v>
      </c>
      <c r="H302" s="216">
        <f t="shared" ca="1" si="189"/>
        <v>0</v>
      </c>
      <c r="I302" s="76"/>
      <c r="J302" s="76"/>
      <c r="K302" s="76"/>
      <c r="L302" s="76"/>
      <c r="M302" s="76"/>
      <c r="N302" s="76"/>
      <c r="O302" s="76"/>
      <c r="P302" s="76"/>
      <c r="Q302" s="76">
        <v>17743900</v>
      </c>
      <c r="R302" s="76">
        <v>-17743900</v>
      </c>
      <c r="S302" s="76"/>
      <c r="T302" s="76"/>
      <c r="U302" s="34">
        <f t="shared" si="195"/>
        <v>2</v>
      </c>
      <c r="V302" s="69">
        <f t="shared" si="195"/>
        <v>300</v>
      </c>
      <c r="W302" s="70" t="s">
        <v>339</v>
      </c>
      <c r="X302" s="71"/>
      <c r="Y302" s="235">
        <f t="shared" si="207"/>
        <v>0</v>
      </c>
      <c r="Z302" s="236">
        <f t="shared" ca="1" si="204"/>
        <v>0</v>
      </c>
      <c r="AA302" s="237">
        <f t="shared" ca="1" si="205"/>
        <v>0</v>
      </c>
      <c r="AB302" s="216">
        <f t="shared" ca="1" si="177"/>
        <v>0</v>
      </c>
      <c r="AC302" s="76"/>
      <c r="AD302" s="76"/>
      <c r="AE302" s="76"/>
      <c r="AF302" s="76"/>
      <c r="AG302" s="76"/>
      <c r="AH302" s="76"/>
      <c r="AI302" s="76"/>
      <c r="AJ302" s="76"/>
      <c r="AK302" s="76"/>
      <c r="AL302" s="76"/>
      <c r="AM302" s="76"/>
      <c r="AN302" s="76"/>
    </row>
    <row r="303" spans="1:40" s="43" customFormat="1" ht="15" customHeight="1" outlineLevel="1" x14ac:dyDescent="0.15">
      <c r="A303" s="34">
        <v>2</v>
      </c>
      <c r="B303" s="85">
        <f t="shared" si="180"/>
        <v>301</v>
      </c>
      <c r="C303" s="70" t="s">
        <v>340</v>
      </c>
      <c r="D303" s="71"/>
      <c r="E303" s="235">
        <f t="shared" si="206"/>
        <v>0</v>
      </c>
      <c r="F303" s="236">
        <f t="shared" ca="1" si="201"/>
        <v>0</v>
      </c>
      <c r="G303" s="237">
        <f t="shared" ca="1" si="202"/>
        <v>0</v>
      </c>
      <c r="H303" s="216">
        <f t="shared" ca="1" si="189"/>
        <v>0</v>
      </c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34">
        <f t="shared" si="195"/>
        <v>2</v>
      </c>
      <c r="V303" s="69">
        <f t="shared" si="195"/>
        <v>301</v>
      </c>
      <c r="W303" s="70" t="s">
        <v>340</v>
      </c>
      <c r="X303" s="71"/>
      <c r="Y303" s="235">
        <f t="shared" si="207"/>
        <v>425857708</v>
      </c>
      <c r="Z303" s="236">
        <f t="shared" ca="1" si="204"/>
        <v>0</v>
      </c>
      <c r="AA303" s="237">
        <f t="shared" ca="1" si="205"/>
        <v>425857708</v>
      </c>
      <c r="AB303" s="216">
        <f t="shared" ca="1" si="177"/>
        <v>0.37518505312189848</v>
      </c>
      <c r="AC303" s="76"/>
      <c r="AD303" s="76"/>
      <c r="AE303" s="76"/>
      <c r="AF303" s="76"/>
      <c r="AG303" s="76"/>
      <c r="AH303" s="76"/>
      <c r="AI303" s="76"/>
      <c r="AJ303" s="76"/>
      <c r="AK303" s="76"/>
      <c r="AL303" s="76"/>
      <c r="AM303" s="76"/>
      <c r="AN303" s="76">
        <v>425857708</v>
      </c>
    </row>
    <row r="304" spans="1:40" s="43" customFormat="1" ht="15" customHeight="1" outlineLevel="1" x14ac:dyDescent="0.15">
      <c r="A304" s="34">
        <v>2</v>
      </c>
      <c r="B304" s="85">
        <f t="shared" si="180"/>
        <v>302</v>
      </c>
      <c r="C304" s="86" t="s">
        <v>341</v>
      </c>
      <c r="D304" s="110"/>
      <c r="E304" s="233">
        <f t="shared" si="206"/>
        <v>0</v>
      </c>
      <c r="F304" s="260">
        <f t="shared" ca="1" si="201"/>
        <v>0</v>
      </c>
      <c r="G304" s="215">
        <f t="shared" ca="1" si="202"/>
        <v>0</v>
      </c>
      <c r="H304" s="216">
        <f t="shared" ca="1" si="189"/>
        <v>0</v>
      </c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34">
        <f t="shared" si="195"/>
        <v>2</v>
      </c>
      <c r="V304" s="69">
        <f t="shared" si="195"/>
        <v>302</v>
      </c>
      <c r="W304" s="86" t="s">
        <v>341</v>
      </c>
      <c r="X304" s="110"/>
      <c r="Y304" s="233">
        <f t="shared" si="207"/>
        <v>0</v>
      </c>
      <c r="Z304" s="260">
        <f t="shared" ca="1" si="204"/>
        <v>0</v>
      </c>
      <c r="AA304" s="215">
        <f t="shared" ca="1" si="205"/>
        <v>0</v>
      </c>
      <c r="AB304" s="216">
        <f t="shared" ca="1" si="177"/>
        <v>0</v>
      </c>
      <c r="AC304" s="76"/>
      <c r="AD304" s="76"/>
      <c r="AE304" s="76"/>
      <c r="AF304" s="76"/>
      <c r="AG304" s="76"/>
      <c r="AH304" s="76"/>
      <c r="AI304" s="76"/>
      <c r="AJ304" s="76"/>
      <c r="AK304" s="76"/>
      <c r="AL304" s="76"/>
      <c r="AM304" s="76"/>
      <c r="AN304" s="76"/>
    </row>
    <row r="305" spans="1:43" s="43" customFormat="1" ht="15" customHeight="1" outlineLevel="1" x14ac:dyDescent="0.15">
      <c r="A305" s="34">
        <v>2</v>
      </c>
      <c r="B305" s="85">
        <f t="shared" si="180"/>
        <v>303</v>
      </c>
      <c r="C305" s="70" t="s">
        <v>342</v>
      </c>
      <c r="D305" s="71"/>
      <c r="E305" s="235">
        <f t="shared" si="206"/>
        <v>5500000</v>
      </c>
      <c r="F305" s="236">
        <f t="shared" ca="1" si="201"/>
        <v>0</v>
      </c>
      <c r="G305" s="237">
        <f t="shared" ca="1" si="202"/>
        <v>5500000</v>
      </c>
      <c r="H305" s="216">
        <f t="shared" ca="1" si="189"/>
        <v>3.0945262675404483E-3</v>
      </c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>
        <v>5500000</v>
      </c>
      <c r="U305" s="34">
        <f t="shared" si="195"/>
        <v>2</v>
      </c>
      <c r="V305" s="69">
        <f t="shared" si="195"/>
        <v>303</v>
      </c>
      <c r="W305" s="70" t="s">
        <v>342</v>
      </c>
      <c r="X305" s="71"/>
      <c r="Y305" s="235">
        <f t="shared" si="207"/>
        <v>0</v>
      </c>
      <c r="Z305" s="236">
        <f t="shared" ca="1" si="204"/>
        <v>8000000</v>
      </c>
      <c r="AA305" s="237">
        <f t="shared" ca="1" si="205"/>
        <v>8000000</v>
      </c>
      <c r="AB305" s="216">
        <f t="shared" ca="1" si="177"/>
        <v>7.0480828891682007E-3</v>
      </c>
      <c r="AC305" s="76"/>
      <c r="AD305" s="76"/>
      <c r="AE305" s="76"/>
      <c r="AF305" s="76"/>
      <c r="AG305" s="76"/>
      <c r="AH305" s="76"/>
      <c r="AI305" s="76"/>
      <c r="AJ305" s="76">
        <v>8000000</v>
      </c>
      <c r="AK305" s="76"/>
      <c r="AL305" s="76"/>
      <c r="AM305" s="76"/>
      <c r="AN305" s="76"/>
    </row>
    <row r="306" spans="1:43" s="43" customFormat="1" ht="15" customHeight="1" outlineLevel="1" x14ac:dyDescent="0.15">
      <c r="A306" s="34">
        <v>2</v>
      </c>
      <c r="B306" s="85">
        <f t="shared" si="180"/>
        <v>304</v>
      </c>
      <c r="C306" s="70" t="s">
        <v>343</v>
      </c>
      <c r="D306" s="71"/>
      <c r="E306" s="235">
        <f t="shared" si="206"/>
        <v>0</v>
      </c>
      <c r="F306" s="236">
        <f t="shared" ca="1" si="201"/>
        <v>0</v>
      </c>
      <c r="G306" s="237">
        <f t="shared" ca="1" si="202"/>
        <v>0</v>
      </c>
      <c r="H306" s="216">
        <f t="shared" ca="1" si="189"/>
        <v>0</v>
      </c>
      <c r="I306" s="76"/>
      <c r="J306" s="76"/>
      <c r="K306" s="261"/>
      <c r="L306" s="262"/>
      <c r="M306" s="76"/>
      <c r="N306" s="76"/>
      <c r="O306" s="76"/>
      <c r="P306" s="76"/>
      <c r="Q306" s="76"/>
      <c r="R306" s="76"/>
      <c r="S306" s="76"/>
      <c r="T306" s="76"/>
      <c r="U306" s="34">
        <f t="shared" si="195"/>
        <v>2</v>
      </c>
      <c r="V306" s="69">
        <f t="shared" si="195"/>
        <v>304</v>
      </c>
      <c r="W306" s="70" t="s">
        <v>343</v>
      </c>
      <c r="X306" s="71"/>
      <c r="Y306" s="235"/>
      <c r="Z306" s="236"/>
      <c r="AA306" s="237">
        <f t="shared" ca="1" si="205"/>
        <v>0</v>
      </c>
      <c r="AB306" s="216">
        <f t="shared" ca="1" si="177"/>
        <v>0</v>
      </c>
      <c r="AC306" s="76"/>
      <c r="AD306" s="76"/>
      <c r="AE306" s="76"/>
      <c r="AF306" s="76"/>
      <c r="AG306" s="76"/>
      <c r="AH306" s="76"/>
      <c r="AI306" s="76"/>
      <c r="AJ306" s="76"/>
      <c r="AK306" s="76"/>
      <c r="AL306" s="76"/>
      <c r="AM306" s="76"/>
      <c r="AN306" s="76"/>
    </row>
    <row r="307" spans="1:43" s="43" customFormat="1" ht="15" customHeight="1" outlineLevel="1" x14ac:dyDescent="0.15">
      <c r="A307" s="34">
        <v>2</v>
      </c>
      <c r="B307" s="85">
        <f t="shared" si="180"/>
        <v>305</v>
      </c>
      <c r="C307" s="78" t="s">
        <v>344</v>
      </c>
      <c r="D307" s="79"/>
      <c r="E307" s="241">
        <f t="shared" si="206"/>
        <v>3288560</v>
      </c>
      <c r="F307" s="242">
        <f t="shared" ca="1" si="201"/>
        <v>6343184</v>
      </c>
      <c r="G307" s="243">
        <f t="shared" ca="1" si="202"/>
        <v>9631744</v>
      </c>
      <c r="H307" s="221">
        <f t="shared" ca="1" si="189"/>
        <v>5.4192154200409281E-3</v>
      </c>
      <c r="I307" s="84">
        <v>126104</v>
      </c>
      <c r="J307" s="84"/>
      <c r="K307" s="84">
        <v>2</v>
      </c>
      <c r="L307" s="84">
        <v>412</v>
      </c>
      <c r="M307" s="84">
        <v>3859</v>
      </c>
      <c r="N307" s="84"/>
      <c r="O307" s="84">
        <v>581</v>
      </c>
      <c r="P307" s="84"/>
      <c r="Q307" s="84">
        <v>6212025</v>
      </c>
      <c r="R307" s="76">
        <v>201</v>
      </c>
      <c r="S307" s="84"/>
      <c r="T307" s="76">
        <v>3288560</v>
      </c>
      <c r="U307" s="34">
        <f t="shared" si="195"/>
        <v>2</v>
      </c>
      <c r="V307" s="69">
        <f t="shared" si="195"/>
        <v>305</v>
      </c>
      <c r="W307" s="78" t="s">
        <v>344</v>
      </c>
      <c r="X307" s="79"/>
      <c r="Y307" s="241">
        <f>HLOOKUP($U$1,$AC$3:$AN$365,V307,0)</f>
        <v>-511174</v>
      </c>
      <c r="Z307" s="242">
        <f ca="1">IF($Z$3&gt;0,SUM(OFFSET(AC307,,,,MATCH($Z$3,$AC$3:$AN$3,0))),)</f>
        <v>55993508</v>
      </c>
      <c r="AA307" s="243">
        <f t="shared" ca="1" si="205"/>
        <v>55482334</v>
      </c>
      <c r="AB307" s="221">
        <f t="shared" ca="1" si="177"/>
        <v>4.888051111456438E-2</v>
      </c>
      <c r="AC307" s="84"/>
      <c r="AD307" s="84">
        <v>1985450</v>
      </c>
      <c r="AE307" s="84">
        <v>22182714</v>
      </c>
      <c r="AF307" s="84">
        <v>31295574</v>
      </c>
      <c r="AG307" s="84"/>
      <c r="AH307" s="84"/>
      <c r="AI307" s="84"/>
      <c r="AJ307" s="84"/>
      <c r="AK307" s="84"/>
      <c r="AL307" s="84">
        <v>-1011</v>
      </c>
      <c r="AM307" s="84">
        <v>530781</v>
      </c>
      <c r="AN307" s="84">
        <v>-511174</v>
      </c>
    </row>
    <row r="308" spans="1:43" s="158" customFormat="1" ht="15" customHeight="1" x14ac:dyDescent="0.15">
      <c r="A308" s="34">
        <v>2</v>
      </c>
      <c r="B308" s="85">
        <f t="shared" si="180"/>
        <v>306</v>
      </c>
      <c r="C308" s="151" t="s">
        <v>345</v>
      </c>
      <c r="D308" s="152"/>
      <c r="E308" s="153">
        <f>E253+E254+E263-E280-E291</f>
        <v>4833872988</v>
      </c>
      <c r="F308" s="154">
        <f ca="1">F253+F254+F263-F280-F291</f>
        <v>-59516483756</v>
      </c>
      <c r="G308" s="155">
        <f ca="1">G253+G254+G263-G280-G291</f>
        <v>24741856029</v>
      </c>
      <c r="H308" s="222">
        <f t="shared" ca="1" si="189"/>
        <v>13.920786070808091</v>
      </c>
      <c r="I308" s="153">
        <f t="shared" ref="I308:T308" si="208">I253+I254+I263-I280-I291</f>
        <v>982083107</v>
      </c>
      <c r="J308" s="153">
        <f t="shared" si="208"/>
        <v>980870421</v>
      </c>
      <c r="K308" s="153">
        <f t="shared" si="208"/>
        <v>8176026623.6514549</v>
      </c>
      <c r="L308" s="153">
        <f t="shared" si="208"/>
        <v>1826857090.3485451</v>
      </c>
      <c r="M308" s="153">
        <f t="shared" si="208"/>
        <v>1828720908</v>
      </c>
      <c r="N308" s="153">
        <f t="shared" si="208"/>
        <v>522711331</v>
      </c>
      <c r="O308" s="153">
        <f t="shared" si="208"/>
        <v>1526192520</v>
      </c>
      <c r="P308" s="153">
        <f t="shared" si="208"/>
        <v>757763953</v>
      </c>
      <c r="Q308" s="153">
        <f t="shared" si="208"/>
        <v>3683239672</v>
      </c>
      <c r="R308" s="153">
        <f t="shared" si="208"/>
        <v>-41949779</v>
      </c>
      <c r="S308" s="153">
        <f t="shared" si="208"/>
        <v>58366194</v>
      </c>
      <c r="T308" s="153">
        <f t="shared" si="208"/>
        <v>4440973988</v>
      </c>
      <c r="U308" s="34">
        <f t="shared" si="195"/>
        <v>2</v>
      </c>
      <c r="V308" s="69">
        <f t="shared" si="195"/>
        <v>306</v>
      </c>
      <c r="W308" s="151" t="s">
        <v>345</v>
      </c>
      <c r="X308" s="152"/>
      <c r="Y308" s="153">
        <f>Y253+Y254+Y263-Y280-Y291</f>
        <v>-1681678188</v>
      </c>
      <c r="Z308" s="154">
        <f ca="1">Z253+Z254+Z263-Z280-Z291</f>
        <v>14319616604</v>
      </c>
      <c r="AA308" s="155">
        <f ca="1">AA253+AA254+AA263-AA280-AA291</f>
        <v>12307627069</v>
      </c>
      <c r="AB308" s="222">
        <f t="shared" ca="1" si="177"/>
        <v>10.843146968910283</v>
      </c>
      <c r="AC308" s="153">
        <f t="shared" ref="AC308:AN308" si="209">AC253+AC254+AC263-AC280-AC291</f>
        <v>1593255376</v>
      </c>
      <c r="AD308" s="153">
        <f t="shared" si="209"/>
        <v>604202164</v>
      </c>
      <c r="AE308" s="153">
        <f t="shared" si="209"/>
        <v>2000172784</v>
      </c>
      <c r="AF308" s="153">
        <f t="shared" si="209"/>
        <v>319520744</v>
      </c>
      <c r="AG308" s="153">
        <f t="shared" si="209"/>
        <v>1122941466</v>
      </c>
      <c r="AH308" s="153">
        <f t="shared" si="209"/>
        <v>1564232958</v>
      </c>
      <c r="AI308" s="153">
        <f t="shared" si="209"/>
        <v>1158900036</v>
      </c>
      <c r="AJ308" s="153">
        <f t="shared" si="209"/>
        <v>93328875</v>
      </c>
      <c r="AK308" s="153">
        <f t="shared" si="209"/>
        <v>487432547</v>
      </c>
      <c r="AL308" s="153">
        <f t="shared" si="209"/>
        <v>1526911523</v>
      </c>
      <c r="AM308" s="153">
        <f t="shared" si="209"/>
        <v>630847202</v>
      </c>
      <c r="AN308" s="153">
        <f t="shared" si="209"/>
        <v>1205881394</v>
      </c>
      <c r="AO308" s="52"/>
      <c r="AQ308" s="52"/>
    </row>
    <row r="309" spans="1:43" s="43" customFormat="1" ht="15" customHeight="1" x14ac:dyDescent="0.15">
      <c r="A309" s="34">
        <v>2</v>
      </c>
      <c r="B309" s="85">
        <f t="shared" si="180"/>
        <v>307</v>
      </c>
      <c r="C309" s="36" t="s">
        <v>346</v>
      </c>
      <c r="D309" s="37"/>
      <c r="E309" s="185">
        <f>HLOOKUP($A$1,$I$3:$T$365,B309,0)</f>
        <v>0</v>
      </c>
      <c r="F309" s="263">
        <f ca="1">IF($F$3&gt;0,SUM(OFFSET(I309,,,,MATCH($F$3,$I$3:$T$3,0))),SUM(AC309:AN309))</f>
        <v>3672841396</v>
      </c>
      <c r="G309" s="243">
        <f ca="1">SUM(OFFSET(I309,,,,MATCH($A$1,$I$3:$T$3,0)))</f>
        <v>3672841396</v>
      </c>
      <c r="H309" s="264">
        <f t="shared" ca="1" si="189"/>
        <v>2.0664916684421688</v>
      </c>
      <c r="I309" s="139">
        <v>231903540</v>
      </c>
      <c r="J309" s="139">
        <v>205001918</v>
      </c>
      <c r="K309" s="139">
        <f>-2875476+1790549831</f>
        <v>1787674355</v>
      </c>
      <c r="L309" s="139">
        <v>372967439</v>
      </c>
      <c r="M309" s="139">
        <v>382202670</v>
      </c>
      <c r="N309" s="145">
        <v>-568176237</v>
      </c>
      <c r="O309" s="139">
        <v>318974237</v>
      </c>
      <c r="P309" s="139">
        <v>158372666</v>
      </c>
      <c r="Q309" s="145">
        <v>780489777</v>
      </c>
      <c r="R309" s="139">
        <v>-8767504</v>
      </c>
      <c r="S309" s="139">
        <v>12198535</v>
      </c>
      <c r="T309" s="139"/>
      <c r="U309" s="34">
        <f t="shared" si="195"/>
        <v>2</v>
      </c>
      <c r="V309" s="69">
        <f t="shared" si="195"/>
        <v>307</v>
      </c>
      <c r="W309" s="36" t="s">
        <v>346</v>
      </c>
      <c r="X309" s="37"/>
      <c r="Y309" s="185">
        <f>HLOOKUP($U$1,$AC$3:$AN$365,V309,0)</f>
        <v>664602115</v>
      </c>
      <c r="Z309" s="263">
        <f ca="1">IF($Z$3&gt;0,SUM(OFFSET(AC309,,,,MATCH($Z$3,$AC$3:$AN$3,0))),)</f>
        <v>2977563353</v>
      </c>
      <c r="AA309" s="265">
        <f ca="1">SUM(OFFSET(AC309,,,,MATCH($U$1,$AC$3:$AN$3,0)))</f>
        <v>3642165468</v>
      </c>
      <c r="AB309" s="264">
        <f t="shared" ca="1" si="177"/>
        <v>3.2087855143162614</v>
      </c>
      <c r="AC309" s="139">
        <v>376402431</v>
      </c>
      <c r="AD309" s="139">
        <v>153213862</v>
      </c>
      <c r="AE309" s="139">
        <v>458769151</v>
      </c>
      <c r="AF309" s="139">
        <v>172288950</v>
      </c>
      <c r="AG309" s="139">
        <v>242586425</v>
      </c>
      <c r="AH309" s="139">
        <v>520441135</v>
      </c>
      <c r="AI309" s="139">
        <v>267226314</v>
      </c>
      <c r="AJ309" s="139">
        <v>24692600</v>
      </c>
      <c r="AK309" s="139">
        <v>278546534</v>
      </c>
      <c r="AL309" s="139">
        <v>346028501</v>
      </c>
      <c r="AM309" s="139">
        <v>137367450</v>
      </c>
      <c r="AN309" s="139">
        <v>664602115</v>
      </c>
    </row>
    <row r="310" spans="1:43" s="158" customFormat="1" ht="15" customHeight="1" x14ac:dyDescent="0.15">
      <c r="A310" s="34">
        <v>2</v>
      </c>
      <c r="B310" s="85">
        <f t="shared" si="180"/>
        <v>308</v>
      </c>
      <c r="C310" s="151" t="s">
        <v>220</v>
      </c>
      <c r="D310" s="152"/>
      <c r="E310" s="153">
        <f>E308-E309</f>
        <v>4833872988</v>
      </c>
      <c r="F310" s="154">
        <f ca="1">F308-F309</f>
        <v>-63189325152</v>
      </c>
      <c r="G310" s="155">
        <f ca="1">G308-G309</f>
        <v>21069014633</v>
      </c>
      <c r="H310" s="222">
        <f t="shared" ca="1" si="189"/>
        <v>11.854294402365923</v>
      </c>
      <c r="I310" s="153">
        <f t="shared" ref="I310:T310" si="210">I308-I309</f>
        <v>750179567</v>
      </c>
      <c r="J310" s="153">
        <f t="shared" si="210"/>
        <v>775868503</v>
      </c>
      <c r="K310" s="153">
        <f t="shared" si="210"/>
        <v>6388352268.6514549</v>
      </c>
      <c r="L310" s="153">
        <f t="shared" si="210"/>
        <v>1453889651.3485451</v>
      </c>
      <c r="M310" s="153">
        <f>M308-M309</f>
        <v>1446518238</v>
      </c>
      <c r="N310" s="153">
        <f t="shared" si="210"/>
        <v>1090887568</v>
      </c>
      <c r="O310" s="153">
        <f t="shared" si="210"/>
        <v>1207218283</v>
      </c>
      <c r="P310" s="153">
        <f t="shared" si="210"/>
        <v>599391287</v>
      </c>
      <c r="Q310" s="153">
        <f t="shared" si="210"/>
        <v>2902749895</v>
      </c>
      <c r="R310" s="153">
        <f t="shared" si="210"/>
        <v>-33182275</v>
      </c>
      <c r="S310" s="153">
        <f t="shared" si="210"/>
        <v>46167659</v>
      </c>
      <c r="T310" s="153">
        <f t="shared" si="210"/>
        <v>4440973988</v>
      </c>
      <c r="U310" s="34">
        <f t="shared" si="195"/>
        <v>2</v>
      </c>
      <c r="V310" s="69">
        <f t="shared" si="195"/>
        <v>308</v>
      </c>
      <c r="W310" s="151" t="s">
        <v>220</v>
      </c>
      <c r="X310" s="152"/>
      <c r="Y310" s="153">
        <f>Y308-Y309</f>
        <v>-2346280303</v>
      </c>
      <c r="Z310" s="154">
        <f ca="1">Z308-Z309</f>
        <v>11342053251</v>
      </c>
      <c r="AA310" s="155">
        <f ca="1">AA308-AA309</f>
        <v>8665461601</v>
      </c>
      <c r="AB310" s="222">
        <f t="shared" ca="1" si="177"/>
        <v>7.6343614545940213</v>
      </c>
      <c r="AC310" s="153">
        <f t="shared" ref="AC310:AN310" si="211">AC308-AC309</f>
        <v>1216852945</v>
      </c>
      <c r="AD310" s="153">
        <f t="shared" si="211"/>
        <v>450988302</v>
      </c>
      <c r="AE310" s="153">
        <f t="shared" si="211"/>
        <v>1541403633</v>
      </c>
      <c r="AF310" s="153">
        <f t="shared" si="211"/>
        <v>147231794</v>
      </c>
      <c r="AG310" s="153">
        <f t="shared" si="211"/>
        <v>880355041</v>
      </c>
      <c r="AH310" s="153">
        <f t="shared" si="211"/>
        <v>1043791823</v>
      </c>
      <c r="AI310" s="153">
        <f t="shared" si="211"/>
        <v>891673722</v>
      </c>
      <c r="AJ310" s="153">
        <f t="shared" si="211"/>
        <v>68636275</v>
      </c>
      <c r="AK310" s="153">
        <f t="shared" si="211"/>
        <v>208886013</v>
      </c>
      <c r="AL310" s="153">
        <f t="shared" si="211"/>
        <v>1180883022</v>
      </c>
      <c r="AM310" s="153">
        <f t="shared" si="211"/>
        <v>493479752</v>
      </c>
      <c r="AN310" s="153">
        <f t="shared" si="211"/>
        <v>541279279</v>
      </c>
      <c r="AO310" s="52"/>
      <c r="AQ310" s="52"/>
    </row>
    <row r="311" spans="1:43" s="43" customFormat="1" ht="15" customHeight="1" x14ac:dyDescent="0.15">
      <c r="A311" s="34">
        <v>2</v>
      </c>
      <c r="B311" s="85">
        <f t="shared" si="180"/>
        <v>309</v>
      </c>
      <c r="C311" s="266" t="s">
        <v>347</v>
      </c>
      <c r="D311" s="267"/>
      <c r="E311" s="268">
        <f>E312+E315+E316</f>
        <v>10808194457</v>
      </c>
      <c r="F311" s="269"/>
      <c r="G311" s="270">
        <f ca="1">G312+G314+G315+G316</f>
        <v>10750249022</v>
      </c>
      <c r="H311" s="264">
        <f t="shared" ca="1" si="189"/>
        <v>6.0485323602145478</v>
      </c>
      <c r="I311" s="268">
        <f t="shared" ref="I311:T311" si="212">SUM(I312:I316)</f>
        <v>1225780000</v>
      </c>
      <c r="J311" s="268">
        <f t="shared" si="212"/>
        <v>-210420000</v>
      </c>
      <c r="K311" s="268">
        <f t="shared" si="212"/>
        <v>-783721969</v>
      </c>
      <c r="L311" s="268">
        <f t="shared" si="212"/>
        <v>1038636305</v>
      </c>
      <c r="M311" s="268">
        <f t="shared" si="212"/>
        <v>2097520000</v>
      </c>
      <c r="N311" s="268">
        <f t="shared" si="212"/>
        <v>-3437765781</v>
      </c>
      <c r="O311" s="268">
        <f t="shared" si="212"/>
        <v>935149577</v>
      </c>
      <c r="P311" s="268">
        <f t="shared" si="212"/>
        <v>-57000000</v>
      </c>
      <c r="Q311" s="268">
        <f t="shared" si="212"/>
        <v>-930636982</v>
      </c>
      <c r="R311" s="268">
        <f t="shared" si="212"/>
        <v>478407527</v>
      </c>
      <c r="S311" s="268">
        <f t="shared" si="212"/>
        <v>-418101000</v>
      </c>
      <c r="T311" s="268">
        <f t="shared" si="212"/>
        <v>10831403945</v>
      </c>
      <c r="U311" s="34">
        <f t="shared" si="195"/>
        <v>2</v>
      </c>
      <c r="V311" s="69">
        <f t="shared" si="195"/>
        <v>309</v>
      </c>
      <c r="W311" s="266" t="s">
        <v>347</v>
      </c>
      <c r="X311" s="267"/>
      <c r="Y311" s="268">
        <f>SUM(Y312:Y316)</f>
        <v>-1530799297</v>
      </c>
      <c r="Z311" s="269">
        <f ca="1">SUM(Z312:Z316)</f>
        <v>10664630</v>
      </c>
      <c r="AA311" s="270">
        <f ca="1">SUM(AA312:AA316)</f>
        <v>-2200606360</v>
      </c>
      <c r="AB311" s="264">
        <f t="shared" ca="1" si="177"/>
        <v>-1.9387570039638398</v>
      </c>
      <c r="AC311" s="268">
        <f t="shared" ref="AC311:AN311" si="213">SUM(AC312:AC316)</f>
        <v>-1376080000</v>
      </c>
      <c r="AD311" s="268">
        <f t="shared" si="213"/>
        <v>-113560000</v>
      </c>
      <c r="AE311" s="268">
        <f t="shared" si="213"/>
        <v>1081960746</v>
      </c>
      <c r="AF311" s="268">
        <f t="shared" si="213"/>
        <v>-3002878311</v>
      </c>
      <c r="AG311" s="268">
        <f t="shared" si="213"/>
        <v>73480000</v>
      </c>
      <c r="AH311" s="268">
        <f t="shared" si="213"/>
        <v>3114090231</v>
      </c>
      <c r="AI311" s="268">
        <f t="shared" si="213"/>
        <v>-827286618</v>
      </c>
      <c r="AJ311" s="268">
        <f t="shared" si="213"/>
        <v>1646620000</v>
      </c>
      <c r="AK311" s="268">
        <f t="shared" si="213"/>
        <v>-1403911601</v>
      </c>
      <c r="AL311" s="268">
        <f t="shared" si="213"/>
        <v>-182427272</v>
      </c>
      <c r="AM311" s="268">
        <f t="shared" si="213"/>
        <v>-380760000</v>
      </c>
      <c r="AN311" s="268">
        <f t="shared" si="213"/>
        <v>-829853535</v>
      </c>
    </row>
    <row r="312" spans="1:43" s="43" customFormat="1" ht="15" customHeight="1" x14ac:dyDescent="0.15">
      <c r="A312" s="34">
        <v>2</v>
      </c>
      <c r="B312" s="85">
        <f t="shared" si="180"/>
        <v>310</v>
      </c>
      <c r="C312" s="271" t="s">
        <v>348</v>
      </c>
      <c r="D312" s="272"/>
      <c r="E312" s="273">
        <f>HLOOKUP($A$1,$I$3:$T$365,B312,0)</f>
        <v>9092339398</v>
      </c>
      <c r="F312" s="274">
        <f ca="1">IF($F$3&gt;0,SUM(OFFSET(I312,,,,MATCH($F$3,$I$3:$T$3,0))),SUM(AC312:AN312))</f>
        <v>-133368799</v>
      </c>
      <c r="G312" s="275">
        <f ca="1">SUM(OFFSET(I312,,,,MATCH($A$1,$I$3:$T$3,0)))</f>
        <v>8958970599</v>
      </c>
      <c r="H312" s="276">
        <f t="shared" ca="1" si="189"/>
        <v>5.0406854270414696</v>
      </c>
      <c r="I312" s="277"/>
      <c r="J312" s="277"/>
      <c r="K312" s="277">
        <v>64446883</v>
      </c>
      <c r="L312" s="277"/>
      <c r="M312" s="277"/>
      <c r="N312" s="90">
        <v>-130377580</v>
      </c>
      <c r="O312" s="277"/>
      <c r="P312" s="277"/>
      <c r="Q312" s="277">
        <v>-94334502</v>
      </c>
      <c r="R312" s="277"/>
      <c r="S312" s="277">
        <v>26896400</v>
      </c>
      <c r="T312" s="277">
        <v>9092339398</v>
      </c>
      <c r="U312" s="34">
        <f t="shared" si="195"/>
        <v>2</v>
      </c>
      <c r="V312" s="69">
        <f t="shared" si="195"/>
        <v>310</v>
      </c>
      <c r="W312" s="271" t="s">
        <v>348</v>
      </c>
      <c r="X312" s="272"/>
      <c r="Y312" s="273">
        <f>HLOOKUP($U$1,$AC$3:$AN$365,V312,0)</f>
        <v>2653662483</v>
      </c>
      <c r="Z312" s="274">
        <f ca="1">IF($Z$3&gt;0,SUM(OFFSET(AC312,,,,MATCH($Z$3,$AC$3:$AN$3,0))),)</f>
        <v>11350440</v>
      </c>
      <c r="AA312" s="275">
        <f ca="1">SUM(OFFSET(AC312,,,,MATCH($U$1,$AC$3:$AN$3,0)))</f>
        <v>2665012923</v>
      </c>
      <c r="AB312" s="276">
        <f t="shared" ca="1" si="177"/>
        <v>2.3479039977510539</v>
      </c>
      <c r="AC312" s="277"/>
      <c r="AD312" s="277"/>
      <c r="AE312" s="277">
        <v>-159408000</v>
      </c>
      <c r="AF312" s="277"/>
      <c r="AG312" s="277"/>
      <c r="AH312" s="277">
        <v>502191288</v>
      </c>
      <c r="AI312" s="277"/>
      <c r="AJ312" s="277"/>
      <c r="AK312" s="277">
        <v>-331432848</v>
      </c>
      <c r="AL312" s="277"/>
      <c r="AM312" s="277"/>
      <c r="AN312" s="277">
        <v>2653662483</v>
      </c>
    </row>
    <row r="313" spans="1:43" s="43" customFormat="1" ht="15" customHeight="1" x14ac:dyDescent="0.15">
      <c r="A313" s="34">
        <v>2</v>
      </c>
      <c r="B313" s="85">
        <f t="shared" si="180"/>
        <v>311</v>
      </c>
      <c r="C313" s="278" t="s">
        <v>219</v>
      </c>
      <c r="D313" s="163"/>
      <c r="E313" s="279"/>
      <c r="F313" s="280"/>
      <c r="G313" s="281">
        <f ca="1">SUM(OFFSET(I313,,,,MATCH($A$1,$I$3:$T$3,0)))</f>
        <v>19002600</v>
      </c>
      <c r="H313" s="282">
        <f t="shared" ca="1" si="189"/>
        <v>1.0691644518466204E-2</v>
      </c>
      <c r="I313" s="171"/>
      <c r="J313" s="171"/>
      <c r="K313" s="171"/>
      <c r="L313" s="171"/>
      <c r="M313" s="171"/>
      <c r="N313" s="171"/>
      <c r="O313" s="171"/>
      <c r="P313" s="171"/>
      <c r="Q313" s="171"/>
      <c r="R313" s="171"/>
      <c r="S313" s="171">
        <v>19002600</v>
      </c>
      <c r="T313" s="171"/>
      <c r="U313" s="34">
        <f t="shared" si="195"/>
        <v>2</v>
      </c>
      <c r="V313" s="69">
        <f t="shared" si="195"/>
        <v>311</v>
      </c>
      <c r="W313" s="283" t="s">
        <v>219</v>
      </c>
      <c r="X313" s="163"/>
      <c r="Y313" s="279"/>
      <c r="Z313" s="280"/>
      <c r="AA313" s="281"/>
      <c r="AB313" s="282"/>
      <c r="AC313" s="171"/>
      <c r="AD313" s="171"/>
      <c r="AE313" s="171"/>
      <c r="AF313" s="171"/>
      <c r="AG313" s="171"/>
      <c r="AH313" s="171"/>
      <c r="AI313" s="171"/>
      <c r="AJ313" s="171"/>
      <c r="AK313" s="171"/>
      <c r="AL313" s="171"/>
      <c r="AM313" s="171"/>
      <c r="AN313" s="171"/>
    </row>
    <row r="314" spans="1:43" s="43" customFormat="1" ht="15" customHeight="1" x14ac:dyDescent="0.15">
      <c r="A314" s="34">
        <v>2</v>
      </c>
      <c r="B314" s="85">
        <f>B313+1</f>
        <v>312</v>
      </c>
      <c r="C314" s="283" t="s">
        <v>349</v>
      </c>
      <c r="D314" s="163"/>
      <c r="E314" s="279">
        <f>HLOOKUP($A$1,$I$3:$T$365,B314,0)</f>
        <v>23209488</v>
      </c>
      <c r="F314" s="280">
        <f ca="1">IF($F$3&gt;0,SUM(OFFSET(I314,,,,MATCH($F$3,$I$3:$T$3,0))),SUM(AC314:AN314))</f>
        <v>55759627</v>
      </c>
      <c r="G314" s="281">
        <f ca="1">SUM(OFFSET(I314,,,,MATCH($A$1,$I$3:$T$3,0)))</f>
        <v>78969115</v>
      </c>
      <c r="H314" s="282">
        <f t="shared" ca="1" si="189"/>
        <v>4.4431272853076804E-2</v>
      </c>
      <c r="I314" s="171">
        <v>1225780000</v>
      </c>
      <c r="J314" s="171">
        <v>-210420000</v>
      </c>
      <c r="K314" s="171">
        <v>-845178141</v>
      </c>
      <c r="L314" s="171">
        <v>1038636305</v>
      </c>
      <c r="M314" s="171">
        <v>2097520000</v>
      </c>
      <c r="N314" s="98">
        <v>-3307496025</v>
      </c>
      <c r="O314" s="171">
        <v>935149577</v>
      </c>
      <c r="P314" s="171">
        <v>-57000000</v>
      </c>
      <c r="Q314" s="171">
        <v>-835639616</v>
      </c>
      <c r="R314" s="171">
        <v>478407527</v>
      </c>
      <c r="S314" s="171">
        <v>-464000000</v>
      </c>
      <c r="T314" s="171">
        <v>23209488</v>
      </c>
      <c r="U314" s="34">
        <f t="shared" si="195"/>
        <v>2</v>
      </c>
      <c r="V314" s="69">
        <f t="shared" si="195"/>
        <v>312</v>
      </c>
      <c r="W314" s="283" t="s">
        <v>349</v>
      </c>
      <c r="X314" s="163"/>
      <c r="Y314" s="279"/>
      <c r="Z314" s="280"/>
      <c r="AA314" s="281">
        <f ca="1">SUM(OFFSET(AC314,,,,MATCH($U$1,$AC$3:$AN$3,0)))</f>
        <v>-680471693</v>
      </c>
      <c r="AB314" s="282">
        <f t="shared" ca="1" si="177"/>
        <v>-0.59950261199957711</v>
      </c>
      <c r="AC314" s="171">
        <v>-1376080000</v>
      </c>
      <c r="AD314" s="171">
        <v>-113560000</v>
      </c>
      <c r="AE314" s="171">
        <v>1243139388</v>
      </c>
      <c r="AF314" s="171">
        <v>-3002878311</v>
      </c>
      <c r="AG314" s="171">
        <v>73480000</v>
      </c>
      <c r="AH314" s="171">
        <v>2611313332</v>
      </c>
      <c r="AI314" s="171">
        <v>-827286618</v>
      </c>
      <c r="AJ314" s="171">
        <v>1646620000</v>
      </c>
      <c r="AK314" s="171">
        <v>-1072977974</v>
      </c>
      <c r="AL314" s="171">
        <v>-182427272</v>
      </c>
      <c r="AM314" s="171">
        <v>-380760000</v>
      </c>
      <c r="AN314" s="171">
        <v>700945762</v>
      </c>
    </row>
    <row r="315" spans="1:43" s="43" customFormat="1" ht="15" customHeight="1" x14ac:dyDescent="0.15">
      <c r="A315" s="34">
        <v>2</v>
      </c>
      <c r="B315" s="85">
        <f t="shared" si="180"/>
        <v>313</v>
      </c>
      <c r="C315" s="283" t="s">
        <v>218</v>
      </c>
      <c r="D315" s="163"/>
      <c r="E315" s="279">
        <f>HLOOKUP($A$1,$I$3:$T$365,B315,0)</f>
        <v>1715855059</v>
      </c>
      <c r="F315" s="280">
        <f ca="1">IF($F$3&gt;0,SUM(OFFSET(I315,,,,MATCH($F$3,$I$3:$T$3,0))),SUM(AC315:AN315))</f>
        <v>-3545751</v>
      </c>
      <c r="G315" s="281">
        <f ca="1">SUM(OFFSET(I315,,,,MATCH($A$1,$I$3:$T$3,0)))</f>
        <v>1712309308</v>
      </c>
      <c r="H315" s="282">
        <f t="shared" ca="1" si="189"/>
        <v>0.96341566032000137</v>
      </c>
      <c r="I315" s="171"/>
      <c r="J315" s="171"/>
      <c r="K315" s="171">
        <v>-2990711</v>
      </c>
      <c r="L315" s="284"/>
      <c r="M315" s="171"/>
      <c r="N315" s="171">
        <v>107824</v>
      </c>
      <c r="O315" s="171"/>
      <c r="P315" s="171"/>
      <c r="Q315" s="171">
        <v>-662864</v>
      </c>
      <c r="R315" s="171"/>
      <c r="S315" s="171"/>
      <c r="T315" s="171">
        <v>1715855059</v>
      </c>
      <c r="U315" s="34">
        <f t="shared" si="195"/>
        <v>2</v>
      </c>
      <c r="V315" s="69">
        <f t="shared" si="195"/>
        <v>313</v>
      </c>
      <c r="W315" s="283" t="s">
        <v>218</v>
      </c>
      <c r="X315" s="163"/>
      <c r="Y315" s="279">
        <f>HLOOKUP($U$1,$AC$3:$AN$365,V315,0)</f>
        <v>-4184461780</v>
      </c>
      <c r="Z315" s="280">
        <f ca="1">IF($Z$3&gt;0,SUM(OFFSET(AC315,,,,MATCH($Z$3,$AC$3:$AN$3,0))),)</f>
        <v>-685810</v>
      </c>
      <c r="AA315" s="281">
        <f ca="1">SUM(OFFSET(AC315,,,,MATCH($U$1,$AC$3:$AN$3,0)))</f>
        <v>-4185147590</v>
      </c>
      <c r="AB315" s="282">
        <f t="shared" ca="1" si="177"/>
        <v>-3.6871583897153162</v>
      </c>
      <c r="AC315" s="171"/>
      <c r="AD315" s="171"/>
      <c r="AE315" s="171">
        <v>-1770642</v>
      </c>
      <c r="AF315" s="171"/>
      <c r="AG315" s="171"/>
      <c r="AH315" s="171">
        <v>585611</v>
      </c>
      <c r="AI315" s="171"/>
      <c r="AJ315" s="171"/>
      <c r="AK315" s="171">
        <v>499221</v>
      </c>
      <c r="AL315" s="171"/>
      <c r="AM315" s="171"/>
      <c r="AN315" s="171">
        <v>-4184461780</v>
      </c>
    </row>
    <row r="316" spans="1:43" s="43" customFormat="1" ht="15" customHeight="1" x14ac:dyDescent="0.15">
      <c r="A316" s="34">
        <v>2</v>
      </c>
      <c r="B316" s="85">
        <f t="shared" si="180"/>
        <v>314</v>
      </c>
      <c r="C316" s="285" t="s">
        <v>205</v>
      </c>
      <c r="D316" s="174"/>
      <c r="E316" s="286">
        <f>HLOOKUP($A$1,$I$3:$T$365,B316,0)</f>
        <v>0</v>
      </c>
      <c r="F316" s="287">
        <f ca="1">IF($F$3&gt;0,SUM(OFFSET(I316,,,,MATCH($F$3,$I$3:$T$3,0))),SUM(AC316:AN316))</f>
        <v>0</v>
      </c>
      <c r="G316" s="288">
        <f ca="1">SUM(OFFSET(I316,,,,MATCH($A$1,$I$3:$T$3,0)))</f>
        <v>0</v>
      </c>
      <c r="H316" s="204">
        <f t="shared" ca="1" si="189"/>
        <v>0</v>
      </c>
      <c r="I316" s="205"/>
      <c r="J316" s="205"/>
      <c r="K316" s="289"/>
      <c r="L316" s="205"/>
      <c r="M316" s="205"/>
      <c r="N316" s="205"/>
      <c r="O316" s="205"/>
      <c r="P316" s="205"/>
      <c r="Q316" s="205"/>
      <c r="R316" s="205"/>
      <c r="S316" s="205"/>
      <c r="T316" s="205"/>
      <c r="U316" s="34">
        <f t="shared" si="195"/>
        <v>2</v>
      </c>
      <c r="V316" s="69">
        <f t="shared" si="195"/>
        <v>314</v>
      </c>
      <c r="W316" s="285" t="s">
        <v>205</v>
      </c>
      <c r="X316" s="174"/>
      <c r="Y316" s="286">
        <f>HLOOKUP($U$1,$AC$3:$AN$365,V316,0)</f>
        <v>0</v>
      </c>
      <c r="Z316" s="287">
        <f ca="1">IF($Z$3&gt;0,SUM(OFFSET(AC316,,,,MATCH($Z$3,$AC$3:$AN$3,0))),)</f>
        <v>0</v>
      </c>
      <c r="AA316" s="288">
        <f ca="1">SUM(OFFSET(AC316,,,,MATCH($U$1,$AC$3:$AN$3,0)))</f>
        <v>0</v>
      </c>
      <c r="AB316" s="204">
        <f t="shared" ca="1" si="177"/>
        <v>0</v>
      </c>
      <c r="AC316" s="205"/>
      <c r="AD316" s="205"/>
      <c r="AE316" s="205"/>
      <c r="AF316" s="205"/>
      <c r="AG316" s="205"/>
      <c r="AH316" s="205"/>
      <c r="AI316" s="205"/>
      <c r="AJ316" s="205"/>
      <c r="AK316" s="205"/>
      <c r="AL316" s="205"/>
      <c r="AM316" s="205"/>
      <c r="AN316" s="205"/>
    </row>
    <row r="317" spans="1:43" s="158" customFormat="1" ht="15" customHeight="1" x14ac:dyDescent="0.15">
      <c r="A317" s="34">
        <v>2</v>
      </c>
      <c r="B317" s="85">
        <f t="shared" si="180"/>
        <v>315</v>
      </c>
      <c r="C317" s="151" t="s">
        <v>350</v>
      </c>
      <c r="D317" s="152"/>
      <c r="E317" s="153">
        <f>E310+E311</f>
        <v>15642067445</v>
      </c>
      <c r="F317" s="154">
        <f ca="1">F310+F311</f>
        <v>-63189325152</v>
      </c>
      <c r="G317" s="155">
        <f ca="1">G310+G311</f>
        <v>31819263655</v>
      </c>
      <c r="H317" s="222">
        <f t="shared" ca="1" si="189"/>
        <v>17.902826762580471</v>
      </c>
      <c r="I317" s="153">
        <f t="shared" ref="I317:T317" si="214">I310+I311</f>
        <v>1975959567</v>
      </c>
      <c r="J317" s="153">
        <f t="shared" si="214"/>
        <v>565448503</v>
      </c>
      <c r="K317" s="153">
        <f t="shared" si="214"/>
        <v>5604630299.6514549</v>
      </c>
      <c r="L317" s="153">
        <f t="shared" si="214"/>
        <v>2492525956.3485451</v>
      </c>
      <c r="M317" s="153">
        <f>M310+M311</f>
        <v>3544038238</v>
      </c>
      <c r="N317" s="153">
        <f>N310+N311</f>
        <v>-2346878213</v>
      </c>
      <c r="O317" s="153">
        <f t="shared" si="214"/>
        <v>2142367860</v>
      </c>
      <c r="P317" s="153">
        <f t="shared" si="214"/>
        <v>542391287</v>
      </c>
      <c r="Q317" s="153">
        <f t="shared" si="214"/>
        <v>1972112913</v>
      </c>
      <c r="R317" s="153">
        <f t="shared" si="214"/>
        <v>445225252</v>
      </c>
      <c r="S317" s="153">
        <f t="shared" si="214"/>
        <v>-371933341</v>
      </c>
      <c r="T317" s="153">
        <f t="shared" si="214"/>
        <v>15272377933</v>
      </c>
      <c r="U317" s="34">
        <f t="shared" si="195"/>
        <v>2</v>
      </c>
      <c r="V317" s="69">
        <f t="shared" si="195"/>
        <v>315</v>
      </c>
      <c r="W317" s="151" t="s">
        <v>350</v>
      </c>
      <c r="X317" s="152"/>
      <c r="Y317" s="153">
        <f>Y310+Y311</f>
        <v>-3877079600</v>
      </c>
      <c r="Z317" s="154">
        <f ca="1">Z310+Z311</f>
        <v>11352717881</v>
      </c>
      <c r="AA317" s="155">
        <f ca="1">AA310+AA311</f>
        <v>6464855241</v>
      </c>
      <c r="AB317" s="222">
        <f t="shared" ca="1" si="177"/>
        <v>5.6956044506301824</v>
      </c>
      <c r="AC317" s="153">
        <f t="shared" ref="AC317:AN317" si="215">AC310+AC311</f>
        <v>-159227055</v>
      </c>
      <c r="AD317" s="153">
        <f t="shared" si="215"/>
        <v>337428302</v>
      </c>
      <c r="AE317" s="153">
        <f t="shared" si="215"/>
        <v>2623364379</v>
      </c>
      <c r="AF317" s="153">
        <f t="shared" si="215"/>
        <v>-2855646517</v>
      </c>
      <c r="AG317" s="153">
        <f t="shared" si="215"/>
        <v>953835041</v>
      </c>
      <c r="AH317" s="153">
        <f t="shared" si="215"/>
        <v>4157882054</v>
      </c>
      <c r="AI317" s="153">
        <f t="shared" si="215"/>
        <v>64387104</v>
      </c>
      <c r="AJ317" s="153">
        <f t="shared" si="215"/>
        <v>1715256275</v>
      </c>
      <c r="AK317" s="153">
        <f t="shared" si="215"/>
        <v>-1195025588</v>
      </c>
      <c r="AL317" s="153">
        <f t="shared" si="215"/>
        <v>998455750</v>
      </c>
      <c r="AM317" s="153">
        <f t="shared" si="215"/>
        <v>112719752</v>
      </c>
      <c r="AN317" s="153">
        <f t="shared" si="215"/>
        <v>-288574256</v>
      </c>
      <c r="AO317" s="52"/>
      <c r="AQ317" s="52"/>
    </row>
    <row r="318" spans="1:43" s="43" customFormat="1" ht="15" customHeight="1" x14ac:dyDescent="0.15">
      <c r="A318" s="34">
        <v>2</v>
      </c>
      <c r="B318" s="85">
        <f t="shared" si="180"/>
        <v>316</v>
      </c>
      <c r="C318" s="36" t="s">
        <v>351</v>
      </c>
      <c r="D318" s="37"/>
      <c r="E318" s="290"/>
      <c r="F318" s="291"/>
      <c r="G318" s="292">
        <f ca="1">ROUND(G309/G308*100,2)</f>
        <v>14.84</v>
      </c>
      <c r="H318" s="264">
        <f t="shared" ca="1" si="189"/>
        <v>8.3495945109636819E-9</v>
      </c>
      <c r="I318" s="290">
        <f t="shared" ref="I318:T318" si="216">IF(I3&lt;=$A$1,ROUND(I309/I308*100,2),)</f>
        <v>23.61</v>
      </c>
      <c r="J318" s="290">
        <f t="shared" si="216"/>
        <v>20.9</v>
      </c>
      <c r="K318" s="290">
        <f t="shared" si="216"/>
        <v>21.86</v>
      </c>
      <c r="L318" s="290">
        <f t="shared" si="216"/>
        <v>20.420000000000002</v>
      </c>
      <c r="M318" s="290">
        <f t="shared" si="216"/>
        <v>20.9</v>
      </c>
      <c r="N318" s="290">
        <f t="shared" si="216"/>
        <v>-108.7</v>
      </c>
      <c r="O318" s="290">
        <f t="shared" si="216"/>
        <v>20.9</v>
      </c>
      <c r="P318" s="290">
        <f t="shared" si="216"/>
        <v>20.9</v>
      </c>
      <c r="Q318" s="290">
        <f t="shared" si="216"/>
        <v>21.19</v>
      </c>
      <c r="R318" s="290">
        <f t="shared" si="216"/>
        <v>20.9</v>
      </c>
      <c r="S318" s="290">
        <f t="shared" si="216"/>
        <v>20.9</v>
      </c>
      <c r="T318" s="290">
        <f t="shared" si="216"/>
        <v>0</v>
      </c>
      <c r="U318" s="34">
        <f t="shared" si="195"/>
        <v>2</v>
      </c>
      <c r="V318" s="69">
        <f t="shared" si="195"/>
        <v>316</v>
      </c>
      <c r="W318" s="36" t="s">
        <v>351</v>
      </c>
      <c r="X318" s="37"/>
      <c r="Y318" s="290"/>
      <c r="Z318" s="291"/>
      <c r="AA318" s="292">
        <f ca="1">ROUND(AA309/AA308*100,2)</f>
        <v>29.59</v>
      </c>
      <c r="AB318" s="264">
        <f t="shared" ca="1" si="177"/>
        <v>2.606909658631088E-8</v>
      </c>
      <c r="AC318" s="290">
        <f t="shared" ref="AC318:AM318" si="217">IF(AC3&lt;=$U$1,ROUND(AC309/AC308*100,2),)</f>
        <v>23.62</v>
      </c>
      <c r="AD318" s="290">
        <f t="shared" si="217"/>
        <v>25.36</v>
      </c>
      <c r="AE318" s="290">
        <f t="shared" si="217"/>
        <v>22.94</v>
      </c>
      <c r="AF318" s="290">
        <f t="shared" si="217"/>
        <v>53.92</v>
      </c>
      <c r="AG318" s="290">
        <f t="shared" si="217"/>
        <v>21.6</v>
      </c>
      <c r="AH318" s="290">
        <f t="shared" si="217"/>
        <v>33.270000000000003</v>
      </c>
      <c r="AI318" s="290">
        <f t="shared" si="217"/>
        <v>23.06</v>
      </c>
      <c r="AJ318" s="290">
        <f t="shared" si="217"/>
        <v>26.46</v>
      </c>
      <c r="AK318" s="290">
        <f t="shared" si="217"/>
        <v>57.15</v>
      </c>
      <c r="AL318" s="290">
        <f t="shared" si="217"/>
        <v>22.66</v>
      </c>
      <c r="AM318" s="290">
        <f t="shared" si="217"/>
        <v>21.78</v>
      </c>
      <c r="AN318" s="290">
        <f t="shared" ref="AN318" si="218">IF(AN3&lt;=$A$1,ROUND(AN309/AN308*100,2),)</f>
        <v>55.11</v>
      </c>
    </row>
    <row r="319" spans="1:43" s="158" customFormat="1" ht="15" customHeight="1" x14ac:dyDescent="0.15">
      <c r="A319" s="34">
        <v>3</v>
      </c>
      <c r="B319" s="85">
        <f t="shared" si="180"/>
        <v>317</v>
      </c>
      <c r="C319" s="151" t="s">
        <v>352</v>
      </c>
      <c r="D319" s="152"/>
      <c r="E319" s="153">
        <f>E320+E321-E322-E323</f>
        <v>2018180864</v>
      </c>
      <c r="F319" s="154">
        <f>F320+F321-F322-F323</f>
        <v>0</v>
      </c>
      <c r="G319" s="155">
        <f ca="1">G320+G321-G322-G323</f>
        <v>6499874620</v>
      </c>
      <c r="H319" s="222">
        <f t="shared" ca="1" si="189"/>
        <v>3.6570968631471792</v>
      </c>
      <c r="I319" s="153">
        <f t="shared" ref="I319:T319" si="219">I320+I321-I322-I323</f>
        <v>0</v>
      </c>
      <c r="J319" s="153">
        <f t="shared" si="219"/>
        <v>1162123909</v>
      </c>
      <c r="K319" s="153">
        <f t="shared" si="219"/>
        <v>1850421596.3485446</v>
      </c>
      <c r="L319" s="153">
        <f t="shared" si="219"/>
        <v>2319292848.6514554</v>
      </c>
      <c r="M319" s="153">
        <f t="shared" si="219"/>
        <v>2209153103</v>
      </c>
      <c r="N319" s="153">
        <f t="shared" si="219"/>
        <v>-6809523572</v>
      </c>
      <c r="O319" s="153">
        <f t="shared" si="219"/>
        <v>114091898</v>
      </c>
      <c r="P319" s="153">
        <f t="shared" si="219"/>
        <v>102888029</v>
      </c>
      <c r="Q319" s="153">
        <f>Q320+Q321-Q322-Q323</f>
        <v>781976273</v>
      </c>
      <c r="R319" s="153">
        <f>R320+R321-R322-R323</f>
        <v>1205340643</v>
      </c>
      <c r="S319" s="153">
        <f>S320+S321-S322-S323</f>
        <v>1545929028</v>
      </c>
      <c r="T319" s="153">
        <f t="shared" si="219"/>
        <v>2018180864</v>
      </c>
      <c r="U319" s="34">
        <f t="shared" si="195"/>
        <v>3</v>
      </c>
      <c r="V319" s="69">
        <f t="shared" si="195"/>
        <v>317</v>
      </c>
      <c r="W319" s="151" t="s">
        <v>352</v>
      </c>
      <c r="X319" s="152"/>
      <c r="Y319" s="153">
        <f>Y320+Y321-Y322-Y323</f>
        <v>0</v>
      </c>
      <c r="Z319" s="154">
        <f ca="1">Z320+Z321-Z322-Z323</f>
        <v>0</v>
      </c>
      <c r="AA319" s="155">
        <f ca="1">AA320+AA321-AA322-AA323</f>
        <v>0</v>
      </c>
      <c r="AB319" s="222">
        <f t="shared" ca="1" si="177"/>
        <v>0</v>
      </c>
      <c r="AC319" s="153">
        <f t="shared" ref="AC319:AN319" si="220">AC320+AC321-AC322-AC323</f>
        <v>0</v>
      </c>
      <c r="AD319" s="153">
        <f t="shared" si="220"/>
        <v>0</v>
      </c>
      <c r="AE319" s="153">
        <f t="shared" si="220"/>
        <v>0</v>
      </c>
      <c r="AF319" s="153">
        <f t="shared" si="220"/>
        <v>0</v>
      </c>
      <c r="AG319" s="153">
        <f t="shared" si="220"/>
        <v>0</v>
      </c>
      <c r="AH319" s="153">
        <f t="shared" si="220"/>
        <v>0</v>
      </c>
      <c r="AI319" s="153">
        <f t="shared" si="220"/>
        <v>0</v>
      </c>
      <c r="AJ319" s="153">
        <f t="shared" si="220"/>
        <v>0</v>
      </c>
      <c r="AK319" s="153">
        <f>AK320+AK321-AK322-AK323</f>
        <v>0</v>
      </c>
      <c r="AL319" s="153">
        <f>AL320+AL321-AL322-AL323</f>
        <v>0</v>
      </c>
      <c r="AM319" s="153">
        <f>AM320+AM321-AM322-AM323</f>
        <v>0</v>
      </c>
      <c r="AN319" s="153">
        <f t="shared" si="220"/>
        <v>0</v>
      </c>
      <c r="AQ319" s="52"/>
    </row>
    <row r="320" spans="1:43" s="43" customFormat="1" ht="15" customHeight="1" x14ac:dyDescent="0.15">
      <c r="A320" s="34">
        <v>3</v>
      </c>
      <c r="B320" s="85">
        <f t="shared" si="180"/>
        <v>318</v>
      </c>
      <c r="C320" s="62" t="s">
        <v>353</v>
      </c>
      <c r="D320" s="63"/>
      <c r="E320" s="229">
        <f t="shared" ref="E320:E325" si="221">HLOOKUP($A$1,$I$3:$T$365,B320,0)</f>
        <v>1040864922</v>
      </c>
      <c r="F320" s="230"/>
      <c r="G320" s="231">
        <f>+J320</f>
        <v>0</v>
      </c>
      <c r="H320" s="244">
        <f t="shared" ca="1" si="189"/>
        <v>0</v>
      </c>
      <c r="I320" s="113">
        <f>AN323</f>
        <v>0</v>
      </c>
      <c r="J320" s="113"/>
      <c r="K320" s="113">
        <f t="shared" ref="K320:T320" si="222">IF($A$1&gt;J3,J323,0)</f>
        <v>882939146</v>
      </c>
      <c r="L320" s="113">
        <f t="shared" si="222"/>
        <v>1208829449.6514554</v>
      </c>
      <c r="M320" s="113">
        <f>IF($A$1&gt;L3,L323,0)</f>
        <v>1110344969</v>
      </c>
      <c r="N320" s="113">
        <f t="shared" si="222"/>
        <v>961774433</v>
      </c>
      <c r="O320" s="113">
        <f t="shared" si="222"/>
        <v>43800328</v>
      </c>
      <c r="P320" s="113">
        <f t="shared" si="222"/>
        <v>196309832</v>
      </c>
      <c r="Q320" s="113">
        <f t="shared" si="222"/>
        <v>61911660</v>
      </c>
      <c r="R320" s="113">
        <f t="shared" si="222"/>
        <v>62204791</v>
      </c>
      <c r="S320" s="113">
        <f t="shared" si="222"/>
        <v>1018818636</v>
      </c>
      <c r="T320" s="113">
        <f t="shared" si="222"/>
        <v>1040864922</v>
      </c>
      <c r="U320" s="34">
        <f t="shared" si="195"/>
        <v>3</v>
      </c>
      <c r="V320" s="69">
        <f t="shared" si="195"/>
        <v>318</v>
      </c>
      <c r="W320" s="62" t="s">
        <v>353</v>
      </c>
      <c r="X320" s="63"/>
      <c r="Y320" s="229">
        <f t="shared" ref="Y320:Y325" si="223">HLOOKUP($U$1,$AC$3:$AN$365,V320,0)</f>
        <v>0</v>
      </c>
      <c r="Z320" s="230">
        <f>IF($Z$3&gt;0,AC320,)</f>
        <v>0</v>
      </c>
      <c r="AA320" s="231">
        <f>AC320</f>
        <v>0</v>
      </c>
      <c r="AB320" s="244">
        <f t="shared" ca="1" si="177"/>
        <v>0</v>
      </c>
      <c r="AC320" s="234"/>
      <c r="AD320" s="113">
        <f t="shared" ref="AD320:AN320" si="224">IF($U$1&gt;AC3,AC323,0)</f>
        <v>0</v>
      </c>
      <c r="AE320" s="113">
        <f t="shared" si="224"/>
        <v>0</v>
      </c>
      <c r="AF320" s="113">
        <f t="shared" si="224"/>
        <v>0</v>
      </c>
      <c r="AG320" s="113">
        <f t="shared" si="224"/>
        <v>0</v>
      </c>
      <c r="AH320" s="113">
        <f t="shared" si="224"/>
        <v>0</v>
      </c>
      <c r="AI320" s="113">
        <f t="shared" si="224"/>
        <v>0</v>
      </c>
      <c r="AJ320" s="113">
        <f t="shared" si="224"/>
        <v>0</v>
      </c>
      <c r="AK320" s="113">
        <f t="shared" si="224"/>
        <v>0</v>
      </c>
      <c r="AL320" s="113">
        <f t="shared" si="224"/>
        <v>0</v>
      </c>
      <c r="AM320" s="113">
        <f t="shared" si="224"/>
        <v>0</v>
      </c>
      <c r="AN320" s="113">
        <f t="shared" si="224"/>
        <v>0</v>
      </c>
    </row>
    <row r="321" spans="1:43" s="43" customFormat="1" ht="15" customHeight="1" x14ac:dyDescent="0.15">
      <c r="A321" s="34">
        <v>3</v>
      </c>
      <c r="B321" s="85">
        <f t="shared" si="180"/>
        <v>319</v>
      </c>
      <c r="C321" s="70" t="s">
        <v>354</v>
      </c>
      <c r="D321" s="71"/>
      <c r="E321" s="235">
        <f t="shared" si="221"/>
        <v>4108952026</v>
      </c>
      <c r="F321" s="236"/>
      <c r="G321" s="237">
        <f ca="1">SUM(OFFSET(I321,,,,MATCH($A$1,$I$3:$T$3,0)))</f>
        <v>22716181971</v>
      </c>
      <c r="H321" s="216">
        <f t="shared" ca="1" si="189"/>
        <v>12.781058510452409</v>
      </c>
      <c r="I321" s="76"/>
      <c r="J321" s="76">
        <f>1208680936+841774048</f>
        <v>2050454984</v>
      </c>
      <c r="K321" s="76">
        <v>2217038253</v>
      </c>
      <c r="L321" s="76">
        <v>2222085924</v>
      </c>
      <c r="M321" s="293">
        <v>2063483621</v>
      </c>
      <c r="N321" s="76">
        <v>1496441346</v>
      </c>
      <c r="O321" s="76">
        <v>1550184299</v>
      </c>
      <c r="P321" s="76">
        <v>1481849520</v>
      </c>
      <c r="Q321" s="76">
        <v>1400039192</v>
      </c>
      <c r="R321" s="76">
        <v>1842060944</v>
      </c>
      <c r="S321" s="76">
        <v>2283591862</v>
      </c>
      <c r="T321" s="76">
        <v>4108952026</v>
      </c>
      <c r="U321" s="34">
        <f t="shared" si="195"/>
        <v>3</v>
      </c>
      <c r="V321" s="69">
        <f t="shared" si="195"/>
        <v>319</v>
      </c>
      <c r="W321" s="70" t="s">
        <v>354</v>
      </c>
      <c r="X321" s="71"/>
      <c r="Y321" s="235">
        <f t="shared" si="223"/>
        <v>0</v>
      </c>
      <c r="Z321" s="236">
        <f ca="1">IF($Z$3&gt;0,SUM(OFFSET(AC321,,,,MATCH($Z$3,$AC$3:$AN$3,0))),)</f>
        <v>0</v>
      </c>
      <c r="AA321" s="237">
        <f ca="1">SUM(OFFSET(AC321,,,,MATCH($U$1,$AC$3:$AN$3,0)))</f>
        <v>0</v>
      </c>
      <c r="AB321" s="216">
        <f t="shared" ca="1" si="177"/>
        <v>0</v>
      </c>
      <c r="AC321" s="76"/>
      <c r="AD321" s="294"/>
      <c r="AE321" s="76"/>
      <c r="AF321" s="76"/>
      <c r="AG321" s="76"/>
      <c r="AH321" s="76"/>
      <c r="AI321" s="76"/>
      <c r="AJ321" s="76"/>
      <c r="AK321" s="76"/>
      <c r="AL321" s="76"/>
      <c r="AM321" s="76"/>
      <c r="AN321" s="76"/>
    </row>
    <row r="322" spans="1:43" s="43" customFormat="1" ht="15" customHeight="1" x14ac:dyDescent="0.15">
      <c r="A322" s="34">
        <v>3</v>
      </c>
      <c r="B322" s="85">
        <f t="shared" si="180"/>
        <v>320</v>
      </c>
      <c r="C322" s="70" t="s">
        <v>355</v>
      </c>
      <c r="D322" s="71"/>
      <c r="E322" s="235">
        <f t="shared" si="221"/>
        <v>1486782797</v>
      </c>
      <c r="F322" s="236"/>
      <c r="G322" s="237">
        <f ca="1">SUM(OFFSET(I322,,,,MATCH($A$1,$I$3:$T$3,0)))</f>
        <v>14571454064</v>
      </c>
      <c r="H322" s="216">
        <f t="shared" ca="1" si="189"/>
        <v>8.1984995195103654</v>
      </c>
      <c r="I322" s="76"/>
      <c r="J322" s="76">
        <f>92764+5246621+52544</f>
        <v>5391929</v>
      </c>
      <c r="K322" s="76">
        <f>7034187+33692166</f>
        <v>40726353</v>
      </c>
      <c r="L322" s="76">
        <v>1277556</v>
      </c>
      <c r="M322" s="76">
        <v>2901054</v>
      </c>
      <c r="N322" s="98">
        <v>9223939023</v>
      </c>
      <c r="O322" s="98">
        <v>1283582897</v>
      </c>
      <c r="P322" s="98">
        <v>1513359663</v>
      </c>
      <c r="Q322" s="98">
        <v>617769788</v>
      </c>
      <c r="R322" s="98">
        <v>-319893544</v>
      </c>
      <c r="S322" s="76">
        <v>715616548</v>
      </c>
      <c r="T322" s="76">
        <v>1486782797</v>
      </c>
      <c r="U322" s="34">
        <f t="shared" si="195"/>
        <v>3</v>
      </c>
      <c r="V322" s="69">
        <f t="shared" si="195"/>
        <v>320</v>
      </c>
      <c r="W322" s="70" t="s">
        <v>355</v>
      </c>
      <c r="X322" s="71"/>
      <c r="Y322" s="235">
        <f t="shared" si="223"/>
        <v>0</v>
      </c>
      <c r="Z322" s="236">
        <f ca="1">IF($Z$3&gt;0,SUM(OFFSET(AC322,,,,MATCH($Z$3,$AC$3:$AN$3,0))),)</f>
        <v>0</v>
      </c>
      <c r="AA322" s="237">
        <f ca="1">SUM(OFFSET(AC322,,,,MATCH($U$1,$AC$3:$AN$3,0)))</f>
        <v>0</v>
      </c>
      <c r="AB322" s="216">
        <f t="shared" ref="AB322:AB365" ca="1" si="225">IF(ISERROR(AA322/$AA$194*100),"",(AA322/$AA$194*100))</f>
        <v>0</v>
      </c>
      <c r="AC322" s="76"/>
      <c r="AD322" s="76"/>
      <c r="AE322" s="76"/>
      <c r="AF322" s="76"/>
      <c r="AG322" s="76"/>
      <c r="AH322" s="76"/>
      <c r="AI322" s="76"/>
      <c r="AJ322" s="76"/>
      <c r="AK322" s="76"/>
      <c r="AL322" s="76"/>
      <c r="AM322" s="76"/>
      <c r="AN322" s="76"/>
    </row>
    <row r="323" spans="1:43" s="43" customFormat="1" ht="15" customHeight="1" x14ac:dyDescent="0.15">
      <c r="A323" s="34">
        <v>3</v>
      </c>
      <c r="B323" s="85">
        <f t="shared" si="180"/>
        <v>321</v>
      </c>
      <c r="C323" s="78" t="s">
        <v>356</v>
      </c>
      <c r="D323" s="79"/>
      <c r="E323" s="241">
        <f t="shared" si="221"/>
        <v>1644853287</v>
      </c>
      <c r="F323" s="242"/>
      <c r="G323" s="243">
        <f>E323</f>
        <v>1644853287</v>
      </c>
      <c r="H323" s="221">
        <f t="shared" ca="1" si="189"/>
        <v>0.92546212779486325</v>
      </c>
      <c r="I323" s="118">
        <f t="shared" ref="I323:N323" si="226">I35</f>
        <v>0</v>
      </c>
      <c r="J323" s="118">
        <f t="shared" si="226"/>
        <v>882939146</v>
      </c>
      <c r="K323" s="118">
        <f t="shared" si="226"/>
        <v>1208829449.6514554</v>
      </c>
      <c r="L323" s="118">
        <f t="shared" si="226"/>
        <v>1110344969</v>
      </c>
      <c r="M323" s="118">
        <f t="shared" si="226"/>
        <v>961774433</v>
      </c>
      <c r="N323" s="118">
        <f t="shared" si="226"/>
        <v>43800328</v>
      </c>
      <c r="O323" s="118">
        <f>O37</f>
        <v>196309832</v>
      </c>
      <c r="P323" s="118">
        <f>P35</f>
        <v>61911660</v>
      </c>
      <c r="Q323" s="118">
        <f>Q35</f>
        <v>62204791</v>
      </c>
      <c r="R323" s="118">
        <f>R35</f>
        <v>1018818636</v>
      </c>
      <c r="S323" s="118">
        <f>S35</f>
        <v>1040864922</v>
      </c>
      <c r="T323" s="118">
        <f>T35</f>
        <v>1644853287</v>
      </c>
      <c r="U323" s="34">
        <f t="shared" si="195"/>
        <v>3</v>
      </c>
      <c r="V323" s="69">
        <f t="shared" si="195"/>
        <v>321</v>
      </c>
      <c r="W323" s="78" t="s">
        <v>356</v>
      </c>
      <c r="X323" s="79"/>
      <c r="Y323" s="241">
        <f t="shared" si="223"/>
        <v>0</v>
      </c>
      <c r="Z323" s="242">
        <f>Z324+Z325</f>
        <v>0</v>
      </c>
      <c r="AA323" s="243">
        <f>Y323</f>
        <v>0</v>
      </c>
      <c r="AB323" s="221">
        <f t="shared" ca="1" si="225"/>
        <v>0</v>
      </c>
      <c r="AC323" s="118">
        <f t="shared" ref="AC323:AN323" si="227">AC35</f>
        <v>0</v>
      </c>
      <c r="AD323" s="118">
        <f t="shared" si="227"/>
        <v>0</v>
      </c>
      <c r="AE323" s="118">
        <f t="shared" si="227"/>
        <v>0</v>
      </c>
      <c r="AF323" s="118">
        <f t="shared" si="227"/>
        <v>0</v>
      </c>
      <c r="AG323" s="118">
        <f t="shared" si="227"/>
        <v>0</v>
      </c>
      <c r="AH323" s="118">
        <f t="shared" si="227"/>
        <v>0</v>
      </c>
      <c r="AI323" s="118">
        <f t="shared" si="227"/>
        <v>0</v>
      </c>
      <c r="AJ323" s="118">
        <f t="shared" si="227"/>
        <v>0</v>
      </c>
      <c r="AK323" s="118">
        <f t="shared" si="227"/>
        <v>0</v>
      </c>
      <c r="AL323" s="118">
        <f t="shared" si="227"/>
        <v>0</v>
      </c>
      <c r="AM323" s="118">
        <f t="shared" si="227"/>
        <v>0</v>
      </c>
      <c r="AN323" s="118">
        <f t="shared" si="227"/>
        <v>0</v>
      </c>
    </row>
    <row r="324" spans="1:43" s="43" customFormat="1" ht="15" customHeight="1" x14ac:dyDescent="0.15">
      <c r="A324" s="34">
        <v>3</v>
      </c>
      <c r="B324" s="85">
        <f t="shared" si="180"/>
        <v>322</v>
      </c>
      <c r="C324" s="271" t="s">
        <v>38</v>
      </c>
      <c r="D324" s="272"/>
      <c r="E324" s="273">
        <f t="shared" si="221"/>
        <v>0</v>
      </c>
      <c r="F324" s="274"/>
      <c r="G324" s="275">
        <f>E324</f>
        <v>0</v>
      </c>
      <c r="H324" s="276">
        <f t="shared" ca="1" si="189"/>
        <v>0</v>
      </c>
      <c r="I324" s="277"/>
      <c r="J324" s="277"/>
      <c r="K324" s="277"/>
      <c r="L324" s="277"/>
      <c r="M324" s="277"/>
      <c r="N324" s="277"/>
      <c r="O324" s="277"/>
      <c r="P324" s="277"/>
      <c r="Q324" s="277"/>
      <c r="R324" s="277"/>
      <c r="S324" s="277"/>
      <c r="T324" s="277"/>
      <c r="U324" s="34">
        <f t="shared" si="195"/>
        <v>3</v>
      </c>
      <c r="V324" s="69">
        <f t="shared" si="195"/>
        <v>322</v>
      </c>
      <c r="W324" s="271" t="s">
        <v>38</v>
      </c>
      <c r="X324" s="272"/>
      <c r="Y324" s="273">
        <f t="shared" si="223"/>
        <v>0</v>
      </c>
      <c r="Z324" s="274">
        <f>IF($Z$3&gt;0,HLOOKUP($Z$3,$AC$3:$AN$365,V324,0),)</f>
        <v>0</v>
      </c>
      <c r="AA324" s="275">
        <f>Y324</f>
        <v>0</v>
      </c>
      <c r="AB324" s="276">
        <f t="shared" ca="1" si="225"/>
        <v>0</v>
      </c>
      <c r="AC324" s="277"/>
      <c r="AD324" s="277"/>
      <c r="AE324" s="277"/>
      <c r="AF324" s="277"/>
      <c r="AG324" s="277"/>
      <c r="AH324" s="277"/>
      <c r="AI324" s="277"/>
      <c r="AJ324" s="277"/>
      <c r="AK324" s="277"/>
      <c r="AL324" s="277"/>
      <c r="AM324" s="277"/>
      <c r="AN324" s="277"/>
    </row>
    <row r="325" spans="1:43" s="43" customFormat="1" ht="15" customHeight="1" x14ac:dyDescent="0.15">
      <c r="A325" s="34">
        <v>3</v>
      </c>
      <c r="B325" s="85">
        <f t="shared" si="180"/>
        <v>323</v>
      </c>
      <c r="C325" s="285" t="s">
        <v>357</v>
      </c>
      <c r="D325" s="174"/>
      <c r="E325" s="286">
        <f t="shared" si="221"/>
        <v>0</v>
      </c>
      <c r="F325" s="287"/>
      <c r="G325" s="288">
        <f>E325</f>
        <v>0</v>
      </c>
      <c r="H325" s="204">
        <f t="shared" ca="1" si="189"/>
        <v>0</v>
      </c>
      <c r="I325" s="205"/>
      <c r="J325" s="205"/>
      <c r="K325" s="205"/>
      <c r="L325" s="205"/>
      <c r="M325" s="205"/>
      <c r="N325" s="205"/>
      <c r="O325" s="205"/>
      <c r="P325" s="205"/>
      <c r="Q325" s="205"/>
      <c r="R325" s="205"/>
      <c r="S325" s="205"/>
      <c r="T325" s="205"/>
      <c r="U325" s="34">
        <f t="shared" si="195"/>
        <v>3</v>
      </c>
      <c r="V325" s="69">
        <f t="shared" si="195"/>
        <v>323</v>
      </c>
      <c r="W325" s="285" t="s">
        <v>357</v>
      </c>
      <c r="X325" s="174"/>
      <c r="Y325" s="286">
        <f t="shared" si="223"/>
        <v>0</v>
      </c>
      <c r="Z325" s="287">
        <f>IF($Z$3&gt;0,HLOOKUP($Z$3,$AC$3:$AN$365,V325,0),)</f>
        <v>0</v>
      </c>
      <c r="AA325" s="288">
        <f>Y325</f>
        <v>0</v>
      </c>
      <c r="AB325" s="204">
        <f t="shared" ca="1" si="225"/>
        <v>0</v>
      </c>
      <c r="AC325" s="205"/>
      <c r="AD325" s="205"/>
      <c r="AE325" s="205"/>
      <c r="AF325" s="205"/>
      <c r="AG325" s="205"/>
      <c r="AH325" s="205"/>
      <c r="AI325" s="205"/>
      <c r="AJ325" s="205"/>
      <c r="AK325" s="205"/>
      <c r="AL325" s="205"/>
      <c r="AM325" s="205"/>
      <c r="AN325" s="205"/>
    </row>
    <row r="326" spans="1:43" s="158" customFormat="1" ht="15" customHeight="1" x14ac:dyDescent="0.15">
      <c r="A326" s="34">
        <v>3</v>
      </c>
      <c r="B326" s="85">
        <f t="shared" ref="B326:B365" si="228">B325+1</f>
        <v>324</v>
      </c>
      <c r="C326" s="151" t="s">
        <v>358</v>
      </c>
      <c r="D326" s="152"/>
      <c r="E326" s="153">
        <f>E327+E328-E329-E330</f>
        <v>590376885</v>
      </c>
      <c r="F326" s="154">
        <f>F327+F328-F329-F330</f>
        <v>0</v>
      </c>
      <c r="G326" s="155">
        <f ca="1">G327+G328-G329-G330</f>
        <v>3869313691</v>
      </c>
      <c r="H326" s="222">
        <f t="shared" ca="1" si="189"/>
        <v>2.1770350643915246</v>
      </c>
      <c r="I326" s="153">
        <f t="shared" ref="I326:T326" si="229">I327+I328-I329-I330</f>
        <v>0</v>
      </c>
      <c r="J326" s="153">
        <f>J327+J328-J329-J330</f>
        <v>246647338</v>
      </c>
      <c r="K326" s="153">
        <f t="shared" si="229"/>
        <v>280998446</v>
      </c>
      <c r="L326" s="153">
        <f t="shared" si="229"/>
        <v>367446012</v>
      </c>
      <c r="M326" s="153">
        <f t="shared" si="229"/>
        <v>355589736</v>
      </c>
      <c r="N326" s="153">
        <f t="shared" si="229"/>
        <v>271119998</v>
      </c>
      <c r="O326" s="153">
        <f t="shared" si="229"/>
        <v>362287517</v>
      </c>
      <c r="P326" s="153">
        <f t="shared" si="229"/>
        <v>285409924</v>
      </c>
      <c r="Q326" s="153">
        <f t="shared" si="229"/>
        <v>391872062</v>
      </c>
      <c r="R326" s="153">
        <f t="shared" si="229"/>
        <v>287319312</v>
      </c>
      <c r="S326" s="153">
        <f t="shared" si="229"/>
        <v>430246461</v>
      </c>
      <c r="T326" s="153">
        <f t="shared" si="229"/>
        <v>590376885</v>
      </c>
      <c r="U326" s="34">
        <f t="shared" si="195"/>
        <v>3</v>
      </c>
      <c r="V326" s="69">
        <f t="shared" si="195"/>
        <v>324</v>
      </c>
      <c r="W326" s="151" t="s">
        <v>358</v>
      </c>
      <c r="X326" s="152"/>
      <c r="Y326" s="153">
        <f>Y327+Y328-Y329-Y330</f>
        <v>0</v>
      </c>
      <c r="Z326" s="154">
        <f ca="1">Z327+Z328-Z329-Z330</f>
        <v>0</v>
      </c>
      <c r="AA326" s="155">
        <f ca="1">AA327+AA328-AA329-AA330</f>
        <v>0</v>
      </c>
      <c r="AB326" s="222">
        <f t="shared" ca="1" si="225"/>
        <v>0</v>
      </c>
      <c r="AC326" s="153">
        <f t="shared" ref="AC326:AN326" si="230">AC327+AC328-AC329-AC330</f>
        <v>0</v>
      </c>
      <c r="AD326" s="153">
        <f t="shared" si="230"/>
        <v>0</v>
      </c>
      <c r="AE326" s="153">
        <f t="shared" si="230"/>
        <v>0</v>
      </c>
      <c r="AF326" s="153">
        <f t="shared" si="230"/>
        <v>0</v>
      </c>
      <c r="AG326" s="153">
        <f t="shared" si="230"/>
        <v>0</v>
      </c>
      <c r="AH326" s="153">
        <f t="shared" si="230"/>
        <v>0</v>
      </c>
      <c r="AI326" s="153">
        <f t="shared" si="230"/>
        <v>0</v>
      </c>
      <c r="AJ326" s="153">
        <f t="shared" si="230"/>
        <v>0</v>
      </c>
      <c r="AK326" s="153">
        <f t="shared" si="230"/>
        <v>0</v>
      </c>
      <c r="AL326" s="153">
        <f t="shared" si="230"/>
        <v>0</v>
      </c>
      <c r="AM326" s="153">
        <f t="shared" si="230"/>
        <v>0</v>
      </c>
      <c r="AN326" s="153">
        <f t="shared" si="230"/>
        <v>0</v>
      </c>
      <c r="AQ326" s="52"/>
    </row>
    <row r="327" spans="1:43" s="43" customFormat="1" ht="15" customHeight="1" x14ac:dyDescent="0.15">
      <c r="A327" s="34">
        <v>3</v>
      </c>
      <c r="B327" s="85">
        <f t="shared" si="228"/>
        <v>325</v>
      </c>
      <c r="C327" s="62" t="s">
        <v>359</v>
      </c>
      <c r="D327" s="63"/>
      <c r="E327" s="229">
        <f>HLOOKUP($A$1,$I$3:$T$365,B327,0)</f>
        <v>399028458</v>
      </c>
      <c r="F327" s="230"/>
      <c r="G327" s="231">
        <f>+J327</f>
        <v>0</v>
      </c>
      <c r="H327" s="244">
        <f t="shared" ca="1" si="189"/>
        <v>0</v>
      </c>
      <c r="I327" s="113">
        <f>AN330</f>
        <v>0</v>
      </c>
      <c r="J327" s="113"/>
      <c r="K327" s="113">
        <f t="shared" ref="K327:T327" si="231">IF($A$1&gt;J3,J330,0)</f>
        <v>337237408</v>
      </c>
      <c r="L327" s="113">
        <f t="shared" si="231"/>
        <v>233741557</v>
      </c>
      <c r="M327" s="113">
        <f t="shared" si="231"/>
        <v>237902285</v>
      </c>
      <c r="N327" s="113">
        <f t="shared" si="231"/>
        <v>192622697</v>
      </c>
      <c r="O327" s="113">
        <f t="shared" si="231"/>
        <v>318253349</v>
      </c>
      <c r="P327" s="113">
        <f t="shared" si="231"/>
        <v>196309832</v>
      </c>
      <c r="Q327" s="113">
        <f t="shared" si="231"/>
        <v>254220658</v>
      </c>
      <c r="R327" s="113">
        <f t="shared" si="231"/>
        <v>190275996</v>
      </c>
      <c r="S327" s="113">
        <f t="shared" si="231"/>
        <v>338728214</v>
      </c>
      <c r="T327" s="113">
        <f t="shared" si="231"/>
        <v>399028458</v>
      </c>
      <c r="U327" s="34">
        <f t="shared" si="195"/>
        <v>3</v>
      </c>
      <c r="V327" s="69">
        <f t="shared" si="195"/>
        <v>325</v>
      </c>
      <c r="W327" s="62" t="s">
        <v>359</v>
      </c>
      <c r="X327" s="63"/>
      <c r="Y327" s="229">
        <f>HLOOKUP($U$1,$AC$3:$AN$365,V327,0)</f>
        <v>0</v>
      </c>
      <c r="Z327" s="230">
        <f>IF($Z$3&gt;0,AC327,)</f>
        <v>0</v>
      </c>
      <c r="AA327" s="231">
        <f>AC327</f>
        <v>0</v>
      </c>
      <c r="AB327" s="244">
        <f t="shared" ca="1" si="225"/>
        <v>0</v>
      </c>
      <c r="AC327" s="234"/>
      <c r="AD327" s="113">
        <f t="shared" ref="AD327:AN327" si="232">IF($U$1&gt;AC3,AC330,0)</f>
        <v>0</v>
      </c>
      <c r="AE327" s="113">
        <f t="shared" si="232"/>
        <v>0</v>
      </c>
      <c r="AF327" s="113">
        <f t="shared" si="232"/>
        <v>0</v>
      </c>
      <c r="AG327" s="113">
        <f t="shared" si="232"/>
        <v>0</v>
      </c>
      <c r="AH327" s="113">
        <f t="shared" si="232"/>
        <v>0</v>
      </c>
      <c r="AI327" s="113">
        <f t="shared" si="232"/>
        <v>0</v>
      </c>
      <c r="AJ327" s="113">
        <f t="shared" si="232"/>
        <v>0</v>
      </c>
      <c r="AK327" s="113">
        <f t="shared" si="232"/>
        <v>0</v>
      </c>
      <c r="AL327" s="113">
        <f t="shared" si="232"/>
        <v>0</v>
      </c>
      <c r="AM327" s="113">
        <f t="shared" si="232"/>
        <v>0</v>
      </c>
      <c r="AN327" s="113">
        <f t="shared" si="232"/>
        <v>0</v>
      </c>
    </row>
    <row r="328" spans="1:43" s="43" customFormat="1" ht="15" customHeight="1" x14ac:dyDescent="0.15">
      <c r="A328" s="34">
        <v>3</v>
      </c>
      <c r="B328" s="85">
        <f t="shared" si="228"/>
        <v>326</v>
      </c>
      <c r="C328" s="70" t="s">
        <v>354</v>
      </c>
      <c r="D328" s="71"/>
      <c r="E328" s="235">
        <f>HLOOKUP($A$1,$I$3:$T$365,B328,0)</f>
        <v>697677725</v>
      </c>
      <c r="F328" s="236"/>
      <c r="G328" s="237">
        <f ca="1">SUM(OFFSET(I328,,,,MATCH($A$1,$I$3:$T$3,0)))</f>
        <v>4378820114</v>
      </c>
      <c r="H328" s="216">
        <f t="shared" ca="1" si="189"/>
        <v>2.46370433883772</v>
      </c>
      <c r="I328" s="76"/>
      <c r="J328" s="76">
        <f>199020000+386814806</f>
        <v>585834806</v>
      </c>
      <c r="K328" s="76">
        <v>178319595</v>
      </c>
      <c r="L328" s="76">
        <v>371606740</v>
      </c>
      <c r="M328" s="76">
        <v>310310148</v>
      </c>
      <c r="N328" s="76">
        <v>396750650</v>
      </c>
      <c r="O328" s="76">
        <v>240344000</v>
      </c>
      <c r="P328" s="76">
        <v>343320750</v>
      </c>
      <c r="Q328" s="76">
        <v>327927400</v>
      </c>
      <c r="R328" s="76">
        <v>436181600</v>
      </c>
      <c r="S328" s="76">
        <v>490546700</v>
      </c>
      <c r="T328" s="76">
        <v>697677725</v>
      </c>
      <c r="U328" s="34">
        <f t="shared" si="195"/>
        <v>3</v>
      </c>
      <c r="V328" s="69">
        <f t="shared" si="195"/>
        <v>326</v>
      </c>
      <c r="W328" s="70" t="s">
        <v>354</v>
      </c>
      <c r="X328" s="71"/>
      <c r="Y328" s="235">
        <f>HLOOKUP($U$1,$AC$3:$AN$365,V328,0)</f>
        <v>0</v>
      </c>
      <c r="Z328" s="236">
        <f ca="1">IF($Z$3&gt;0,SUM(OFFSET(AC328,,,,MATCH($Z$3,$AC$3:$AN$3,0))),)</f>
        <v>0</v>
      </c>
      <c r="AA328" s="237">
        <f ca="1">SUM(OFFSET(AC328,,,,MATCH($U$1,$AC$3:$AN$3,0)))</f>
        <v>0</v>
      </c>
      <c r="AB328" s="216">
        <f t="shared" ca="1" si="225"/>
        <v>0</v>
      </c>
      <c r="AC328" s="76"/>
      <c r="AD328" s="76"/>
      <c r="AE328" s="76"/>
      <c r="AF328" s="76"/>
      <c r="AG328" s="76"/>
      <c r="AH328" s="76"/>
      <c r="AI328" s="76"/>
      <c r="AJ328" s="76"/>
      <c r="AK328" s="76"/>
      <c r="AL328" s="76"/>
      <c r="AM328" s="76"/>
      <c r="AN328" s="76"/>
    </row>
    <row r="329" spans="1:43" s="43" customFormat="1" ht="15" customHeight="1" x14ac:dyDescent="0.15">
      <c r="A329" s="34">
        <v>3</v>
      </c>
      <c r="B329" s="85">
        <f t="shared" si="228"/>
        <v>327</v>
      </c>
      <c r="C329" s="70" t="s">
        <v>355</v>
      </c>
      <c r="D329" s="71"/>
      <c r="E329" s="235">
        <f>HLOOKUP($A$1,$I$3:$T$365,B329,0)</f>
        <v>2</v>
      </c>
      <c r="F329" s="236"/>
      <c r="G329" s="237">
        <f ca="1">SUM(OFFSET(I329,,,,MATCH($A$1,$I$3:$T$3,0)))</f>
        <v>3177127</v>
      </c>
      <c r="H329" s="216">
        <f t="shared" ca="1" si="189"/>
        <v>1.7875823557839967E-3</v>
      </c>
      <c r="I329" s="76"/>
      <c r="J329" s="76">
        <v>1950060</v>
      </c>
      <c r="K329" s="76">
        <f>817000</f>
        <v>817000</v>
      </c>
      <c r="L329" s="76">
        <v>0</v>
      </c>
      <c r="M329" s="76">
        <v>0</v>
      </c>
      <c r="N329" s="76">
        <v>0</v>
      </c>
      <c r="O329" s="76">
        <v>0</v>
      </c>
      <c r="P329" s="76">
        <v>0</v>
      </c>
      <c r="Q329" s="76"/>
      <c r="R329" s="76">
        <v>410070</v>
      </c>
      <c r="S329" s="76">
        <v>-5</v>
      </c>
      <c r="T329" s="76">
        <v>2</v>
      </c>
      <c r="U329" s="34">
        <f t="shared" si="195"/>
        <v>3</v>
      </c>
      <c r="V329" s="69">
        <f t="shared" si="195"/>
        <v>327</v>
      </c>
      <c r="W329" s="70" t="s">
        <v>355</v>
      </c>
      <c r="X329" s="71"/>
      <c r="Y329" s="235">
        <f>HLOOKUP($U$1,$AC$3:$AN$365,V329,0)</f>
        <v>0</v>
      </c>
      <c r="Z329" s="236">
        <f ca="1">IF($Z$3&gt;0,SUM(OFFSET(AC329,,,,MATCH($Z$3,$AC$3:$AN$3,0))),)</f>
        <v>0</v>
      </c>
      <c r="AA329" s="237">
        <f ca="1">SUM(OFFSET(AC329,,,,MATCH($U$1,$AC$3:$AN$3,0)))</f>
        <v>0</v>
      </c>
      <c r="AB329" s="216">
        <f t="shared" ca="1" si="225"/>
        <v>0</v>
      </c>
      <c r="AC329" s="76"/>
      <c r="AD329" s="76"/>
      <c r="AE329" s="76"/>
      <c r="AF329" s="76"/>
      <c r="AG329" s="76"/>
      <c r="AH329" s="76"/>
      <c r="AI329" s="76"/>
      <c r="AJ329" s="76"/>
      <c r="AK329" s="76"/>
      <c r="AL329" s="76"/>
      <c r="AM329" s="76"/>
      <c r="AN329" s="76"/>
    </row>
    <row r="330" spans="1:43" s="43" customFormat="1" ht="15" customHeight="1" x14ac:dyDescent="0.15">
      <c r="A330" s="34">
        <v>3</v>
      </c>
      <c r="B330" s="85">
        <f t="shared" si="228"/>
        <v>328</v>
      </c>
      <c r="C330" s="78" t="s">
        <v>360</v>
      </c>
      <c r="D330" s="79"/>
      <c r="E330" s="241">
        <f>HLOOKUP($A$1,$I$3:$T$365,B330,0)</f>
        <v>506329296</v>
      </c>
      <c r="F330" s="242"/>
      <c r="G330" s="243">
        <f>E330</f>
        <v>506329296</v>
      </c>
      <c r="H330" s="221">
        <f t="shared" ca="1" si="189"/>
        <v>0.28488169209041136</v>
      </c>
      <c r="I330" s="118">
        <f t="shared" ref="I330:T330" si="233">I37</f>
        <v>0</v>
      </c>
      <c r="J330" s="118">
        <f t="shared" si="233"/>
        <v>337237408</v>
      </c>
      <c r="K330" s="118">
        <f t="shared" si="233"/>
        <v>233741557</v>
      </c>
      <c r="L330" s="118">
        <f t="shared" si="233"/>
        <v>237902285</v>
      </c>
      <c r="M330" s="118">
        <f t="shared" si="233"/>
        <v>192622697</v>
      </c>
      <c r="N330" s="118">
        <f t="shared" si="233"/>
        <v>318253349</v>
      </c>
      <c r="O330" s="118">
        <f t="shared" si="233"/>
        <v>196309832</v>
      </c>
      <c r="P330" s="118">
        <f t="shared" si="233"/>
        <v>254220658</v>
      </c>
      <c r="Q330" s="118">
        <f t="shared" si="233"/>
        <v>190275996</v>
      </c>
      <c r="R330" s="118">
        <f t="shared" si="233"/>
        <v>338728214</v>
      </c>
      <c r="S330" s="118">
        <f t="shared" si="233"/>
        <v>399028458</v>
      </c>
      <c r="T330" s="118">
        <f t="shared" si="233"/>
        <v>506329296</v>
      </c>
      <c r="U330" s="34">
        <f t="shared" si="195"/>
        <v>3</v>
      </c>
      <c r="V330" s="69">
        <f t="shared" si="195"/>
        <v>328</v>
      </c>
      <c r="W330" s="78" t="s">
        <v>360</v>
      </c>
      <c r="X330" s="79"/>
      <c r="Y330" s="241">
        <f>HLOOKUP($U$1,$AC$3:$AN$365,V330,0)</f>
        <v>0</v>
      </c>
      <c r="Z330" s="242">
        <f>IF($Z$3&gt;0,HLOOKUP($Z$3,$AC$3:$AN$365,V330,0),)</f>
        <v>0</v>
      </c>
      <c r="AA330" s="243">
        <f>Y330</f>
        <v>0</v>
      </c>
      <c r="AB330" s="221">
        <f t="shared" ca="1" si="225"/>
        <v>0</v>
      </c>
      <c r="AC330" s="118">
        <f t="shared" ref="AC330:AN330" si="234">AC37</f>
        <v>0</v>
      </c>
      <c r="AD330" s="118">
        <f t="shared" si="234"/>
        <v>0</v>
      </c>
      <c r="AE330" s="118">
        <f t="shared" si="234"/>
        <v>0</v>
      </c>
      <c r="AF330" s="118">
        <f t="shared" si="234"/>
        <v>0</v>
      </c>
      <c r="AG330" s="118">
        <f t="shared" si="234"/>
        <v>0</v>
      </c>
      <c r="AH330" s="118">
        <f t="shared" si="234"/>
        <v>0</v>
      </c>
      <c r="AI330" s="118">
        <f t="shared" si="234"/>
        <v>0</v>
      </c>
      <c r="AJ330" s="118">
        <f t="shared" si="234"/>
        <v>0</v>
      </c>
      <c r="AK330" s="118">
        <f t="shared" si="234"/>
        <v>0</v>
      </c>
      <c r="AL330" s="118">
        <f t="shared" si="234"/>
        <v>0</v>
      </c>
      <c r="AM330" s="118">
        <f t="shared" si="234"/>
        <v>0</v>
      </c>
      <c r="AN330" s="118">
        <f t="shared" si="234"/>
        <v>0</v>
      </c>
    </row>
    <row r="331" spans="1:43" s="158" customFormat="1" ht="15" customHeight="1" x14ac:dyDescent="0.15">
      <c r="A331" s="34">
        <v>3</v>
      </c>
      <c r="B331" s="85">
        <f t="shared" si="228"/>
        <v>329</v>
      </c>
      <c r="C331" s="151" t="s">
        <v>361</v>
      </c>
      <c r="D331" s="152"/>
      <c r="E331" s="153">
        <f>E332+E333+E334+E335</f>
        <v>278955962</v>
      </c>
      <c r="F331" s="154">
        <f>F332+F333+F334+F335</f>
        <v>0</v>
      </c>
      <c r="G331" s="155">
        <f ca="1">G332+G333+G334+G335</f>
        <v>2933829796</v>
      </c>
      <c r="H331" s="222">
        <f t="shared" ca="1" si="189"/>
        <v>1.6506933396754246</v>
      </c>
      <c r="I331" s="153">
        <f>I332+I333+I334+I335</f>
        <v>0</v>
      </c>
      <c r="J331" s="153">
        <f>J332+J333+J334+J335</f>
        <v>262000632</v>
      </c>
      <c r="K331" s="153">
        <f t="shared" ref="K331:T331" si="235">K332+K333+K334+K335</f>
        <v>271433925</v>
      </c>
      <c r="L331" s="153">
        <f t="shared" si="235"/>
        <v>264778397</v>
      </c>
      <c r="M331" s="153">
        <f t="shared" si="235"/>
        <v>268417605</v>
      </c>
      <c r="N331" s="153">
        <f t="shared" si="235"/>
        <v>337768284</v>
      </c>
      <c r="O331" s="153">
        <f t="shared" si="235"/>
        <v>248760228</v>
      </c>
      <c r="P331" s="153">
        <f>P332+P333+P334+P335</f>
        <v>254534487</v>
      </c>
      <c r="Q331" s="153">
        <f t="shared" si="235"/>
        <v>223048363</v>
      </c>
      <c r="R331" s="153">
        <f t="shared" si="235"/>
        <v>261596294</v>
      </c>
      <c r="S331" s="153">
        <f t="shared" si="235"/>
        <v>262535619</v>
      </c>
      <c r="T331" s="153">
        <f t="shared" si="235"/>
        <v>278955962</v>
      </c>
      <c r="U331" s="34">
        <f t="shared" si="195"/>
        <v>3</v>
      </c>
      <c r="V331" s="69">
        <f t="shared" si="195"/>
        <v>329</v>
      </c>
      <c r="W331" s="151" t="s">
        <v>361</v>
      </c>
      <c r="X331" s="152"/>
      <c r="Y331" s="153">
        <f>Y332+Y333+Y334+Y335</f>
        <v>0</v>
      </c>
      <c r="Z331" s="154">
        <f ca="1">Z332+Z333+Z334+Z335</f>
        <v>0</v>
      </c>
      <c r="AA331" s="155">
        <f ca="1">AA332+AA333+AA334+AA335</f>
        <v>0</v>
      </c>
      <c r="AB331" s="222">
        <f t="shared" ca="1" si="225"/>
        <v>0</v>
      </c>
      <c r="AC331" s="153">
        <f>AC332+AC333+AC334+AC335</f>
        <v>0</v>
      </c>
      <c r="AD331" s="153">
        <f t="shared" ref="AD331:AN331" si="236">AD332+AD333+AD334+AD335</f>
        <v>0</v>
      </c>
      <c r="AE331" s="153">
        <f t="shared" si="236"/>
        <v>0</v>
      </c>
      <c r="AF331" s="153">
        <f t="shared" si="236"/>
        <v>0</v>
      </c>
      <c r="AG331" s="153">
        <f t="shared" si="236"/>
        <v>0</v>
      </c>
      <c r="AH331" s="153">
        <f t="shared" si="236"/>
        <v>0</v>
      </c>
      <c r="AI331" s="153">
        <f t="shared" si="236"/>
        <v>0</v>
      </c>
      <c r="AJ331" s="153">
        <f>AJ332+AJ333+AJ334+AJ335</f>
        <v>0</v>
      </c>
      <c r="AK331" s="153">
        <f t="shared" si="236"/>
        <v>0</v>
      </c>
      <c r="AL331" s="153">
        <f t="shared" si="236"/>
        <v>0</v>
      </c>
      <c r="AM331" s="153">
        <f t="shared" si="236"/>
        <v>0</v>
      </c>
      <c r="AN331" s="153">
        <f t="shared" si="236"/>
        <v>0</v>
      </c>
      <c r="AQ331" s="52"/>
    </row>
    <row r="332" spans="1:43" s="43" customFormat="1" ht="15" customHeight="1" x14ac:dyDescent="0.15">
      <c r="A332" s="34">
        <v>3</v>
      </c>
      <c r="B332" s="85">
        <f t="shared" si="228"/>
        <v>330</v>
      </c>
      <c r="C332" s="62" t="s">
        <v>362</v>
      </c>
      <c r="D332" s="63"/>
      <c r="E332" s="229">
        <f>HLOOKUP($A$1,$I$3:$T$365,B332,0)</f>
        <v>240723989</v>
      </c>
      <c r="F332" s="230"/>
      <c r="G332" s="231">
        <f ca="1">SUM(OFFSET(I332,,,,MATCH($A$1,$I$3:$T$3,0)))</f>
        <v>2438054864</v>
      </c>
      <c r="H332" s="244">
        <f t="shared" ca="1" si="189"/>
        <v>1.371749966973228</v>
      </c>
      <c r="I332" s="68"/>
      <c r="J332" s="68">
        <v>208401812</v>
      </c>
      <c r="K332" s="68">
        <v>213298276</v>
      </c>
      <c r="L332" s="68">
        <v>225755462</v>
      </c>
      <c r="M332" s="68">
        <v>229394670</v>
      </c>
      <c r="N332" s="68">
        <v>217478014</v>
      </c>
      <c r="O332" s="68">
        <v>218453580</v>
      </c>
      <c r="P332" s="68">
        <v>217723800</v>
      </c>
      <c r="Q332" s="68">
        <v>219926275</v>
      </c>
      <c r="R332" s="68">
        <v>222697170</v>
      </c>
      <c r="S332" s="68">
        <v>224201816</v>
      </c>
      <c r="T332" s="68">
        <v>240723989</v>
      </c>
      <c r="U332" s="34">
        <f t="shared" si="195"/>
        <v>3</v>
      </c>
      <c r="V332" s="69">
        <f t="shared" si="195"/>
        <v>330</v>
      </c>
      <c r="W332" s="62" t="s">
        <v>362</v>
      </c>
      <c r="X332" s="63"/>
      <c r="Y332" s="229">
        <f>HLOOKUP($U$1,$AC$3:$AN$365,V332,0)</f>
        <v>0</v>
      </c>
      <c r="Z332" s="230">
        <f ca="1">IF($Z$3&gt;0,SUM(OFFSET(AC332,,,,MATCH($Z$3,$AC$3:$AN$3,0))),)</f>
        <v>0</v>
      </c>
      <c r="AA332" s="231">
        <f ca="1">SUM(OFFSET(AC332,,,,MATCH($U$1,$AC$3:$AN$3,0)))</f>
        <v>0</v>
      </c>
      <c r="AB332" s="244">
        <f t="shared" ca="1" si="225"/>
        <v>0</v>
      </c>
      <c r="AC332" s="68"/>
      <c r="AD332" s="68"/>
      <c r="AE332" s="68"/>
      <c r="AF332" s="68"/>
      <c r="AG332" s="68"/>
      <c r="AH332" s="68"/>
      <c r="AI332" s="68"/>
      <c r="AJ332" s="68"/>
      <c r="AK332" s="68"/>
      <c r="AL332" s="68"/>
      <c r="AM332" s="68"/>
      <c r="AN332" s="68"/>
    </row>
    <row r="333" spans="1:43" s="43" customFormat="1" ht="15" customHeight="1" x14ac:dyDescent="0.15">
      <c r="A333" s="34">
        <v>3</v>
      </c>
      <c r="B333" s="85">
        <f t="shared" si="228"/>
        <v>331</v>
      </c>
      <c r="C333" s="70" t="s">
        <v>363</v>
      </c>
      <c r="D333" s="71"/>
      <c r="E333" s="235">
        <f>HLOOKUP($A$1,$I$3:$T$365,B333,0)</f>
        <v>18221552</v>
      </c>
      <c r="F333" s="236"/>
      <c r="G333" s="237">
        <f ca="1">SUM(OFFSET(I333,,,,MATCH($A$1,$I$3:$T$3,0)))</f>
        <v>283653639</v>
      </c>
      <c r="H333" s="216">
        <f t="shared" ca="1" si="189"/>
        <v>0.15959520668526103</v>
      </c>
      <c r="I333" s="76"/>
      <c r="J333" s="76">
        <v>19910222</v>
      </c>
      <c r="K333" s="76">
        <v>19910222</v>
      </c>
      <c r="L333" s="76">
        <v>19910221</v>
      </c>
      <c r="M333" s="76">
        <v>19910221</v>
      </c>
      <c r="N333" s="98">
        <f>19910221+81267336</f>
        <v>101177557</v>
      </c>
      <c r="O333" s="98">
        <f>92461271-81267336</f>
        <v>11193935</v>
      </c>
      <c r="P333" s="76">
        <v>17697975</v>
      </c>
      <c r="Q333" s="76">
        <v>17697975</v>
      </c>
      <c r="R333" s="76">
        <v>19786411</v>
      </c>
      <c r="S333" s="76">
        <v>18237348</v>
      </c>
      <c r="T333" s="76">
        <v>18221552</v>
      </c>
      <c r="U333" s="34">
        <f t="shared" si="195"/>
        <v>3</v>
      </c>
      <c r="V333" s="69">
        <f t="shared" si="195"/>
        <v>331</v>
      </c>
      <c r="W333" s="70" t="s">
        <v>363</v>
      </c>
      <c r="X333" s="71"/>
      <c r="Y333" s="235">
        <f>HLOOKUP($U$1,$AC$3:$AN$365,V333,0)</f>
        <v>0</v>
      </c>
      <c r="Z333" s="236">
        <f ca="1">IF($Z$3&gt;0,SUM(OFFSET(AC333,,,,MATCH($Z$3,$AC$3:$AN$3,0))),)</f>
        <v>0</v>
      </c>
      <c r="AA333" s="237">
        <f ca="1">SUM(OFFSET(AC333,,,,MATCH($U$1,$AC$3:$AN$3,0)))</f>
        <v>0</v>
      </c>
      <c r="AB333" s="216">
        <f t="shared" ca="1" si="225"/>
        <v>0</v>
      </c>
      <c r="AC333" s="76"/>
      <c r="AD333" s="76"/>
      <c r="AE333" s="76"/>
      <c r="AF333" s="76"/>
      <c r="AG333" s="76"/>
      <c r="AH333" s="76"/>
      <c r="AI333" s="76"/>
      <c r="AJ333" s="76"/>
      <c r="AK333" s="76"/>
      <c r="AL333" s="76"/>
      <c r="AM333" s="76"/>
      <c r="AN333" s="76"/>
    </row>
    <row r="334" spans="1:43" s="43" customFormat="1" ht="15" customHeight="1" x14ac:dyDescent="0.15">
      <c r="A334" s="34">
        <v>3</v>
      </c>
      <c r="B334" s="85">
        <f t="shared" si="228"/>
        <v>332</v>
      </c>
      <c r="C334" s="70" t="s">
        <v>364</v>
      </c>
      <c r="D334" s="71"/>
      <c r="E334" s="235">
        <f>HLOOKUP($A$1,$I$3:$T$365,B334,0)</f>
        <v>20010421</v>
      </c>
      <c r="F334" s="236"/>
      <c r="G334" s="237">
        <f ca="1">SUM(OFFSET(I334,,,,MATCH($A$1,$I$3:$T$3,0)))</f>
        <v>212121293</v>
      </c>
      <c r="H334" s="216">
        <f t="shared" ca="1" si="189"/>
        <v>0.11934816601693522</v>
      </c>
      <c r="I334" s="76"/>
      <c r="J334" s="76">
        <v>33688598</v>
      </c>
      <c r="K334" s="76">
        <v>38225427</v>
      </c>
      <c r="L334" s="76">
        <v>19112714</v>
      </c>
      <c r="M334" s="76">
        <v>19112714</v>
      </c>
      <c r="N334" s="76">
        <v>19112713</v>
      </c>
      <c r="O334" s="76">
        <v>19112713</v>
      </c>
      <c r="P334" s="76">
        <v>19112712</v>
      </c>
      <c r="Q334" s="76">
        <v>-14575887</v>
      </c>
      <c r="R334" s="76">
        <v>19112713</v>
      </c>
      <c r="S334" s="76">
        <v>20096455</v>
      </c>
      <c r="T334" s="76">
        <v>20010421</v>
      </c>
      <c r="U334" s="34">
        <f t="shared" si="195"/>
        <v>3</v>
      </c>
      <c r="V334" s="69">
        <f t="shared" si="195"/>
        <v>332</v>
      </c>
      <c r="W334" s="70" t="s">
        <v>364</v>
      </c>
      <c r="X334" s="71"/>
      <c r="Y334" s="235">
        <f>HLOOKUP($U$1,$AC$3:$AN$365,V334,0)</f>
        <v>0</v>
      </c>
      <c r="Z334" s="236">
        <f ca="1">IF($Z$3&gt;0,SUM(OFFSET(AC334,,,,MATCH($Z$3,$AC$3:$AN$3,0))),)</f>
        <v>0</v>
      </c>
      <c r="AA334" s="237">
        <f ca="1">SUM(OFFSET(AC334,,,,MATCH($U$1,$AC$3:$AN$3,0)))</f>
        <v>0</v>
      </c>
      <c r="AB334" s="216">
        <f t="shared" ca="1" si="225"/>
        <v>0</v>
      </c>
      <c r="AC334" s="76"/>
      <c r="AD334" s="76"/>
      <c r="AE334" s="76"/>
      <c r="AF334" s="76"/>
      <c r="AG334" s="76"/>
      <c r="AH334" s="76"/>
      <c r="AI334" s="76"/>
      <c r="AJ334" s="76"/>
      <c r="AK334" s="76"/>
      <c r="AL334" s="76"/>
      <c r="AM334" s="76"/>
      <c r="AN334" s="76"/>
    </row>
    <row r="335" spans="1:43" s="43" customFormat="1" ht="15" customHeight="1" x14ac:dyDescent="0.15">
      <c r="A335" s="34">
        <v>3</v>
      </c>
      <c r="B335" s="85">
        <f t="shared" si="228"/>
        <v>333</v>
      </c>
      <c r="C335" s="78" t="s">
        <v>365</v>
      </c>
      <c r="D335" s="79"/>
      <c r="E335" s="241">
        <f>HLOOKUP($A$1,$I$3:$T$365,B335,0)</f>
        <v>0</v>
      </c>
      <c r="F335" s="242"/>
      <c r="G335" s="243">
        <f ca="1">SUM(OFFSET(I335,,,,MATCH($A$1,$I$3:$T$3,0)))</f>
        <v>0</v>
      </c>
      <c r="H335" s="221">
        <f t="shared" ref="H335:H367" ca="1" si="237">IF(ISERROR(G335/$G$194*100),"",(G335/$G$194*100))</f>
        <v>0</v>
      </c>
      <c r="I335" s="84"/>
      <c r="J335" s="84">
        <v>0</v>
      </c>
      <c r="K335" s="84">
        <f t="shared" ref="K335" si="238">+J335*2</f>
        <v>0</v>
      </c>
      <c r="L335" s="84">
        <v>0</v>
      </c>
      <c r="M335" s="84">
        <v>0</v>
      </c>
      <c r="N335" s="84"/>
      <c r="O335" s="84"/>
      <c r="P335" s="84"/>
      <c r="Q335" s="84"/>
      <c r="R335" s="84"/>
      <c r="S335" s="84"/>
      <c r="T335" s="84"/>
      <c r="U335" s="34">
        <f t="shared" si="195"/>
        <v>3</v>
      </c>
      <c r="V335" s="69">
        <f t="shared" si="195"/>
        <v>333</v>
      </c>
      <c r="W335" s="78" t="s">
        <v>365</v>
      </c>
      <c r="X335" s="79"/>
      <c r="Y335" s="241">
        <f>HLOOKUP($U$1,$AC$3:$AN$365,V335,0)</f>
        <v>0</v>
      </c>
      <c r="Z335" s="242">
        <f ca="1">IF($Z$3&gt;0,SUM(OFFSET(AC335,,,,MATCH($Z$3,$AC$3:$AN$3,0))),)</f>
        <v>0</v>
      </c>
      <c r="AA335" s="243">
        <f ca="1">SUM(OFFSET(AC335,,,,MATCH($U$1,$AC$3:$AN$3,0)))</f>
        <v>0</v>
      </c>
      <c r="AB335" s="221">
        <f t="shared" ca="1" si="225"/>
        <v>0</v>
      </c>
      <c r="AC335" s="84"/>
      <c r="AD335" s="84"/>
      <c r="AE335" s="84"/>
      <c r="AF335" s="84"/>
      <c r="AG335" s="84"/>
      <c r="AH335" s="84"/>
      <c r="AI335" s="84"/>
      <c r="AJ335" s="84"/>
      <c r="AK335" s="84"/>
      <c r="AL335" s="84"/>
      <c r="AM335" s="84"/>
      <c r="AN335" s="84"/>
    </row>
    <row r="336" spans="1:43" s="158" customFormat="1" ht="15" customHeight="1" x14ac:dyDescent="0.15">
      <c r="A336" s="34">
        <v>3</v>
      </c>
      <c r="B336" s="85">
        <f t="shared" si="228"/>
        <v>334</v>
      </c>
      <c r="C336" s="151" t="s">
        <v>366</v>
      </c>
      <c r="D336" s="152"/>
      <c r="E336" s="153">
        <f>SUM(E337:E356)</f>
        <v>3161333965</v>
      </c>
      <c r="F336" s="154">
        <f>SUM(F337:F356)</f>
        <v>0</v>
      </c>
      <c r="G336" s="155">
        <f ca="1">SUM(G337:G356)</f>
        <v>21176105519</v>
      </c>
      <c r="H336" s="222">
        <f t="shared" ca="1" si="237"/>
        <v>11.914548140500683</v>
      </c>
      <c r="I336" s="153">
        <f t="shared" ref="I336:T336" si="239">SUM(I337:I356)</f>
        <v>0</v>
      </c>
      <c r="J336" s="153">
        <f t="shared" si="239"/>
        <v>1019019272</v>
      </c>
      <c r="K336" s="153">
        <f t="shared" si="239"/>
        <v>1816405535</v>
      </c>
      <c r="L336" s="153">
        <f t="shared" si="239"/>
        <v>2232556560</v>
      </c>
      <c r="M336" s="153">
        <f t="shared" si="239"/>
        <v>2437266354</v>
      </c>
      <c r="N336" s="153">
        <f t="shared" si="239"/>
        <v>1167858713</v>
      </c>
      <c r="O336" s="153">
        <f t="shared" si="239"/>
        <v>1611105735</v>
      </c>
      <c r="P336" s="153">
        <f>SUM(P337:P356)</f>
        <v>1588895988</v>
      </c>
      <c r="Q336" s="153">
        <f t="shared" si="239"/>
        <v>1737572427</v>
      </c>
      <c r="R336" s="153">
        <f t="shared" si="239"/>
        <v>2032623821</v>
      </c>
      <c r="S336" s="153">
        <f t="shared" si="239"/>
        <v>2366893889</v>
      </c>
      <c r="T336" s="153">
        <f t="shared" si="239"/>
        <v>3165907225</v>
      </c>
      <c r="U336" s="34">
        <f t="shared" si="195"/>
        <v>3</v>
      </c>
      <c r="V336" s="69">
        <f t="shared" si="195"/>
        <v>334</v>
      </c>
      <c r="W336" s="151" t="s">
        <v>366</v>
      </c>
      <c r="X336" s="152"/>
      <c r="Y336" s="153">
        <f>SUM(Y337:Y356)</f>
        <v>0</v>
      </c>
      <c r="Z336" s="154">
        <f ca="1">SUM(Z337:Z356)</f>
        <v>0</v>
      </c>
      <c r="AA336" s="155">
        <f ca="1">SUM(AA337:AA356)</f>
        <v>0</v>
      </c>
      <c r="AB336" s="222">
        <f t="shared" ca="1" si="225"/>
        <v>0</v>
      </c>
      <c r="AC336" s="153">
        <f t="shared" ref="AC336:AN336" si="240">SUM(AC337:AC356)</f>
        <v>0</v>
      </c>
      <c r="AD336" s="153">
        <f t="shared" si="240"/>
        <v>0</v>
      </c>
      <c r="AE336" s="153">
        <f t="shared" si="240"/>
        <v>0</v>
      </c>
      <c r="AF336" s="153">
        <f t="shared" si="240"/>
        <v>0</v>
      </c>
      <c r="AG336" s="153">
        <f t="shared" si="240"/>
        <v>0</v>
      </c>
      <c r="AH336" s="153">
        <f t="shared" si="240"/>
        <v>0</v>
      </c>
      <c r="AI336" s="153">
        <f t="shared" si="240"/>
        <v>0</v>
      </c>
      <c r="AJ336" s="153">
        <f t="shared" si="240"/>
        <v>0</v>
      </c>
      <c r="AK336" s="153">
        <f t="shared" si="240"/>
        <v>0</v>
      </c>
      <c r="AL336" s="153">
        <f t="shared" si="240"/>
        <v>0</v>
      </c>
      <c r="AM336" s="153">
        <f t="shared" si="240"/>
        <v>0</v>
      </c>
      <c r="AN336" s="153">
        <f t="shared" si="240"/>
        <v>0</v>
      </c>
      <c r="AQ336" s="52"/>
    </row>
    <row r="337" spans="1:40" s="43" customFormat="1" ht="15" customHeight="1" x14ac:dyDescent="0.15">
      <c r="A337" s="34">
        <v>3</v>
      </c>
      <c r="B337" s="85">
        <f t="shared" si="228"/>
        <v>335</v>
      </c>
      <c r="C337" s="62" t="s">
        <v>367</v>
      </c>
      <c r="D337" s="63"/>
      <c r="E337" s="229">
        <f>HLOOKUP($A$1,$I$3:$T$365,B337,0)</f>
        <v>28072882</v>
      </c>
      <c r="F337" s="230"/>
      <c r="G337" s="231">
        <f t="shared" ref="G337:G356" ca="1" si="241">SUM(OFFSET(I337,,,,MATCH($A$1,$I$3:$T$3,0)))</f>
        <v>306432058</v>
      </c>
      <c r="H337" s="244">
        <f t="shared" ca="1" si="237"/>
        <v>0.17241128230863237</v>
      </c>
      <c r="I337" s="68"/>
      <c r="J337" s="68">
        <v>24411808</v>
      </c>
      <c r="K337" s="68">
        <v>26553907</v>
      </c>
      <c r="L337" s="68">
        <v>32861781</v>
      </c>
      <c r="M337" s="68">
        <v>32317357</v>
      </c>
      <c r="N337" s="68">
        <v>25531167</v>
      </c>
      <c r="O337" s="68">
        <v>28521969</v>
      </c>
      <c r="P337" s="68">
        <v>25151469</v>
      </c>
      <c r="Q337" s="68">
        <v>27490042</v>
      </c>
      <c r="R337" s="68">
        <v>27926649</v>
      </c>
      <c r="S337" s="68">
        <v>27593027</v>
      </c>
      <c r="T337" s="68">
        <v>28072882</v>
      </c>
      <c r="U337" s="34">
        <f t="shared" si="195"/>
        <v>3</v>
      </c>
      <c r="V337" s="69">
        <f t="shared" si="195"/>
        <v>335</v>
      </c>
      <c r="W337" s="62" t="s">
        <v>367</v>
      </c>
      <c r="X337" s="63"/>
      <c r="Y337" s="229">
        <f>HLOOKUP($U$1,$AC$3:$AN$365,V337,0)</f>
        <v>0</v>
      </c>
      <c r="Z337" s="230">
        <f t="shared" ref="Z337:Z356" ca="1" si="242">IF($Z$3&gt;0,SUM(OFFSET(AC337,,,,MATCH($Z$3,$AC$3:$AN$3,0))),)</f>
        <v>0</v>
      </c>
      <c r="AA337" s="231">
        <f t="shared" ref="AA337:AA356" ca="1" si="243">SUM(OFFSET(AC337,,,,MATCH($U$1,$AC$3:$AN$3,0)))</f>
        <v>0</v>
      </c>
      <c r="AB337" s="244">
        <f t="shared" ca="1" si="225"/>
        <v>0</v>
      </c>
      <c r="AC337" s="68"/>
      <c r="AD337" s="68"/>
      <c r="AE337" s="68"/>
      <c r="AF337" s="68"/>
      <c r="AG337" s="68"/>
      <c r="AH337" s="68"/>
      <c r="AI337" s="68"/>
      <c r="AJ337" s="68"/>
      <c r="AK337" s="68"/>
      <c r="AL337" s="68"/>
      <c r="AM337" s="68"/>
      <c r="AN337" s="68"/>
    </row>
    <row r="338" spans="1:40" s="43" customFormat="1" ht="15" customHeight="1" x14ac:dyDescent="0.15">
      <c r="A338" s="34">
        <v>3</v>
      </c>
      <c r="B338" s="85">
        <f t="shared" si="228"/>
        <v>336</v>
      </c>
      <c r="C338" s="70" t="s">
        <v>368</v>
      </c>
      <c r="D338" s="71"/>
      <c r="E338" s="235">
        <f>HLOOKUP($A$1,$I$3:$T$365,B338,0)</f>
        <v>46811452</v>
      </c>
      <c r="F338" s="236"/>
      <c r="G338" s="237">
        <f t="shared" ca="1" si="241"/>
        <v>273152129</v>
      </c>
      <c r="H338" s="216">
        <f t="shared" ca="1" si="237"/>
        <v>0.15368662513183581</v>
      </c>
      <c r="I338" s="76"/>
      <c r="J338" s="76">
        <v>3776473</v>
      </c>
      <c r="K338" s="76">
        <v>3596255</v>
      </c>
      <c r="L338" s="76">
        <v>20450808</v>
      </c>
      <c r="M338" s="76">
        <v>20591208</v>
      </c>
      <c r="N338" s="76">
        <v>21146205</v>
      </c>
      <c r="O338" s="76">
        <v>21088008</v>
      </c>
      <c r="P338" s="76">
        <v>21052608</v>
      </c>
      <c r="Q338" s="76">
        <v>21052608</v>
      </c>
      <c r="R338" s="76">
        <v>46723252</v>
      </c>
      <c r="S338" s="76">
        <v>46863252</v>
      </c>
      <c r="T338" s="76">
        <v>46811452</v>
      </c>
      <c r="U338" s="34">
        <f t="shared" si="195"/>
        <v>3</v>
      </c>
      <c r="V338" s="69">
        <f t="shared" si="195"/>
        <v>336</v>
      </c>
      <c r="W338" s="70" t="s">
        <v>368</v>
      </c>
      <c r="X338" s="71"/>
      <c r="Y338" s="235">
        <f>HLOOKUP($U$1,$AC$3:$AN$365,V338,0)</f>
        <v>0</v>
      </c>
      <c r="Z338" s="236">
        <f t="shared" ca="1" si="242"/>
        <v>0</v>
      </c>
      <c r="AA338" s="237">
        <f t="shared" ca="1" si="243"/>
        <v>0</v>
      </c>
      <c r="AB338" s="216">
        <f t="shared" ca="1" si="225"/>
        <v>0</v>
      </c>
      <c r="AC338" s="76"/>
      <c r="AD338" s="76"/>
      <c r="AE338" s="76"/>
      <c r="AF338" s="76"/>
      <c r="AG338" s="76"/>
      <c r="AH338" s="76"/>
      <c r="AI338" s="76"/>
      <c r="AJ338" s="76"/>
      <c r="AK338" s="76"/>
      <c r="AL338" s="76"/>
      <c r="AM338" s="76"/>
      <c r="AN338" s="76"/>
    </row>
    <row r="339" spans="1:40" s="43" customFormat="1" ht="15" customHeight="1" x14ac:dyDescent="0.15">
      <c r="A339" s="34">
        <v>3</v>
      </c>
      <c r="B339" s="85">
        <f t="shared" si="228"/>
        <v>337</v>
      </c>
      <c r="C339" s="70" t="s">
        <v>369</v>
      </c>
      <c r="D339" s="71"/>
      <c r="E339" s="235">
        <f>HLOOKUP($A$1,$I$3:$T$365,B339,0)</f>
        <v>1068774</v>
      </c>
      <c r="F339" s="236"/>
      <c r="G339" s="237">
        <f t="shared" ca="1" si="241"/>
        <v>12241300</v>
      </c>
      <c r="H339" s="216">
        <f t="shared" ca="1" si="237"/>
        <v>6.8874589816077985E-3</v>
      </c>
      <c r="I339" s="76"/>
      <c r="J339" s="76">
        <v>138000</v>
      </c>
      <c r="K339" s="76">
        <v>648000</v>
      </c>
      <c r="L339" s="76">
        <v>494000</v>
      </c>
      <c r="M339" s="76">
        <v>479100</v>
      </c>
      <c r="N339" s="76">
        <v>389500</v>
      </c>
      <c r="O339" s="76">
        <v>2998400</v>
      </c>
      <c r="P339" s="76">
        <v>458400</v>
      </c>
      <c r="Q339" s="76">
        <v>1170700</v>
      </c>
      <c r="R339" s="76">
        <v>928500</v>
      </c>
      <c r="S339" s="76">
        <v>3467926</v>
      </c>
      <c r="T339" s="76">
        <v>1068774</v>
      </c>
      <c r="U339" s="34">
        <f t="shared" si="195"/>
        <v>3</v>
      </c>
      <c r="V339" s="69">
        <f t="shared" si="195"/>
        <v>337</v>
      </c>
      <c r="W339" s="70" t="s">
        <v>369</v>
      </c>
      <c r="X339" s="71"/>
      <c r="Y339" s="235">
        <f>HLOOKUP($U$1,$AC$3:$AN$365,V339,0)</f>
        <v>0</v>
      </c>
      <c r="Z339" s="236">
        <f t="shared" ca="1" si="242"/>
        <v>0</v>
      </c>
      <c r="AA339" s="237">
        <f t="shared" ca="1" si="243"/>
        <v>0</v>
      </c>
      <c r="AB339" s="216">
        <f t="shared" ca="1" si="225"/>
        <v>0</v>
      </c>
      <c r="AC339" s="76"/>
      <c r="AD339" s="76"/>
      <c r="AE339" s="76"/>
      <c r="AF339" s="76"/>
      <c r="AG339" s="76"/>
      <c r="AH339" s="76"/>
      <c r="AI339" s="76"/>
      <c r="AJ339" s="76"/>
      <c r="AK339" s="76"/>
      <c r="AL339" s="76"/>
      <c r="AM339" s="76"/>
      <c r="AN339" s="76"/>
    </row>
    <row r="340" spans="1:40" s="43" customFormat="1" ht="15" customHeight="1" x14ac:dyDescent="0.15">
      <c r="A340" s="34">
        <v>3</v>
      </c>
      <c r="B340" s="85">
        <f t="shared" si="228"/>
        <v>338</v>
      </c>
      <c r="C340" s="70" t="s">
        <v>370</v>
      </c>
      <c r="D340" s="71"/>
      <c r="E340" s="235">
        <f>HLOOKUP($A$1,$I$3:$T$365,B340,0)</f>
        <v>121194549</v>
      </c>
      <c r="F340" s="236"/>
      <c r="G340" s="237">
        <f t="shared" ca="1" si="241"/>
        <v>508916585</v>
      </c>
      <c r="H340" s="216">
        <f t="shared" ca="1" si="237"/>
        <v>0.28633740732172386</v>
      </c>
      <c r="I340" s="76"/>
      <c r="J340" s="76">
        <v>31272845</v>
      </c>
      <c r="K340" s="76">
        <v>31272848</v>
      </c>
      <c r="L340" s="76">
        <v>40272752</v>
      </c>
      <c r="M340" s="76">
        <v>30121712</v>
      </c>
      <c r="N340" s="76">
        <v>33117547</v>
      </c>
      <c r="O340" s="76">
        <v>33005796</v>
      </c>
      <c r="P340" s="76">
        <v>36846413</v>
      </c>
      <c r="Q340" s="76">
        <v>47489903</v>
      </c>
      <c r="R340" s="76">
        <v>50919877</v>
      </c>
      <c r="S340" s="76">
        <v>53402343</v>
      </c>
      <c r="T340" s="76">
        <v>121194549</v>
      </c>
      <c r="U340" s="34">
        <f t="shared" si="195"/>
        <v>3</v>
      </c>
      <c r="V340" s="69">
        <f t="shared" si="195"/>
        <v>338</v>
      </c>
      <c r="W340" s="70" t="s">
        <v>370</v>
      </c>
      <c r="X340" s="71"/>
      <c r="Y340" s="235">
        <f>HLOOKUP($U$1,$AC$3:$AN$365,V340,0)</f>
        <v>0</v>
      </c>
      <c r="Z340" s="236">
        <f t="shared" ca="1" si="242"/>
        <v>0</v>
      </c>
      <c r="AA340" s="237">
        <f t="shared" ca="1" si="243"/>
        <v>0</v>
      </c>
      <c r="AB340" s="216">
        <f t="shared" ca="1" si="225"/>
        <v>0</v>
      </c>
      <c r="AC340" s="76"/>
      <c r="AD340" s="76"/>
      <c r="AE340" s="76"/>
      <c r="AF340" s="76"/>
      <c r="AG340" s="76"/>
      <c r="AH340" s="76"/>
      <c r="AI340" s="76"/>
      <c r="AJ340" s="76"/>
      <c r="AK340" s="76"/>
      <c r="AL340" s="76"/>
      <c r="AM340" s="76"/>
      <c r="AN340" s="76"/>
    </row>
    <row r="341" spans="1:40" s="43" customFormat="1" ht="15" customHeight="1" x14ac:dyDescent="0.15">
      <c r="A341" s="34">
        <v>3</v>
      </c>
      <c r="B341" s="85">
        <f t="shared" si="228"/>
        <v>339</v>
      </c>
      <c r="C341" s="70" t="s">
        <v>371</v>
      </c>
      <c r="D341" s="71"/>
      <c r="E341" s="235"/>
      <c r="F341" s="236"/>
      <c r="G341" s="237">
        <f t="shared" ca="1" si="241"/>
        <v>4442</v>
      </c>
      <c r="H341" s="216"/>
      <c r="I341" s="76"/>
      <c r="J341" s="76"/>
      <c r="K341" s="76"/>
      <c r="L341" s="76"/>
      <c r="M341" s="76"/>
      <c r="N341" s="76"/>
      <c r="O341" s="76"/>
      <c r="P341" s="76"/>
      <c r="Q341" s="76"/>
      <c r="R341" s="76"/>
      <c r="S341" s="76">
        <v>2221</v>
      </c>
      <c r="T341" s="76">
        <v>2221</v>
      </c>
      <c r="U341" s="34">
        <f t="shared" si="195"/>
        <v>3</v>
      </c>
      <c r="V341" s="69"/>
      <c r="W341" s="70" t="s">
        <v>268</v>
      </c>
      <c r="X341" s="71"/>
      <c r="Y341" s="235"/>
      <c r="Z341" s="236"/>
      <c r="AA341" s="237">
        <f t="shared" ref="AA341" ca="1" si="244">SUM(OFFSET(AC341,,,,MATCH($U$1,$AC$3:$AN$3,0)))</f>
        <v>0</v>
      </c>
      <c r="AB341" s="216">
        <f t="shared" ca="1" si="225"/>
        <v>0</v>
      </c>
      <c r="AC341" s="76"/>
      <c r="AD341" s="76"/>
      <c r="AE341" s="76"/>
      <c r="AF341" s="76"/>
      <c r="AG341" s="76"/>
      <c r="AH341" s="76"/>
      <c r="AI341" s="76"/>
      <c r="AJ341" s="76"/>
      <c r="AK341" s="76"/>
      <c r="AL341" s="76"/>
      <c r="AM341" s="76"/>
      <c r="AN341" s="76"/>
    </row>
    <row r="342" spans="1:40" s="43" customFormat="1" ht="15" customHeight="1" x14ac:dyDescent="0.15">
      <c r="A342" s="34">
        <v>3</v>
      </c>
      <c r="B342" s="85">
        <f t="shared" si="228"/>
        <v>340</v>
      </c>
      <c r="C342" s="70" t="s">
        <v>372</v>
      </c>
      <c r="D342" s="71"/>
      <c r="E342" s="235">
        <f>HLOOKUP($A$1,$I$3:$T$365,B342,0)</f>
        <v>1865890</v>
      </c>
      <c r="F342" s="236"/>
      <c r="G342" s="237">
        <f t="shared" ca="1" si="241"/>
        <v>6631090</v>
      </c>
      <c r="H342" s="216">
        <f t="shared" ca="1" si="237"/>
        <v>3.7309240340772346E-3</v>
      </c>
      <c r="I342" s="76"/>
      <c r="J342" s="76">
        <v>315600</v>
      </c>
      <c r="K342" s="76">
        <v>324730</v>
      </c>
      <c r="L342" s="76">
        <v>286280</v>
      </c>
      <c r="M342" s="76">
        <v>290580</v>
      </c>
      <c r="N342" s="76">
        <v>276060</v>
      </c>
      <c r="O342" s="76">
        <v>483620</v>
      </c>
      <c r="P342" s="76">
        <v>1974120</v>
      </c>
      <c r="Q342" s="76">
        <v>253010</v>
      </c>
      <c r="R342" s="76">
        <v>300380</v>
      </c>
      <c r="S342" s="76">
        <v>260820</v>
      </c>
      <c r="T342" s="76">
        <v>1865890</v>
      </c>
      <c r="U342" s="34">
        <f t="shared" si="195"/>
        <v>3</v>
      </c>
      <c r="V342" s="69">
        <f t="shared" si="195"/>
        <v>340</v>
      </c>
      <c r="W342" s="70" t="s">
        <v>372</v>
      </c>
      <c r="X342" s="71"/>
      <c r="Y342" s="235">
        <f>HLOOKUP($U$1,$AC$3:$AN$365,V342,0)</f>
        <v>0</v>
      </c>
      <c r="Z342" s="236">
        <f t="shared" ca="1" si="242"/>
        <v>0</v>
      </c>
      <c r="AA342" s="237">
        <f t="shared" ca="1" si="243"/>
        <v>0</v>
      </c>
      <c r="AB342" s="216">
        <f t="shared" ca="1" si="225"/>
        <v>0</v>
      </c>
      <c r="AC342" s="76"/>
      <c r="AD342" s="76"/>
      <c r="AE342" s="76"/>
      <c r="AF342" s="76"/>
      <c r="AG342" s="76"/>
      <c r="AH342" s="76"/>
      <c r="AI342" s="76"/>
      <c r="AJ342" s="76"/>
      <c r="AK342" s="76"/>
      <c r="AL342" s="76"/>
      <c r="AM342" s="76"/>
      <c r="AN342" s="76"/>
    </row>
    <row r="343" spans="1:40" s="43" customFormat="1" ht="15" customHeight="1" x14ac:dyDescent="0.15">
      <c r="A343" s="34">
        <v>3</v>
      </c>
      <c r="B343" s="85">
        <f t="shared" si="228"/>
        <v>341</v>
      </c>
      <c r="C343" s="70" t="s">
        <v>373</v>
      </c>
      <c r="D343" s="71"/>
      <c r="E343" s="235"/>
      <c r="F343" s="236"/>
      <c r="G343" s="237">
        <f t="shared" ca="1" si="241"/>
        <v>6789458</v>
      </c>
      <c r="H343" s="216"/>
      <c r="I343" s="76"/>
      <c r="J343" s="76"/>
      <c r="K343" s="76"/>
      <c r="L343" s="76"/>
      <c r="M343" s="76"/>
      <c r="N343" s="76"/>
      <c r="O343" s="76"/>
      <c r="P343" s="76"/>
      <c r="Q343" s="76"/>
      <c r="R343" s="76"/>
      <c r="S343" s="76">
        <v>2218419</v>
      </c>
      <c r="T343" s="76">
        <v>4571039</v>
      </c>
      <c r="U343" s="34">
        <f t="shared" si="195"/>
        <v>3</v>
      </c>
      <c r="V343" s="69">
        <f t="shared" si="195"/>
        <v>341</v>
      </c>
      <c r="W343" s="70" t="s">
        <v>373</v>
      </c>
      <c r="X343" s="71"/>
      <c r="Y343" s="235"/>
      <c r="Z343" s="236"/>
      <c r="AA343" s="237"/>
      <c r="AB343" s="216"/>
      <c r="AC343" s="76"/>
      <c r="AD343" s="76"/>
      <c r="AE343" s="76"/>
      <c r="AF343" s="76"/>
      <c r="AG343" s="76"/>
      <c r="AH343" s="76"/>
      <c r="AI343" s="76"/>
      <c r="AJ343" s="76"/>
      <c r="AK343" s="76"/>
      <c r="AL343" s="76"/>
      <c r="AM343" s="76"/>
      <c r="AN343" s="76"/>
    </row>
    <row r="344" spans="1:40" s="43" customFormat="1" ht="15" customHeight="1" x14ac:dyDescent="0.15">
      <c r="A344" s="34">
        <v>3</v>
      </c>
      <c r="B344" s="85">
        <f t="shared" si="228"/>
        <v>342</v>
      </c>
      <c r="C344" s="70" t="s">
        <v>374</v>
      </c>
      <c r="D344" s="71"/>
      <c r="E344" s="235">
        <f t="shared" ref="E344:E365" si="245">HLOOKUP($A$1,$I$3:$T$365,B344,0)</f>
        <v>2458145</v>
      </c>
      <c r="F344" s="236"/>
      <c r="G344" s="237">
        <f t="shared" ca="1" si="241"/>
        <v>9650800</v>
      </c>
      <c r="H344" s="216">
        <f t="shared" ca="1" si="237"/>
        <v>5.4299371095962471E-3</v>
      </c>
      <c r="I344" s="76"/>
      <c r="J344" s="76">
        <v>1073070</v>
      </c>
      <c r="K344" s="76">
        <v>745440</v>
      </c>
      <c r="L344" s="76">
        <v>558430</v>
      </c>
      <c r="M344" s="76">
        <v>334380</v>
      </c>
      <c r="N344" s="76">
        <v>378330</v>
      </c>
      <c r="O344" s="76">
        <v>2033113</v>
      </c>
      <c r="P344" s="76">
        <v>599230</v>
      </c>
      <c r="Q344" s="76">
        <v>838150</v>
      </c>
      <c r="R344" s="76">
        <v>247100</v>
      </c>
      <c r="S344" s="76">
        <v>385412</v>
      </c>
      <c r="T344" s="76">
        <v>2458145</v>
      </c>
      <c r="U344" s="34">
        <f t="shared" si="195"/>
        <v>3</v>
      </c>
      <c r="V344" s="69">
        <f t="shared" si="195"/>
        <v>342</v>
      </c>
      <c r="W344" s="70" t="s">
        <v>374</v>
      </c>
      <c r="X344" s="71"/>
      <c r="Y344" s="235">
        <f t="shared" ref="Y344:Y356" si="246">HLOOKUP($U$1,$AC$3:$AN$365,V344,0)</f>
        <v>0</v>
      </c>
      <c r="Z344" s="236">
        <f t="shared" ca="1" si="242"/>
        <v>0</v>
      </c>
      <c r="AA344" s="237">
        <f t="shared" ca="1" si="243"/>
        <v>0</v>
      </c>
      <c r="AB344" s="216">
        <f t="shared" ca="1" si="225"/>
        <v>0</v>
      </c>
      <c r="AC344" s="76"/>
      <c r="AD344" s="76"/>
      <c r="AE344" s="76"/>
      <c r="AF344" s="76"/>
      <c r="AG344" s="76"/>
      <c r="AH344" s="76"/>
      <c r="AI344" s="76"/>
      <c r="AJ344" s="76"/>
      <c r="AK344" s="76"/>
      <c r="AL344" s="76"/>
      <c r="AM344" s="76"/>
      <c r="AN344" s="76"/>
    </row>
    <row r="345" spans="1:40" s="43" customFormat="1" ht="15" customHeight="1" x14ac:dyDescent="0.15">
      <c r="A345" s="34">
        <v>3</v>
      </c>
      <c r="B345" s="85">
        <f t="shared" si="228"/>
        <v>343</v>
      </c>
      <c r="C345" s="70" t="s">
        <v>375</v>
      </c>
      <c r="D345" s="71"/>
      <c r="E345" s="235">
        <f t="shared" si="245"/>
        <v>1936750</v>
      </c>
      <c r="F345" s="236"/>
      <c r="G345" s="237">
        <f t="shared" ca="1" si="241"/>
        <v>5803390</v>
      </c>
      <c r="H345" s="216">
        <f t="shared" ca="1" si="237"/>
        <v>3.2652259628693746E-3</v>
      </c>
      <c r="I345" s="76"/>
      <c r="J345" s="76">
        <v>0</v>
      </c>
      <c r="K345" s="76">
        <v>234230</v>
      </c>
      <c r="L345" s="76">
        <v>107710</v>
      </c>
      <c r="M345" s="76">
        <v>3740</v>
      </c>
      <c r="N345" s="76">
        <v>628250</v>
      </c>
      <c r="O345" s="76">
        <v>674710</v>
      </c>
      <c r="P345" s="76">
        <v>692710</v>
      </c>
      <c r="Q345" s="76">
        <v>107390</v>
      </c>
      <c r="R345" s="76">
        <v>399780</v>
      </c>
      <c r="S345" s="76">
        <v>1018120</v>
      </c>
      <c r="T345" s="76">
        <v>1936750</v>
      </c>
      <c r="U345" s="34">
        <f t="shared" si="195"/>
        <v>3</v>
      </c>
      <c r="V345" s="69">
        <f t="shared" si="195"/>
        <v>343</v>
      </c>
      <c r="W345" s="70" t="s">
        <v>375</v>
      </c>
      <c r="X345" s="71"/>
      <c r="Y345" s="235">
        <f t="shared" si="246"/>
        <v>0</v>
      </c>
      <c r="Z345" s="236">
        <f t="shared" ca="1" si="242"/>
        <v>0</v>
      </c>
      <c r="AA345" s="237">
        <f t="shared" ca="1" si="243"/>
        <v>0</v>
      </c>
      <c r="AB345" s="216">
        <f t="shared" ca="1" si="225"/>
        <v>0</v>
      </c>
      <c r="AC345" s="76"/>
      <c r="AD345" s="76"/>
      <c r="AE345" s="76"/>
      <c r="AF345" s="76"/>
      <c r="AG345" s="76"/>
      <c r="AH345" s="76"/>
      <c r="AI345" s="76"/>
      <c r="AJ345" s="76"/>
      <c r="AK345" s="76"/>
      <c r="AL345" s="76"/>
      <c r="AM345" s="76"/>
      <c r="AN345" s="76"/>
    </row>
    <row r="346" spans="1:40" s="43" customFormat="1" ht="15" customHeight="1" x14ac:dyDescent="0.15">
      <c r="A346" s="34">
        <v>3</v>
      </c>
      <c r="B346" s="85">
        <f t="shared" si="228"/>
        <v>344</v>
      </c>
      <c r="C346" s="70" t="s">
        <v>376</v>
      </c>
      <c r="D346" s="71"/>
      <c r="E346" s="235">
        <f t="shared" si="245"/>
        <v>27134129</v>
      </c>
      <c r="F346" s="236"/>
      <c r="G346" s="237">
        <f t="shared" ca="1" si="241"/>
        <v>265883855</v>
      </c>
      <c r="H346" s="216">
        <f t="shared" ca="1" si="237"/>
        <v>0.14959719516589376</v>
      </c>
      <c r="I346" s="76"/>
      <c r="J346" s="76">
        <v>25982189</v>
      </c>
      <c r="K346" s="76">
        <v>27487745</v>
      </c>
      <c r="L346" s="76">
        <v>29707352</v>
      </c>
      <c r="M346" s="76">
        <v>26086503</v>
      </c>
      <c r="N346" s="76">
        <v>16092609</v>
      </c>
      <c r="O346" s="76">
        <v>28120463</v>
      </c>
      <c r="P346" s="76">
        <v>19670939</v>
      </c>
      <c r="Q346" s="76">
        <v>28110610</v>
      </c>
      <c r="R346" s="76">
        <v>14622407</v>
      </c>
      <c r="S346" s="76">
        <v>22868909</v>
      </c>
      <c r="T346" s="76">
        <v>27134129</v>
      </c>
      <c r="U346" s="34">
        <f t="shared" si="195"/>
        <v>3</v>
      </c>
      <c r="V346" s="69">
        <f t="shared" si="195"/>
        <v>344</v>
      </c>
      <c r="W346" s="70" t="s">
        <v>376</v>
      </c>
      <c r="X346" s="71"/>
      <c r="Y346" s="235">
        <f t="shared" si="246"/>
        <v>0</v>
      </c>
      <c r="Z346" s="236">
        <f t="shared" ca="1" si="242"/>
        <v>0</v>
      </c>
      <c r="AA346" s="237">
        <f t="shared" ca="1" si="243"/>
        <v>0</v>
      </c>
      <c r="AB346" s="216">
        <f t="shared" ca="1" si="225"/>
        <v>0</v>
      </c>
      <c r="AC346" s="76"/>
      <c r="AD346" s="76"/>
      <c r="AE346" s="76"/>
      <c r="AF346" s="76"/>
      <c r="AG346" s="76"/>
      <c r="AH346" s="76"/>
      <c r="AI346" s="76"/>
      <c r="AJ346" s="76"/>
      <c r="AK346" s="76"/>
      <c r="AL346" s="76"/>
      <c r="AM346" s="76"/>
      <c r="AN346" s="76"/>
    </row>
    <row r="347" spans="1:40" s="43" customFormat="1" ht="15" customHeight="1" x14ac:dyDescent="0.15">
      <c r="A347" s="34">
        <v>3</v>
      </c>
      <c r="B347" s="85">
        <f t="shared" si="228"/>
        <v>345</v>
      </c>
      <c r="C347" s="70" t="s">
        <v>377</v>
      </c>
      <c r="D347" s="71"/>
      <c r="E347" s="235">
        <f t="shared" si="245"/>
        <v>76703975</v>
      </c>
      <c r="F347" s="236"/>
      <c r="G347" s="237">
        <f t="shared" ca="1" si="241"/>
        <v>610262035</v>
      </c>
      <c r="H347" s="216">
        <f t="shared" ca="1" si="237"/>
        <v>0.34335852679821605</v>
      </c>
      <c r="I347" s="76"/>
      <c r="J347" s="76">
        <v>13550274</v>
      </c>
      <c r="K347" s="76">
        <v>26368942</v>
      </c>
      <c r="L347" s="76">
        <v>58439238</v>
      </c>
      <c r="M347" s="76">
        <v>30729827</v>
      </c>
      <c r="N347" s="76">
        <v>38753528</v>
      </c>
      <c r="O347" s="76">
        <v>27670582</v>
      </c>
      <c r="P347" s="76">
        <v>42913286</v>
      </c>
      <c r="Q347" s="76">
        <v>98367991</v>
      </c>
      <c r="R347" s="76">
        <v>82968676</v>
      </c>
      <c r="S347" s="76">
        <v>113795716</v>
      </c>
      <c r="T347" s="76">
        <v>76703975</v>
      </c>
      <c r="U347" s="34">
        <f t="shared" si="195"/>
        <v>3</v>
      </c>
      <c r="V347" s="69">
        <f t="shared" si="195"/>
        <v>345</v>
      </c>
      <c r="W347" s="70" t="s">
        <v>377</v>
      </c>
      <c r="X347" s="71"/>
      <c r="Y347" s="235">
        <f t="shared" si="246"/>
        <v>0</v>
      </c>
      <c r="Z347" s="236">
        <f t="shared" ca="1" si="242"/>
        <v>0</v>
      </c>
      <c r="AA347" s="237">
        <f t="shared" ca="1" si="243"/>
        <v>0</v>
      </c>
      <c r="AB347" s="216">
        <f t="shared" ca="1" si="225"/>
        <v>0</v>
      </c>
      <c r="AC347" s="76"/>
      <c r="AD347" s="76"/>
      <c r="AE347" s="76"/>
      <c r="AF347" s="76"/>
      <c r="AG347" s="76"/>
      <c r="AH347" s="76"/>
      <c r="AI347" s="76"/>
      <c r="AJ347" s="76"/>
      <c r="AK347" s="76"/>
      <c r="AL347" s="76"/>
      <c r="AM347" s="76"/>
      <c r="AN347" s="76"/>
    </row>
    <row r="348" spans="1:40" s="43" customFormat="1" ht="15" customHeight="1" x14ac:dyDescent="0.15">
      <c r="A348" s="34">
        <v>3</v>
      </c>
      <c r="B348" s="85">
        <f t="shared" si="228"/>
        <v>346</v>
      </c>
      <c r="C348" s="70" t="s">
        <v>378</v>
      </c>
      <c r="D348" s="71"/>
      <c r="E348" s="235">
        <f t="shared" si="245"/>
        <v>6450000</v>
      </c>
      <c r="F348" s="236"/>
      <c r="G348" s="237">
        <f t="shared" ca="1" si="241"/>
        <v>63233727</v>
      </c>
      <c r="H348" s="216">
        <f t="shared" ca="1" si="237"/>
        <v>3.5577896217451208E-2</v>
      </c>
      <c r="I348" s="76"/>
      <c r="J348" s="76">
        <v>329727</v>
      </c>
      <c r="K348" s="76">
        <v>12649000</v>
      </c>
      <c r="L348" s="76">
        <v>11500000</v>
      </c>
      <c r="M348" s="76">
        <v>5180000</v>
      </c>
      <c r="N348" s="76">
        <v>3655000</v>
      </c>
      <c r="O348" s="76">
        <v>7568000</v>
      </c>
      <c r="P348" s="76">
        <v>2920000</v>
      </c>
      <c r="Q348" s="76">
        <v>1780000</v>
      </c>
      <c r="R348" s="115">
        <v>750000</v>
      </c>
      <c r="S348" s="76">
        <v>10452000</v>
      </c>
      <c r="T348" s="76">
        <v>6450000</v>
      </c>
      <c r="U348" s="34">
        <f t="shared" si="195"/>
        <v>3</v>
      </c>
      <c r="V348" s="69">
        <f t="shared" si="195"/>
        <v>346</v>
      </c>
      <c r="W348" s="70" t="s">
        <v>378</v>
      </c>
      <c r="X348" s="71"/>
      <c r="Y348" s="235">
        <f t="shared" si="246"/>
        <v>0</v>
      </c>
      <c r="Z348" s="236">
        <f t="shared" ca="1" si="242"/>
        <v>0</v>
      </c>
      <c r="AA348" s="237">
        <f t="shared" ca="1" si="243"/>
        <v>0</v>
      </c>
      <c r="AB348" s="216">
        <f t="shared" ca="1" si="225"/>
        <v>0</v>
      </c>
      <c r="AC348" s="76"/>
      <c r="AD348" s="76"/>
      <c r="AE348" s="76"/>
      <c r="AF348" s="76"/>
      <c r="AG348" s="76"/>
      <c r="AH348" s="76"/>
      <c r="AI348" s="76"/>
      <c r="AJ348" s="76"/>
      <c r="AK348" s="76"/>
      <c r="AL348" s="76"/>
      <c r="AM348" s="76"/>
      <c r="AN348" s="76"/>
    </row>
    <row r="349" spans="1:40" s="43" customFormat="1" ht="15" customHeight="1" x14ac:dyDescent="0.15">
      <c r="A349" s="34">
        <v>3</v>
      </c>
      <c r="B349" s="85">
        <f t="shared" si="228"/>
        <v>347</v>
      </c>
      <c r="C349" s="70" t="s">
        <v>379</v>
      </c>
      <c r="D349" s="71"/>
      <c r="E349" s="235">
        <f t="shared" si="245"/>
        <v>896850</v>
      </c>
      <c r="F349" s="236"/>
      <c r="G349" s="237">
        <f t="shared" ca="1" si="241"/>
        <v>11216187</v>
      </c>
      <c r="H349" s="216">
        <f t="shared" ca="1" si="237"/>
        <v>6.3106882351173996E-3</v>
      </c>
      <c r="I349" s="76"/>
      <c r="J349" s="76">
        <v>1713063</v>
      </c>
      <c r="K349" s="76">
        <v>1687490</v>
      </c>
      <c r="L349" s="76">
        <v>841517</v>
      </c>
      <c r="M349" s="76">
        <v>841517</v>
      </c>
      <c r="N349" s="76">
        <v>841517</v>
      </c>
      <c r="O349" s="76">
        <v>879506</v>
      </c>
      <c r="P349" s="76">
        <v>879506</v>
      </c>
      <c r="Q349" s="76">
        <v>841517</v>
      </c>
      <c r="R349" s="76">
        <v>896852</v>
      </c>
      <c r="S349" s="76">
        <v>896852</v>
      </c>
      <c r="T349" s="76">
        <v>896850</v>
      </c>
      <c r="U349" s="34">
        <f t="shared" si="195"/>
        <v>3</v>
      </c>
      <c r="V349" s="69">
        <f t="shared" si="195"/>
        <v>347</v>
      </c>
      <c r="W349" s="70" t="s">
        <v>379</v>
      </c>
      <c r="X349" s="71"/>
      <c r="Y349" s="235">
        <f t="shared" si="246"/>
        <v>0</v>
      </c>
      <c r="Z349" s="236">
        <f t="shared" ca="1" si="242"/>
        <v>0</v>
      </c>
      <c r="AA349" s="237">
        <f t="shared" ca="1" si="243"/>
        <v>0</v>
      </c>
      <c r="AB349" s="216">
        <f t="shared" ca="1" si="225"/>
        <v>0</v>
      </c>
      <c r="AC349" s="76"/>
      <c r="AD349" s="76"/>
      <c r="AE349" s="76"/>
      <c r="AF349" s="76"/>
      <c r="AG349" s="76"/>
      <c r="AH349" s="76"/>
      <c r="AI349" s="76"/>
      <c r="AJ349" s="76"/>
      <c r="AK349" s="76"/>
      <c r="AL349" s="76"/>
      <c r="AM349" s="76"/>
      <c r="AN349" s="76"/>
    </row>
    <row r="350" spans="1:40" s="43" customFormat="1" ht="15" customHeight="1" x14ac:dyDescent="0.15">
      <c r="A350" s="34">
        <v>3</v>
      </c>
      <c r="B350" s="85">
        <f t="shared" si="228"/>
        <v>348</v>
      </c>
      <c r="C350" s="70" t="s">
        <v>380</v>
      </c>
      <c r="D350" s="71"/>
      <c r="E350" s="235">
        <f t="shared" si="245"/>
        <v>17857024</v>
      </c>
      <c r="F350" s="236"/>
      <c r="G350" s="237">
        <f t="shared" ca="1" si="241"/>
        <v>69123396</v>
      </c>
      <c r="H350" s="216">
        <f t="shared" ca="1" si="237"/>
        <v>3.8891666295200064E-2</v>
      </c>
      <c r="I350" s="76"/>
      <c r="J350" s="76">
        <v>1142737</v>
      </c>
      <c r="K350" s="76">
        <v>1130364</v>
      </c>
      <c r="L350" s="76">
        <v>4070264</v>
      </c>
      <c r="M350" s="76">
        <v>6684000</v>
      </c>
      <c r="N350" s="76">
        <v>3894955</v>
      </c>
      <c r="O350" s="76">
        <v>5240509</v>
      </c>
      <c r="P350" s="76">
        <v>5912227</v>
      </c>
      <c r="Q350" s="76">
        <v>5404927</v>
      </c>
      <c r="R350" s="76">
        <v>6952464</v>
      </c>
      <c r="S350" s="76">
        <v>10833925</v>
      </c>
      <c r="T350" s="76">
        <v>17857024</v>
      </c>
      <c r="U350" s="34">
        <f t="shared" si="195"/>
        <v>3</v>
      </c>
      <c r="V350" s="69">
        <f t="shared" si="195"/>
        <v>348</v>
      </c>
      <c r="W350" s="70" t="s">
        <v>380</v>
      </c>
      <c r="X350" s="71"/>
      <c r="Y350" s="235">
        <f t="shared" si="246"/>
        <v>0</v>
      </c>
      <c r="Z350" s="236">
        <f t="shared" ca="1" si="242"/>
        <v>0</v>
      </c>
      <c r="AA350" s="237">
        <f t="shared" ca="1" si="243"/>
        <v>0</v>
      </c>
      <c r="AB350" s="216">
        <f t="shared" ca="1" si="225"/>
        <v>0</v>
      </c>
      <c r="AC350" s="76"/>
      <c r="AD350" s="76"/>
      <c r="AE350" s="76"/>
      <c r="AF350" s="76"/>
      <c r="AG350" s="76"/>
      <c r="AH350" s="76"/>
      <c r="AI350" s="76"/>
      <c r="AJ350" s="76"/>
      <c r="AK350" s="76"/>
      <c r="AL350" s="76"/>
      <c r="AM350" s="76"/>
      <c r="AN350" s="76"/>
    </row>
    <row r="351" spans="1:40" s="43" customFormat="1" ht="15" customHeight="1" x14ac:dyDescent="0.15">
      <c r="A351" s="34">
        <v>3</v>
      </c>
      <c r="B351" s="85">
        <f t="shared" si="228"/>
        <v>349</v>
      </c>
      <c r="C351" s="70" t="s">
        <v>381</v>
      </c>
      <c r="D351" s="71"/>
      <c r="E351" s="235">
        <f t="shared" si="245"/>
        <v>462400</v>
      </c>
      <c r="F351" s="236"/>
      <c r="G351" s="237">
        <f t="shared" ca="1" si="241"/>
        <v>3671720</v>
      </c>
      <c r="H351" s="216">
        <f t="shared" ca="1" si="237"/>
        <v>2.065860724918839E-3</v>
      </c>
      <c r="I351" s="76"/>
      <c r="J351" s="76">
        <v>0</v>
      </c>
      <c r="K351" s="76">
        <v>249500</v>
      </c>
      <c r="L351" s="76">
        <v>390900</v>
      </c>
      <c r="M351" s="76">
        <v>275160</v>
      </c>
      <c r="N351" s="76">
        <v>439200</v>
      </c>
      <c r="O351" s="76">
        <v>293100</v>
      </c>
      <c r="P351" s="76">
        <v>394000</v>
      </c>
      <c r="Q351" s="76">
        <v>352060</v>
      </c>
      <c r="R351" s="76">
        <v>472500</v>
      </c>
      <c r="S351" s="76">
        <v>342900</v>
      </c>
      <c r="T351" s="76">
        <v>462400</v>
      </c>
      <c r="U351" s="34">
        <f t="shared" si="195"/>
        <v>3</v>
      </c>
      <c r="V351" s="69">
        <f t="shared" si="195"/>
        <v>349</v>
      </c>
      <c r="W351" s="70" t="s">
        <v>381</v>
      </c>
      <c r="X351" s="71"/>
      <c r="Y351" s="235">
        <f t="shared" si="246"/>
        <v>0</v>
      </c>
      <c r="Z351" s="236">
        <f t="shared" ca="1" si="242"/>
        <v>0</v>
      </c>
      <c r="AA351" s="237">
        <f t="shared" ca="1" si="243"/>
        <v>0</v>
      </c>
      <c r="AB351" s="216">
        <f t="shared" ca="1" si="225"/>
        <v>0</v>
      </c>
      <c r="AC351" s="76"/>
      <c r="AD351" s="76"/>
      <c r="AE351" s="76"/>
      <c r="AF351" s="76"/>
      <c r="AG351" s="76"/>
      <c r="AH351" s="76"/>
      <c r="AI351" s="76"/>
      <c r="AJ351" s="76"/>
      <c r="AK351" s="76"/>
      <c r="AL351" s="76"/>
      <c r="AM351" s="76"/>
      <c r="AN351" s="76"/>
    </row>
    <row r="352" spans="1:40" s="43" customFormat="1" ht="15" customHeight="1" x14ac:dyDescent="0.15">
      <c r="A352" s="34">
        <v>3</v>
      </c>
      <c r="B352" s="85">
        <f t="shared" si="228"/>
        <v>350</v>
      </c>
      <c r="C352" s="70" t="s">
        <v>382</v>
      </c>
      <c r="D352" s="71"/>
      <c r="E352" s="235">
        <f t="shared" si="245"/>
        <v>163508035</v>
      </c>
      <c r="F352" s="236"/>
      <c r="G352" s="237">
        <f t="shared" ca="1" si="241"/>
        <v>1097094878</v>
      </c>
      <c r="H352" s="216">
        <f t="shared" ca="1" si="237"/>
        <v>0.61727071235546971</v>
      </c>
      <c r="I352" s="76"/>
      <c r="J352" s="76">
        <v>57671689</v>
      </c>
      <c r="K352" s="76">
        <v>91101081</v>
      </c>
      <c r="L352" s="76">
        <v>98264564</v>
      </c>
      <c r="M352" s="76">
        <v>111536309</v>
      </c>
      <c r="N352" s="76">
        <v>74272268</v>
      </c>
      <c r="O352" s="76">
        <v>69416190</v>
      </c>
      <c r="P352" s="76">
        <v>72236651</v>
      </c>
      <c r="Q352" s="76">
        <v>87218300</v>
      </c>
      <c r="R352" s="76">
        <v>95853232</v>
      </c>
      <c r="S352" s="76">
        <v>176016559</v>
      </c>
      <c r="T352" s="76">
        <v>163508035</v>
      </c>
      <c r="U352" s="34">
        <f t="shared" si="195"/>
        <v>3</v>
      </c>
      <c r="V352" s="69">
        <f t="shared" si="195"/>
        <v>350</v>
      </c>
      <c r="W352" s="70" t="s">
        <v>382</v>
      </c>
      <c r="X352" s="71"/>
      <c r="Y352" s="235">
        <f t="shared" si="246"/>
        <v>0</v>
      </c>
      <c r="Z352" s="236">
        <f t="shared" ca="1" si="242"/>
        <v>0</v>
      </c>
      <c r="AA352" s="237">
        <f t="shared" ca="1" si="243"/>
        <v>0</v>
      </c>
      <c r="AB352" s="216">
        <f t="shared" ca="1" si="225"/>
        <v>0</v>
      </c>
      <c r="AC352" s="76"/>
      <c r="AD352" s="76"/>
      <c r="AE352" s="76"/>
      <c r="AF352" s="76"/>
      <c r="AG352" s="76"/>
      <c r="AH352" s="76"/>
      <c r="AI352" s="76"/>
      <c r="AJ352" s="76"/>
      <c r="AK352" s="76"/>
      <c r="AL352" s="76"/>
      <c r="AM352" s="76"/>
      <c r="AN352" s="76"/>
    </row>
    <row r="353" spans="1:43" s="43" customFormat="1" ht="15" customHeight="1" x14ac:dyDescent="0.15">
      <c r="A353" s="34">
        <v>3</v>
      </c>
      <c r="B353" s="85">
        <f t="shared" si="228"/>
        <v>351</v>
      </c>
      <c r="C353" s="70" t="s">
        <v>383</v>
      </c>
      <c r="D353" s="71"/>
      <c r="E353" s="235">
        <f t="shared" si="245"/>
        <v>0</v>
      </c>
      <c r="F353" s="236"/>
      <c r="G353" s="237">
        <f t="shared" ca="1" si="241"/>
        <v>0</v>
      </c>
      <c r="H353" s="216">
        <f t="shared" ca="1" si="237"/>
        <v>0</v>
      </c>
      <c r="I353" s="76"/>
      <c r="J353" s="76">
        <v>0</v>
      </c>
      <c r="K353" s="76">
        <v>0</v>
      </c>
      <c r="L353" s="76">
        <v>0</v>
      </c>
      <c r="M353" s="76">
        <v>0</v>
      </c>
      <c r="N353" s="76">
        <v>0</v>
      </c>
      <c r="O353" s="76">
        <v>0</v>
      </c>
      <c r="P353" s="76">
        <v>0</v>
      </c>
      <c r="Q353" s="76">
        <v>0</v>
      </c>
      <c r="R353" s="76">
        <v>0</v>
      </c>
      <c r="S353" s="76">
        <v>0</v>
      </c>
      <c r="T353" s="76">
        <v>0</v>
      </c>
      <c r="U353" s="34">
        <f t="shared" si="195"/>
        <v>3</v>
      </c>
      <c r="V353" s="69">
        <f t="shared" si="195"/>
        <v>351</v>
      </c>
      <c r="W353" s="70" t="s">
        <v>383</v>
      </c>
      <c r="X353" s="71"/>
      <c r="Y353" s="235">
        <f t="shared" si="246"/>
        <v>0</v>
      </c>
      <c r="Z353" s="236">
        <f t="shared" ca="1" si="242"/>
        <v>0</v>
      </c>
      <c r="AA353" s="237">
        <f t="shared" ca="1" si="243"/>
        <v>0</v>
      </c>
      <c r="AB353" s="216">
        <f t="shared" ca="1" si="225"/>
        <v>0</v>
      </c>
      <c r="AC353" s="76"/>
      <c r="AD353" s="76"/>
      <c r="AE353" s="76"/>
      <c r="AF353" s="76"/>
      <c r="AG353" s="76"/>
      <c r="AH353" s="76"/>
      <c r="AI353" s="76"/>
      <c r="AJ353" s="76"/>
      <c r="AK353" s="76"/>
      <c r="AL353" s="76"/>
      <c r="AM353" s="76"/>
      <c r="AN353" s="76"/>
    </row>
    <row r="354" spans="1:43" s="43" customFormat="1" ht="15" customHeight="1" x14ac:dyDescent="0.15">
      <c r="A354" s="34">
        <v>3</v>
      </c>
      <c r="B354" s="85">
        <f t="shared" si="228"/>
        <v>352</v>
      </c>
      <c r="C354" s="70" t="s">
        <v>384</v>
      </c>
      <c r="D354" s="71"/>
      <c r="E354" s="235">
        <f t="shared" si="245"/>
        <v>76520</v>
      </c>
      <c r="F354" s="236"/>
      <c r="G354" s="237">
        <f t="shared" ca="1" si="241"/>
        <v>4826580</v>
      </c>
      <c r="H354" s="216">
        <f t="shared" ca="1" si="237"/>
        <v>2.7156324713427955E-3</v>
      </c>
      <c r="I354" s="76"/>
      <c r="J354" s="76">
        <v>0</v>
      </c>
      <c r="K354" s="76">
        <v>3780000</v>
      </c>
      <c r="L354" s="76">
        <v>28000</v>
      </c>
      <c r="M354" s="76">
        <v>379000</v>
      </c>
      <c r="N354" s="76">
        <v>120000</v>
      </c>
      <c r="O354" s="76">
        <v>57000</v>
      </c>
      <c r="P354" s="76">
        <v>93050</v>
      </c>
      <c r="Q354" s="76">
        <v>53200</v>
      </c>
      <c r="R354" s="76">
        <v>112200</v>
      </c>
      <c r="S354" s="76">
        <v>127610</v>
      </c>
      <c r="T354" s="76">
        <v>76520</v>
      </c>
      <c r="U354" s="34">
        <f t="shared" si="195"/>
        <v>3</v>
      </c>
      <c r="V354" s="69">
        <f t="shared" si="195"/>
        <v>352</v>
      </c>
      <c r="W354" s="70" t="s">
        <v>384</v>
      </c>
      <c r="X354" s="71"/>
      <c r="Y354" s="235">
        <f t="shared" si="246"/>
        <v>0</v>
      </c>
      <c r="Z354" s="236">
        <f t="shared" ca="1" si="242"/>
        <v>0</v>
      </c>
      <c r="AA354" s="237">
        <f t="shared" ca="1" si="243"/>
        <v>0</v>
      </c>
      <c r="AB354" s="216">
        <f t="shared" ca="1" si="225"/>
        <v>0</v>
      </c>
      <c r="AC354" s="76"/>
      <c r="AD354" s="76"/>
      <c r="AE354" s="76"/>
      <c r="AF354" s="76"/>
      <c r="AG354" s="76"/>
      <c r="AH354" s="76"/>
      <c r="AI354" s="76"/>
      <c r="AJ354" s="76"/>
      <c r="AK354" s="76"/>
      <c r="AL354" s="76"/>
      <c r="AM354" s="76"/>
      <c r="AN354" s="76"/>
    </row>
    <row r="355" spans="1:43" s="43" customFormat="1" ht="15" customHeight="1" x14ac:dyDescent="0.15">
      <c r="A355" s="34">
        <v>3</v>
      </c>
      <c r="B355" s="85">
        <f t="shared" si="228"/>
        <v>353</v>
      </c>
      <c r="C355" s="70" t="s">
        <v>385</v>
      </c>
      <c r="D355" s="71"/>
      <c r="E355" s="235">
        <f t="shared" si="245"/>
        <v>20064790</v>
      </c>
      <c r="F355" s="236"/>
      <c r="G355" s="237">
        <f t="shared" ca="1" si="241"/>
        <v>88555843</v>
      </c>
      <c r="H355" s="216">
        <f t="shared" ca="1" si="237"/>
        <v>4.9825160419579614E-2</v>
      </c>
      <c r="I355" s="76"/>
      <c r="J355" s="76">
        <f>5978121+229926</f>
        <v>6208047</v>
      </c>
      <c r="K355" s="76">
        <v>11081733</v>
      </c>
      <c r="L355" s="76">
        <v>2253184</v>
      </c>
      <c r="M355" s="76">
        <v>5534401</v>
      </c>
      <c r="N355" s="76">
        <v>3263047</v>
      </c>
      <c r="O355" s="76">
        <v>10900209</v>
      </c>
      <c r="P355" s="76">
        <v>4792589</v>
      </c>
      <c r="Q355" s="76">
        <v>9563818</v>
      </c>
      <c r="R355" s="76">
        <v>6730322</v>
      </c>
      <c r="S355" s="76">
        <v>8163703</v>
      </c>
      <c r="T355" s="76">
        <v>20064790</v>
      </c>
      <c r="U355" s="34">
        <f t="shared" si="195"/>
        <v>3</v>
      </c>
      <c r="V355" s="69">
        <f t="shared" si="195"/>
        <v>353</v>
      </c>
      <c r="W355" s="70" t="s">
        <v>385</v>
      </c>
      <c r="X355" s="71"/>
      <c r="Y355" s="235">
        <f t="shared" si="246"/>
        <v>0</v>
      </c>
      <c r="Z355" s="236">
        <f t="shared" ca="1" si="242"/>
        <v>0</v>
      </c>
      <c r="AA355" s="237">
        <f t="shared" ca="1" si="243"/>
        <v>0</v>
      </c>
      <c r="AB355" s="216">
        <f t="shared" ca="1" si="225"/>
        <v>0</v>
      </c>
      <c r="AC355" s="76"/>
      <c r="AD355" s="76"/>
      <c r="AE355" s="76"/>
      <c r="AF355" s="76"/>
      <c r="AG355" s="76"/>
      <c r="AH355" s="76"/>
      <c r="AI355" s="76"/>
      <c r="AJ355" s="76"/>
      <c r="AK355" s="76"/>
      <c r="AL355" s="76"/>
      <c r="AM355" s="76"/>
      <c r="AN355" s="76"/>
    </row>
    <row r="356" spans="1:43" s="43" customFormat="1" ht="15" customHeight="1" x14ac:dyDescent="0.15">
      <c r="A356" s="34">
        <v>3</v>
      </c>
      <c r="B356" s="85">
        <f t="shared" si="228"/>
        <v>354</v>
      </c>
      <c r="C356" s="78" t="s">
        <v>386</v>
      </c>
      <c r="D356" s="79"/>
      <c r="E356" s="241">
        <f t="shared" si="245"/>
        <v>2644771800</v>
      </c>
      <c r="F356" s="242"/>
      <c r="G356" s="243">
        <f t="shared" ca="1" si="241"/>
        <v>17832616046</v>
      </c>
      <c r="H356" s="221">
        <f t="shared" ca="1" si="237"/>
        <v>10.033363413329143</v>
      </c>
      <c r="I356" s="84"/>
      <c r="J356" s="84">
        <v>851433750</v>
      </c>
      <c r="K356" s="84">
        <v>1577494270</v>
      </c>
      <c r="L356" s="84">
        <v>1932029780</v>
      </c>
      <c r="M356" s="84">
        <v>2165881560</v>
      </c>
      <c r="N356" s="84">
        <v>945059530</v>
      </c>
      <c r="O356" s="84">
        <v>1372154560</v>
      </c>
      <c r="P356" s="84">
        <v>1352308790</v>
      </c>
      <c r="Q356" s="84">
        <v>1407478201</v>
      </c>
      <c r="R356" s="84">
        <v>1695819630</v>
      </c>
      <c r="S356" s="84">
        <v>1888184175</v>
      </c>
      <c r="T356" s="84">
        <v>2644771800</v>
      </c>
      <c r="U356" s="34">
        <f t="shared" si="195"/>
        <v>3</v>
      </c>
      <c r="V356" s="69">
        <f t="shared" si="195"/>
        <v>354</v>
      </c>
      <c r="W356" s="78" t="s">
        <v>386</v>
      </c>
      <c r="X356" s="79"/>
      <c r="Y356" s="241">
        <f t="shared" si="246"/>
        <v>0</v>
      </c>
      <c r="Z356" s="242">
        <f t="shared" ca="1" si="242"/>
        <v>0</v>
      </c>
      <c r="AA356" s="243">
        <f t="shared" ca="1" si="243"/>
        <v>0</v>
      </c>
      <c r="AB356" s="221">
        <f t="shared" ca="1" si="225"/>
        <v>0</v>
      </c>
      <c r="AC356" s="84"/>
      <c r="AD356" s="84"/>
      <c r="AE356" s="84"/>
      <c r="AF356" s="84"/>
      <c r="AG356" s="84"/>
      <c r="AH356" s="84"/>
      <c r="AI356" s="84"/>
      <c r="AJ356" s="84"/>
      <c r="AK356" s="84"/>
      <c r="AL356" s="84"/>
      <c r="AM356" s="84"/>
      <c r="AN356" s="84"/>
    </row>
    <row r="357" spans="1:43" s="158" customFormat="1" ht="15" customHeight="1" x14ac:dyDescent="0.15">
      <c r="A357" s="34">
        <v>3</v>
      </c>
      <c r="B357" s="85">
        <f t="shared" si="228"/>
        <v>355</v>
      </c>
      <c r="C357" s="251" t="s">
        <v>387</v>
      </c>
      <c r="D357" s="252"/>
      <c r="E357" s="250">
        <f t="shared" si="245"/>
        <v>6053420936</v>
      </c>
      <c r="F357" s="253">
        <f>F319+F326+F331+F336</f>
        <v>0</v>
      </c>
      <c r="G357" s="254">
        <f ca="1">G319+G326+G331+G336</f>
        <v>34479123626</v>
      </c>
      <c r="H357" s="255">
        <f t="shared" ca="1" si="237"/>
        <v>19.399373407714812</v>
      </c>
      <c r="I357" s="250">
        <f>I319+I326+I331+I336</f>
        <v>0</v>
      </c>
      <c r="J357" s="250">
        <f>J319+J326+J331+J336</f>
        <v>2689791151</v>
      </c>
      <c r="K357" s="250">
        <f>K319+K326+K331+K336</f>
        <v>4219259502.3485446</v>
      </c>
      <c r="L357" s="250">
        <f>L319+L326+L331+L336</f>
        <v>5184073817.6514549</v>
      </c>
      <c r="M357" s="250">
        <f t="shared" ref="M357:T357" si="247">M319+M326+M331+M336</f>
        <v>5270426798</v>
      </c>
      <c r="N357" s="250">
        <f t="shared" si="247"/>
        <v>-5032776577</v>
      </c>
      <c r="O357" s="250">
        <f t="shared" si="247"/>
        <v>2336245378</v>
      </c>
      <c r="P357" s="250">
        <f t="shared" si="247"/>
        <v>2231728428</v>
      </c>
      <c r="Q357" s="250">
        <f t="shared" si="247"/>
        <v>3134469125</v>
      </c>
      <c r="R357" s="250">
        <f t="shared" si="247"/>
        <v>3786880070</v>
      </c>
      <c r="S357" s="250">
        <f t="shared" si="247"/>
        <v>4605604997</v>
      </c>
      <c r="T357" s="250">
        <f t="shared" si="247"/>
        <v>6053420936</v>
      </c>
      <c r="U357" s="34">
        <f t="shared" ref="U357:V365" si="248">A357</f>
        <v>3</v>
      </c>
      <c r="V357" s="69">
        <f t="shared" si="248"/>
        <v>355</v>
      </c>
      <c r="W357" s="251" t="s">
        <v>387</v>
      </c>
      <c r="X357" s="252"/>
      <c r="Y357" s="250">
        <f>Y319+Y326+Y331+Y336</f>
        <v>0</v>
      </c>
      <c r="Z357" s="253">
        <f ca="1">Z319+Z326+Z331+Z336</f>
        <v>0</v>
      </c>
      <c r="AA357" s="254">
        <f ca="1">AA319+AA326+AA331+AA336</f>
        <v>0</v>
      </c>
      <c r="AB357" s="255">
        <f t="shared" ca="1" si="225"/>
        <v>0</v>
      </c>
      <c r="AC357" s="250">
        <f t="shared" ref="AC357:AN357" si="249">AC319+AC326+AC331+AC336</f>
        <v>0</v>
      </c>
      <c r="AD357" s="250">
        <f t="shared" si="249"/>
        <v>0</v>
      </c>
      <c r="AE357" s="250">
        <f t="shared" si="249"/>
        <v>0</v>
      </c>
      <c r="AF357" s="250">
        <f t="shared" si="249"/>
        <v>0</v>
      </c>
      <c r="AG357" s="250">
        <f t="shared" si="249"/>
        <v>0</v>
      </c>
      <c r="AH357" s="250">
        <f t="shared" si="249"/>
        <v>0</v>
      </c>
      <c r="AI357" s="250">
        <f t="shared" si="249"/>
        <v>0</v>
      </c>
      <c r="AJ357" s="250">
        <f t="shared" si="249"/>
        <v>0</v>
      </c>
      <c r="AK357" s="250">
        <f t="shared" si="249"/>
        <v>0</v>
      </c>
      <c r="AL357" s="250">
        <f t="shared" si="249"/>
        <v>0</v>
      </c>
      <c r="AM357" s="250">
        <f t="shared" si="249"/>
        <v>0</v>
      </c>
      <c r="AN357" s="250">
        <f t="shared" si="249"/>
        <v>0</v>
      </c>
      <c r="AQ357" s="52"/>
    </row>
    <row r="358" spans="1:43" s="43" customFormat="1" ht="15" customHeight="1" x14ac:dyDescent="0.15">
      <c r="A358" s="34">
        <v>3</v>
      </c>
      <c r="B358" s="85">
        <f t="shared" si="228"/>
        <v>356</v>
      </c>
      <c r="C358" s="62" t="s">
        <v>388</v>
      </c>
      <c r="D358" s="63"/>
      <c r="E358" s="229">
        <f t="shared" si="245"/>
        <v>49253786</v>
      </c>
      <c r="F358" s="230">
        <f>IF($F$3&gt;0,I358,AC358)</f>
        <v>0</v>
      </c>
      <c r="G358" s="231">
        <f>I358</f>
        <v>0</v>
      </c>
      <c r="H358" s="244">
        <f t="shared" ca="1" si="237"/>
        <v>0</v>
      </c>
      <c r="I358" s="113">
        <f>AN359</f>
        <v>0</v>
      </c>
      <c r="J358" s="113">
        <f t="shared" ref="J358:T358" si="250">IF($A$1&gt;=J3,I359,0)</f>
        <v>0</v>
      </c>
      <c r="K358" s="113">
        <f t="shared" si="250"/>
        <v>0</v>
      </c>
      <c r="L358" s="113">
        <f t="shared" si="250"/>
        <v>0</v>
      </c>
      <c r="M358" s="113">
        <f t="shared" si="250"/>
        <v>0</v>
      </c>
      <c r="N358" s="113">
        <f t="shared" si="250"/>
        <v>0</v>
      </c>
      <c r="O358" s="113">
        <f t="shared" si="250"/>
        <v>0</v>
      </c>
      <c r="P358" s="113">
        <f t="shared" si="250"/>
        <v>0</v>
      </c>
      <c r="Q358" s="113">
        <f t="shared" si="250"/>
        <v>0</v>
      </c>
      <c r="R358" s="113">
        <f t="shared" si="250"/>
        <v>0</v>
      </c>
      <c r="S358" s="113">
        <f t="shared" si="250"/>
        <v>0</v>
      </c>
      <c r="T358" s="113">
        <f t="shared" si="250"/>
        <v>49253786</v>
      </c>
      <c r="U358" s="34">
        <f t="shared" si="248"/>
        <v>3</v>
      </c>
      <c r="V358" s="69">
        <f t="shared" si="248"/>
        <v>356</v>
      </c>
      <c r="W358" s="62" t="s">
        <v>388</v>
      </c>
      <c r="X358" s="63"/>
      <c r="Y358" s="229">
        <f t="shared" ref="Y358:Y364" si="251">HLOOKUP($U$1,$AC$3:$AN$365,V358,0)</f>
        <v>0</v>
      </c>
      <c r="Z358" s="230">
        <f>IF($Z$3&gt;0,AC358,)</f>
        <v>0</v>
      </c>
      <c r="AA358" s="231">
        <f>AC358</f>
        <v>0</v>
      </c>
      <c r="AB358" s="244">
        <f t="shared" ca="1" si="225"/>
        <v>0</v>
      </c>
      <c r="AC358" s="234"/>
      <c r="AD358" s="113">
        <f t="shared" ref="AD358:AN358" si="252">IF($U$1&gt;=AD3,AC359,0)</f>
        <v>0</v>
      </c>
      <c r="AE358" s="113">
        <f t="shared" si="252"/>
        <v>0</v>
      </c>
      <c r="AF358" s="113">
        <f t="shared" si="252"/>
        <v>0</v>
      </c>
      <c r="AG358" s="113">
        <f t="shared" si="252"/>
        <v>0</v>
      </c>
      <c r="AH358" s="113">
        <f t="shared" si="252"/>
        <v>0</v>
      </c>
      <c r="AI358" s="113">
        <f t="shared" si="252"/>
        <v>0</v>
      </c>
      <c r="AJ358" s="113">
        <f t="shared" si="252"/>
        <v>0</v>
      </c>
      <c r="AK358" s="113">
        <f t="shared" si="252"/>
        <v>0</v>
      </c>
      <c r="AL358" s="113">
        <f t="shared" si="252"/>
        <v>0</v>
      </c>
      <c r="AM358" s="113">
        <f t="shared" si="252"/>
        <v>0</v>
      </c>
      <c r="AN358" s="113">
        <f t="shared" si="252"/>
        <v>0</v>
      </c>
    </row>
    <row r="359" spans="1:43" s="43" customFormat="1" ht="15" customHeight="1" x14ac:dyDescent="0.15">
      <c r="A359" s="34">
        <v>3</v>
      </c>
      <c r="B359" s="85">
        <f t="shared" si="228"/>
        <v>357</v>
      </c>
      <c r="C359" s="78" t="s">
        <v>389</v>
      </c>
      <c r="D359" s="79"/>
      <c r="E359" s="241">
        <f t="shared" si="245"/>
        <v>206900344</v>
      </c>
      <c r="F359" s="242">
        <f>IF($F$3&gt;0,HLOOKUP($F$3,$I$3:$T$365,B359,0),AN359)</f>
        <v>49253786</v>
      </c>
      <c r="G359" s="243">
        <f>G33</f>
        <v>206900344</v>
      </c>
      <c r="H359" s="221">
        <f t="shared" ca="1" si="237"/>
        <v>0.11641064532202815</v>
      </c>
      <c r="I359" s="118">
        <f>I33</f>
        <v>0</v>
      </c>
      <c r="J359" s="118">
        <f>J33</f>
        <v>0</v>
      </c>
      <c r="K359" s="118">
        <f>K33</f>
        <v>0</v>
      </c>
      <c r="L359" s="118">
        <f>L33</f>
        <v>0</v>
      </c>
      <c r="M359" s="118">
        <f>M33</f>
        <v>0</v>
      </c>
      <c r="N359" s="118">
        <f>N32</f>
        <v>0</v>
      </c>
      <c r="O359" s="118">
        <f t="shared" ref="O359:T359" si="253">O33</f>
        <v>0</v>
      </c>
      <c r="P359" s="118">
        <f t="shared" si="253"/>
        <v>0</v>
      </c>
      <c r="Q359" s="118">
        <f t="shared" si="253"/>
        <v>0</v>
      </c>
      <c r="R359" s="118">
        <f t="shared" si="253"/>
        <v>0</v>
      </c>
      <c r="S359" s="118">
        <f t="shared" si="253"/>
        <v>49253786</v>
      </c>
      <c r="T359" s="118">
        <f t="shared" si="253"/>
        <v>206900344</v>
      </c>
      <c r="U359" s="34">
        <f t="shared" si="248"/>
        <v>3</v>
      </c>
      <c r="V359" s="69">
        <f t="shared" si="248"/>
        <v>357</v>
      </c>
      <c r="W359" s="78" t="s">
        <v>389</v>
      </c>
      <c r="X359" s="79"/>
      <c r="Y359" s="241">
        <f t="shared" si="251"/>
        <v>0</v>
      </c>
      <c r="Z359" s="242">
        <f>IF($Z$3&gt;0,HLOOKUP($Z$3,$AC$3:$AN$365,V359,0),)</f>
        <v>0</v>
      </c>
      <c r="AA359" s="243">
        <f>Y359</f>
        <v>0</v>
      </c>
      <c r="AB359" s="221">
        <f t="shared" ca="1" si="225"/>
        <v>0</v>
      </c>
      <c r="AC359" s="118">
        <f t="shared" ref="AC359:AN359" si="254">AC33</f>
        <v>0</v>
      </c>
      <c r="AD359" s="118">
        <f t="shared" si="254"/>
        <v>0</v>
      </c>
      <c r="AE359" s="118">
        <f t="shared" si="254"/>
        <v>0</v>
      </c>
      <c r="AF359" s="118">
        <f t="shared" si="254"/>
        <v>0</v>
      </c>
      <c r="AG359" s="118">
        <f t="shared" si="254"/>
        <v>0</v>
      </c>
      <c r="AH359" s="118">
        <f t="shared" si="254"/>
        <v>0</v>
      </c>
      <c r="AI359" s="118">
        <f t="shared" si="254"/>
        <v>0</v>
      </c>
      <c r="AJ359" s="118">
        <f t="shared" si="254"/>
        <v>0</v>
      </c>
      <c r="AK359" s="118">
        <f t="shared" si="254"/>
        <v>0</v>
      </c>
      <c r="AL359" s="118">
        <f t="shared" si="254"/>
        <v>0</v>
      </c>
      <c r="AM359" s="118">
        <f t="shared" si="254"/>
        <v>0</v>
      </c>
      <c r="AN359" s="118">
        <f t="shared" si="254"/>
        <v>0</v>
      </c>
    </row>
    <row r="360" spans="1:43" s="43" customFormat="1" ht="15" customHeight="1" x14ac:dyDescent="0.15">
      <c r="A360" s="34">
        <v>3</v>
      </c>
      <c r="B360" s="85">
        <f t="shared" si="228"/>
        <v>358</v>
      </c>
      <c r="C360" s="283" t="s">
        <v>390</v>
      </c>
      <c r="D360" s="163"/>
      <c r="E360" s="279">
        <f t="shared" si="245"/>
        <v>0</v>
      </c>
      <c r="F360" s="280">
        <f>IF($F$3&gt;0,HLOOKUP($F$3,$I$3:$T$365,B360,0),AN360)</f>
        <v>0</v>
      </c>
      <c r="G360" s="281">
        <f>E360</f>
        <v>0</v>
      </c>
      <c r="H360" s="282">
        <f t="shared" ca="1" si="237"/>
        <v>0</v>
      </c>
      <c r="I360" s="171"/>
      <c r="J360" s="171"/>
      <c r="K360" s="171"/>
      <c r="L360" s="171"/>
      <c r="M360" s="171"/>
      <c r="N360" s="171"/>
      <c r="O360" s="171"/>
      <c r="P360" s="171"/>
      <c r="Q360" s="171"/>
      <c r="R360" s="171"/>
      <c r="S360" s="171"/>
      <c r="T360" s="171"/>
      <c r="U360" s="34">
        <f t="shared" si="248"/>
        <v>3</v>
      </c>
      <c r="V360" s="69">
        <f t="shared" si="248"/>
        <v>358</v>
      </c>
      <c r="W360" s="283" t="s">
        <v>390</v>
      </c>
      <c r="X360" s="163"/>
      <c r="Y360" s="279">
        <f t="shared" si="251"/>
        <v>0</v>
      </c>
      <c r="Z360" s="280">
        <f>IF($Z$3&gt;0,HLOOKUP($Z$3,$AC$3:$AN$365,V360,0),)</f>
        <v>0</v>
      </c>
      <c r="AA360" s="281">
        <f>Y360</f>
        <v>0</v>
      </c>
      <c r="AB360" s="282">
        <f t="shared" ca="1" si="225"/>
        <v>0</v>
      </c>
      <c r="AC360" s="171"/>
      <c r="AD360" s="171">
        <v>0</v>
      </c>
      <c r="AE360" s="171"/>
      <c r="AF360" s="171"/>
      <c r="AG360" s="171"/>
      <c r="AH360" s="171"/>
      <c r="AI360" s="171"/>
      <c r="AJ360" s="171"/>
      <c r="AK360" s="171"/>
      <c r="AL360" s="171"/>
      <c r="AM360" s="171"/>
      <c r="AN360" s="171"/>
    </row>
    <row r="361" spans="1:43" s="43" customFormat="1" ht="15" customHeight="1" x14ac:dyDescent="0.15">
      <c r="A361" s="34">
        <v>3</v>
      </c>
      <c r="B361" s="85">
        <f t="shared" si="228"/>
        <v>359</v>
      </c>
      <c r="C361" s="283" t="s">
        <v>391</v>
      </c>
      <c r="D361" s="163"/>
      <c r="E361" s="279">
        <f t="shared" si="245"/>
        <v>0</v>
      </c>
      <c r="F361" s="280">
        <f>IF($F$3&gt;0,HLOOKUP($F$3,$I$3:$T$365,B361,0),AN361)</f>
        <v>0</v>
      </c>
      <c r="G361" s="281">
        <f>E361</f>
        <v>0</v>
      </c>
      <c r="H361" s="282">
        <f t="shared" ca="1" si="237"/>
        <v>0</v>
      </c>
      <c r="I361" s="171"/>
      <c r="J361" s="171"/>
      <c r="K361" s="171"/>
      <c r="L361" s="171"/>
      <c r="M361" s="171"/>
      <c r="N361" s="171"/>
      <c r="O361" s="171"/>
      <c r="P361" s="171"/>
      <c r="Q361" s="171"/>
      <c r="R361" s="171"/>
      <c r="S361" s="171"/>
      <c r="T361" s="171"/>
      <c r="U361" s="34">
        <f t="shared" si="248"/>
        <v>3</v>
      </c>
      <c r="V361" s="69">
        <f t="shared" si="248"/>
        <v>359</v>
      </c>
      <c r="W361" s="283" t="s">
        <v>391</v>
      </c>
      <c r="X361" s="163"/>
      <c r="Y361" s="279">
        <f t="shared" si="251"/>
        <v>0</v>
      </c>
      <c r="Z361" s="280">
        <f>IF($Z$3&gt;0,HLOOKUP($Z$3,$AC$3:$AN$365,V361,0),)</f>
        <v>0</v>
      </c>
      <c r="AA361" s="281">
        <f>Y361</f>
        <v>0</v>
      </c>
      <c r="AB361" s="282">
        <f t="shared" ca="1" si="225"/>
        <v>0</v>
      </c>
      <c r="AC361" s="171"/>
      <c r="AD361" s="171"/>
      <c r="AE361" s="171"/>
      <c r="AF361" s="171"/>
      <c r="AG361" s="171"/>
      <c r="AH361" s="171"/>
      <c r="AI361" s="171"/>
      <c r="AJ361" s="171"/>
      <c r="AK361" s="171"/>
      <c r="AL361" s="171"/>
      <c r="AM361" s="171"/>
      <c r="AN361" s="171"/>
    </row>
    <row r="362" spans="1:43" s="43" customFormat="1" ht="15" customHeight="1" x14ac:dyDescent="0.15">
      <c r="A362" s="34">
        <v>3</v>
      </c>
      <c r="B362" s="85">
        <f t="shared" si="228"/>
        <v>360</v>
      </c>
      <c r="C362" s="283" t="s">
        <v>392</v>
      </c>
      <c r="D362" s="163"/>
      <c r="E362" s="279">
        <f t="shared" si="245"/>
        <v>0</v>
      </c>
      <c r="F362" s="280">
        <f>IF($F$3&gt;0,HLOOKUP($F$3,$I$3:$T$365,B362,0),AN362)</f>
        <v>0</v>
      </c>
      <c r="G362" s="281">
        <f>E362</f>
        <v>0</v>
      </c>
      <c r="H362" s="282">
        <f t="shared" ca="1" si="237"/>
        <v>0</v>
      </c>
      <c r="I362" s="171"/>
      <c r="J362" s="171"/>
      <c r="K362" s="171"/>
      <c r="L362" s="171"/>
      <c r="M362" s="171"/>
      <c r="N362" s="171"/>
      <c r="O362" s="171"/>
      <c r="P362" s="171"/>
      <c r="Q362" s="171"/>
      <c r="R362" s="171"/>
      <c r="S362" s="171"/>
      <c r="T362" s="171"/>
      <c r="U362" s="34">
        <f t="shared" si="248"/>
        <v>3</v>
      </c>
      <c r="V362" s="69">
        <f t="shared" si="248"/>
        <v>360</v>
      </c>
      <c r="W362" s="283" t="s">
        <v>392</v>
      </c>
      <c r="X362" s="163"/>
      <c r="Y362" s="279">
        <f t="shared" si="251"/>
        <v>0</v>
      </c>
      <c r="Z362" s="280">
        <f>IF($Z$3&gt;0,HLOOKUP($Z$3,$AC$3:$AN$365,V362,0),)</f>
        <v>0</v>
      </c>
      <c r="AA362" s="281">
        <f>Y362</f>
        <v>0</v>
      </c>
      <c r="AB362" s="282">
        <f t="shared" ca="1" si="225"/>
        <v>0</v>
      </c>
      <c r="AC362" s="171"/>
      <c r="AD362" s="171"/>
      <c r="AE362" s="171"/>
      <c r="AF362" s="171"/>
      <c r="AG362" s="171"/>
      <c r="AH362" s="171"/>
      <c r="AI362" s="171"/>
      <c r="AJ362" s="171"/>
      <c r="AK362" s="171"/>
      <c r="AL362" s="171"/>
      <c r="AM362" s="171"/>
      <c r="AN362" s="171"/>
    </row>
    <row r="363" spans="1:43" s="43" customFormat="1" ht="15" customHeight="1" x14ac:dyDescent="0.15">
      <c r="A363" s="34">
        <v>3</v>
      </c>
      <c r="B363" s="85">
        <f t="shared" si="228"/>
        <v>361</v>
      </c>
      <c r="C363" s="285" t="s">
        <v>393</v>
      </c>
      <c r="D363" s="174"/>
      <c r="E363" s="175">
        <f t="shared" si="245"/>
        <v>0</v>
      </c>
      <c r="F363" s="176">
        <f>IF($F$3&gt;0,HLOOKUP($F$3,$I$3:$T$365,B363,0),AN363)</f>
        <v>0</v>
      </c>
      <c r="G363" s="177">
        <f>E363</f>
        <v>0</v>
      </c>
      <c r="H363" s="204">
        <f t="shared" ca="1" si="237"/>
        <v>0</v>
      </c>
      <c r="I363" s="205"/>
      <c r="J363" s="205"/>
      <c r="K363" s="205"/>
      <c r="L363" s="205"/>
      <c r="M363" s="205"/>
      <c r="N363" s="205"/>
      <c r="O363" s="205"/>
      <c r="P363" s="205"/>
      <c r="Q363" s="205"/>
      <c r="R363" s="205"/>
      <c r="S363" s="205"/>
      <c r="T363" s="205"/>
      <c r="U363" s="34">
        <f t="shared" si="248"/>
        <v>3</v>
      </c>
      <c r="V363" s="69">
        <f t="shared" si="248"/>
        <v>361</v>
      </c>
      <c r="W363" s="285" t="s">
        <v>393</v>
      </c>
      <c r="X363" s="174"/>
      <c r="Y363" s="175">
        <f t="shared" si="251"/>
        <v>0</v>
      </c>
      <c r="Z363" s="176">
        <f>IF($Z$3&gt;0,HLOOKUP($Z$3,$AC$3:$AN$365,V363,0),)</f>
        <v>0</v>
      </c>
      <c r="AA363" s="177">
        <f>Y363</f>
        <v>0</v>
      </c>
      <c r="AB363" s="204">
        <f t="shared" ca="1" si="225"/>
        <v>0</v>
      </c>
      <c r="AC363" s="205"/>
      <c r="AD363" s="205"/>
      <c r="AE363" s="205"/>
      <c r="AF363" s="205"/>
      <c r="AG363" s="205"/>
      <c r="AH363" s="205"/>
      <c r="AI363" s="205"/>
      <c r="AJ363" s="205"/>
      <c r="AK363" s="205"/>
      <c r="AL363" s="205"/>
      <c r="AM363" s="205"/>
      <c r="AN363" s="205"/>
    </row>
    <row r="364" spans="1:43" s="43" customFormat="1" ht="15" customHeight="1" x14ac:dyDescent="0.15">
      <c r="A364" s="34">
        <v>3</v>
      </c>
      <c r="B364" s="85">
        <f t="shared" si="228"/>
        <v>362</v>
      </c>
      <c r="C364" s="78" t="s">
        <v>355</v>
      </c>
      <c r="D364" s="79"/>
      <c r="E364" s="241">
        <f t="shared" si="245"/>
        <v>-3535140</v>
      </c>
      <c r="F364" s="242">
        <f ca="1">IF($F$3&gt;0,SUM(OFFSET(I364,,,,MATCH($F$3,$I$3:$T$3,0))),SUM(AC364:AN364))</f>
        <v>-21628101</v>
      </c>
      <c r="G364" s="243">
        <f ca="1">SUM(OFFSET(I364,,,,MATCH($A$1,$I$3:$T$3,0)))</f>
        <v>-25163241</v>
      </c>
      <c r="H364" s="221">
        <f t="shared" ca="1" si="237"/>
        <v>-1.4157874591081959E-2</v>
      </c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>
        <v>-21628101</v>
      </c>
      <c r="T364" s="84">
        <v>-3535140</v>
      </c>
      <c r="U364" s="34">
        <f t="shared" si="248"/>
        <v>3</v>
      </c>
      <c r="V364" s="69">
        <f t="shared" si="248"/>
        <v>362</v>
      </c>
      <c r="W364" s="78" t="s">
        <v>355</v>
      </c>
      <c r="X364" s="79"/>
      <c r="Y364" s="241">
        <f t="shared" si="251"/>
        <v>0</v>
      </c>
      <c r="Z364" s="242">
        <f ca="1">IF($Z$3&gt;0,SUM(OFFSET(AC364,,,,MATCH($Z$3,$AC$3:$AN$3,0))),)</f>
        <v>0</v>
      </c>
      <c r="AA364" s="243">
        <f ca="1">SUM(OFFSET(AC364,,,,MATCH($U$1,$AC$3:$AN$3,0)))</f>
        <v>0</v>
      </c>
      <c r="AB364" s="221">
        <f t="shared" ca="1" si="225"/>
        <v>0</v>
      </c>
      <c r="AC364" s="84"/>
      <c r="AD364" s="84"/>
      <c r="AE364" s="84"/>
      <c r="AF364" s="84"/>
      <c r="AG364" s="84"/>
      <c r="AH364" s="84"/>
      <c r="AI364" s="84"/>
      <c r="AJ364" s="84"/>
      <c r="AK364" s="84"/>
      <c r="AL364" s="84"/>
      <c r="AM364" s="84"/>
      <c r="AN364" s="84"/>
    </row>
    <row r="365" spans="1:43" s="158" customFormat="1" ht="15" customHeight="1" thickBot="1" x14ac:dyDescent="0.2">
      <c r="A365" s="34">
        <v>3</v>
      </c>
      <c r="B365" s="85">
        <f t="shared" si="228"/>
        <v>363</v>
      </c>
      <c r="C365" s="251" t="s">
        <v>394</v>
      </c>
      <c r="D365" s="252"/>
      <c r="E365" s="250">
        <f t="shared" si="245"/>
        <v>5899309518</v>
      </c>
      <c r="F365" s="253">
        <f ca="1">F357+F358-F359-F364</f>
        <v>-27625685</v>
      </c>
      <c r="G365" s="295">
        <f ca="1">G357+G358-G359-G364</f>
        <v>34297386523</v>
      </c>
      <c r="H365" s="255">
        <f t="shared" ca="1" si="237"/>
        <v>19.297120636983863</v>
      </c>
      <c r="I365" s="250">
        <f>I357+I358-I359-I364</f>
        <v>0</v>
      </c>
      <c r="J365" s="250">
        <f>J357+J358-J359-J364</f>
        <v>2689791151</v>
      </c>
      <c r="K365" s="250">
        <f t="shared" ref="K365:S365" si="255">K357+K358-K359-K364</f>
        <v>4219259502.3485446</v>
      </c>
      <c r="L365" s="250">
        <f t="shared" si="255"/>
        <v>5184073817.6514549</v>
      </c>
      <c r="M365" s="250">
        <f t="shared" si="255"/>
        <v>5270426798</v>
      </c>
      <c r="N365" s="250">
        <f t="shared" si="255"/>
        <v>-5032776577</v>
      </c>
      <c r="O365" s="250">
        <f t="shared" si="255"/>
        <v>2336245378</v>
      </c>
      <c r="P365" s="250">
        <f t="shared" si="255"/>
        <v>2231728428</v>
      </c>
      <c r="Q365" s="250">
        <f t="shared" si="255"/>
        <v>3134469125</v>
      </c>
      <c r="R365" s="250">
        <f t="shared" si="255"/>
        <v>3786880070</v>
      </c>
      <c r="S365" s="250">
        <f t="shared" si="255"/>
        <v>4577979312</v>
      </c>
      <c r="T365" s="250">
        <f>T357+T358-T359-T364</f>
        <v>5899309518</v>
      </c>
      <c r="U365" s="34">
        <f t="shared" si="248"/>
        <v>3</v>
      </c>
      <c r="V365" s="69">
        <f t="shared" si="248"/>
        <v>363</v>
      </c>
      <c r="W365" s="251" t="s">
        <v>394</v>
      </c>
      <c r="X365" s="252"/>
      <c r="Y365" s="250">
        <f>Y357+Y358-Y359-Y364</f>
        <v>0</v>
      </c>
      <c r="Z365" s="253">
        <f ca="1">Z357+Z358-Z359-Z364</f>
        <v>0</v>
      </c>
      <c r="AA365" s="295">
        <f ca="1">AA357+AA358-AA359-AA364</f>
        <v>0</v>
      </c>
      <c r="AB365" s="255">
        <f t="shared" ca="1" si="225"/>
        <v>0</v>
      </c>
      <c r="AC365" s="250">
        <f>AC357+AC358-AC359-AC364</f>
        <v>0</v>
      </c>
      <c r="AD365" s="250">
        <f t="shared" ref="AD365:AM365" si="256">AD357+AD358-AD359-AD364</f>
        <v>0</v>
      </c>
      <c r="AE365" s="250">
        <f t="shared" si="256"/>
        <v>0</v>
      </c>
      <c r="AF365" s="250">
        <f t="shared" si="256"/>
        <v>0</v>
      </c>
      <c r="AG365" s="250">
        <f t="shared" si="256"/>
        <v>0</v>
      </c>
      <c r="AH365" s="250">
        <f t="shared" si="256"/>
        <v>0</v>
      </c>
      <c r="AI365" s="250">
        <f t="shared" si="256"/>
        <v>0</v>
      </c>
      <c r="AJ365" s="250">
        <f t="shared" si="256"/>
        <v>0</v>
      </c>
      <c r="AK365" s="250">
        <f t="shared" si="256"/>
        <v>0</v>
      </c>
      <c r="AL365" s="250">
        <f t="shared" si="256"/>
        <v>0</v>
      </c>
      <c r="AM365" s="250">
        <f t="shared" si="256"/>
        <v>0</v>
      </c>
      <c r="AN365" s="250">
        <f>AN357+AN358-AN359-AN364</f>
        <v>0</v>
      </c>
      <c r="AQ365" s="52"/>
    </row>
    <row r="366" spans="1:43" s="43" customFormat="1" ht="15" customHeight="1" x14ac:dyDescent="0.15">
      <c r="A366" s="296"/>
      <c r="B366" s="297"/>
      <c r="C366" s="298"/>
      <c r="D366" s="297"/>
      <c r="E366" s="298"/>
      <c r="F366" s="298"/>
      <c r="G366" s="298"/>
      <c r="H366" s="299"/>
      <c r="I366" s="299"/>
      <c r="J366" s="299"/>
      <c r="K366" s="299"/>
      <c r="L366" s="299"/>
      <c r="M366" s="299"/>
      <c r="N366" s="299"/>
      <c r="O366" s="299"/>
      <c r="P366" s="299"/>
      <c r="Q366" s="299"/>
      <c r="R366" s="299"/>
      <c r="S366" s="299"/>
      <c r="T366" s="299"/>
      <c r="U366" s="296"/>
      <c r="V366" s="297"/>
      <c r="W366" s="297"/>
      <c r="X366" s="297"/>
      <c r="Y366" s="299"/>
      <c r="Z366" s="299"/>
      <c r="AA366" s="299"/>
      <c r="AB366" s="298"/>
      <c r="AC366" s="299"/>
      <c r="AD366" s="299"/>
      <c r="AE366" s="299"/>
      <c r="AF366" s="299"/>
      <c r="AG366" s="299"/>
      <c r="AH366" s="299"/>
      <c r="AI366" s="299"/>
      <c r="AJ366" s="299"/>
      <c r="AK366" s="299"/>
      <c r="AL366" s="299"/>
      <c r="AM366" s="299"/>
      <c r="AN366" s="299"/>
    </row>
    <row r="367" spans="1:43" s="43" customFormat="1" ht="15" customHeight="1" x14ac:dyDescent="0.15">
      <c r="A367" s="296"/>
      <c r="B367" s="297"/>
      <c r="C367" s="298"/>
      <c r="D367" s="297"/>
      <c r="E367" s="298"/>
      <c r="F367" s="298"/>
      <c r="G367" s="298"/>
      <c r="H367" s="299"/>
      <c r="I367" s="299"/>
      <c r="J367" s="299"/>
      <c r="K367" s="299"/>
      <c r="L367" s="299"/>
      <c r="M367" s="299"/>
      <c r="N367" s="299"/>
      <c r="O367" s="299"/>
      <c r="P367" s="299"/>
      <c r="Q367" s="299"/>
      <c r="R367" s="299"/>
      <c r="S367" s="299"/>
      <c r="T367" s="299"/>
      <c r="U367" s="296"/>
      <c r="V367" s="297"/>
      <c r="W367" s="297"/>
      <c r="X367" s="297"/>
      <c r="Y367" s="299"/>
      <c r="Z367" s="299"/>
      <c r="AA367" s="299"/>
      <c r="AB367" s="298"/>
      <c r="AC367" s="299"/>
      <c r="AD367" s="299"/>
      <c r="AE367" s="299"/>
      <c r="AF367" s="299"/>
      <c r="AG367" s="299"/>
      <c r="AH367" s="299"/>
      <c r="AI367" s="299"/>
      <c r="AJ367" s="299"/>
      <c r="AK367" s="299"/>
      <c r="AL367" s="299"/>
      <c r="AM367" s="299"/>
      <c r="AN367" s="299"/>
    </row>
    <row r="368" spans="1:43" s="43" customFormat="1" ht="15" customHeight="1" x14ac:dyDescent="0.3">
      <c r="A368" s="296"/>
      <c r="B368" s="297"/>
      <c r="C368" s="298"/>
      <c r="D368" s="297"/>
      <c r="E368" s="298"/>
      <c r="F368" s="298"/>
      <c r="G368" s="298"/>
      <c r="H368" s="299"/>
      <c r="I368" s="299"/>
      <c r="J368" s="300"/>
      <c r="K368" s="300"/>
      <c r="L368" s="300"/>
      <c r="M368" s="300"/>
      <c r="N368" s="300"/>
      <c r="O368" s="300"/>
      <c r="P368" s="300"/>
      <c r="Q368"/>
      <c r="R368" s="301"/>
      <c r="S368" s="299"/>
      <c r="T368" s="299"/>
      <c r="U368" s="296"/>
      <c r="V368" s="297"/>
      <c r="W368" s="297"/>
      <c r="X368" s="297"/>
      <c r="Y368" s="299"/>
      <c r="Z368" s="299"/>
      <c r="AA368" s="299"/>
      <c r="AB368" s="298"/>
      <c r="AC368" s="299"/>
      <c r="AD368" s="299"/>
      <c r="AE368" s="299"/>
      <c r="AF368" s="299"/>
      <c r="AG368" s="299"/>
      <c r="AH368" s="299"/>
      <c r="AI368" s="299"/>
      <c r="AJ368" s="299"/>
      <c r="AK368" s="299"/>
      <c r="AL368" s="299"/>
      <c r="AM368" s="299"/>
      <c r="AN368" s="299"/>
    </row>
    <row r="369" spans="1:40" s="43" customFormat="1" ht="15" customHeight="1" x14ac:dyDescent="0.3">
      <c r="A369" s="296"/>
      <c r="B369" s="297"/>
      <c r="C369" s="298"/>
      <c r="D369" s="297"/>
      <c r="E369" s="298"/>
      <c r="F369" s="298"/>
      <c r="G369" s="298"/>
      <c r="H369" s="299"/>
      <c r="I369" s="299"/>
      <c r="J369" s="299"/>
      <c r="K369" s="299"/>
      <c r="L369" s="299"/>
      <c r="M369" s="299"/>
      <c r="N369" s="299"/>
      <c r="O369" s="299"/>
      <c r="P369" s="299"/>
      <c r="Q369"/>
      <c r="R369" s="301"/>
      <c r="S369" s="299"/>
      <c r="T369" s="299"/>
      <c r="U369" s="296"/>
      <c r="V369" s="297"/>
      <c r="W369" s="297"/>
      <c r="X369" s="297"/>
      <c r="Y369" s="299"/>
      <c r="Z369" s="299"/>
      <c r="AA369" s="299"/>
      <c r="AB369" s="298"/>
      <c r="AC369" s="299"/>
      <c r="AD369" s="299"/>
      <c r="AE369" s="299"/>
      <c r="AF369" s="299"/>
      <c r="AG369" s="299"/>
      <c r="AH369" s="299"/>
      <c r="AI369" s="299"/>
      <c r="AJ369" s="299"/>
      <c r="AK369" s="299"/>
      <c r="AL369" s="299"/>
      <c r="AM369" s="299"/>
      <c r="AN369" s="299"/>
    </row>
    <row r="370" spans="1:40" s="43" customFormat="1" ht="15" customHeight="1" x14ac:dyDescent="0.3">
      <c r="A370" s="296"/>
      <c r="B370" s="297"/>
      <c r="C370" s="298"/>
      <c r="D370" s="297"/>
      <c r="E370" s="298"/>
      <c r="F370" s="298"/>
      <c r="G370" s="298"/>
      <c r="H370" s="299"/>
      <c r="I370" s="299"/>
      <c r="J370" s="299"/>
      <c r="K370" s="299"/>
      <c r="L370" s="299"/>
      <c r="M370" s="299"/>
      <c r="N370" s="299"/>
      <c r="O370" s="299"/>
      <c r="P370" s="299"/>
      <c r="Q370"/>
      <c r="R370" s="299"/>
      <c r="S370" s="299"/>
      <c r="T370" s="299"/>
      <c r="U370" s="296"/>
      <c r="V370" s="297"/>
      <c r="W370" s="297"/>
      <c r="X370" s="297"/>
      <c r="Y370" s="299"/>
      <c r="Z370" s="299"/>
      <c r="AA370" s="299"/>
      <c r="AB370" s="298"/>
      <c r="AC370" s="299"/>
      <c r="AD370" s="299"/>
      <c r="AE370" s="299"/>
      <c r="AF370" s="299"/>
      <c r="AG370" s="299"/>
      <c r="AH370" s="299"/>
      <c r="AI370" s="299"/>
      <c r="AJ370" s="299"/>
      <c r="AK370" s="299"/>
      <c r="AL370" s="299"/>
      <c r="AM370" s="299"/>
      <c r="AN370" s="299"/>
    </row>
    <row r="371" spans="1:40" s="43" customFormat="1" ht="15" customHeight="1" x14ac:dyDescent="0.15">
      <c r="A371" s="296"/>
      <c r="B371" s="297"/>
      <c r="C371" s="298"/>
      <c r="D371" s="297"/>
      <c r="E371" s="298"/>
      <c r="F371" s="298"/>
      <c r="G371" s="298"/>
      <c r="H371" s="299"/>
      <c r="I371" s="299"/>
      <c r="J371" s="299"/>
      <c r="K371" s="299"/>
      <c r="L371" s="299"/>
      <c r="M371" s="299"/>
      <c r="N371" s="299"/>
      <c r="O371" s="299"/>
      <c r="P371" s="299"/>
      <c r="Q371" s="299"/>
      <c r="R371" s="299"/>
      <c r="S371" s="299"/>
      <c r="T371" s="299"/>
      <c r="U371" s="296"/>
      <c r="V371" s="297"/>
      <c r="W371" s="297"/>
      <c r="X371" s="297"/>
      <c r="Y371" s="299"/>
      <c r="Z371" s="299"/>
      <c r="AA371" s="299"/>
      <c r="AB371" s="298"/>
      <c r="AC371" s="299"/>
      <c r="AD371" s="299"/>
      <c r="AE371" s="299"/>
      <c r="AF371" s="299"/>
      <c r="AG371" s="299"/>
      <c r="AH371" s="299"/>
      <c r="AI371" s="299"/>
      <c r="AJ371" s="299"/>
      <c r="AK371" s="299"/>
      <c r="AL371" s="299"/>
      <c r="AM371" s="299"/>
      <c r="AN371" s="299"/>
    </row>
    <row r="372" spans="1:40" s="43" customFormat="1" ht="15" customHeight="1" x14ac:dyDescent="0.3">
      <c r="A372" s="296"/>
      <c r="B372" s="297"/>
      <c r="C372" s="298"/>
      <c r="D372" s="297"/>
      <c r="E372" s="298"/>
      <c r="F372" s="298"/>
      <c r="G372" s="298"/>
      <c r="H372" s="299"/>
      <c r="I372" s="299"/>
      <c r="J372" s="302"/>
      <c r="K372" s="299"/>
      <c r="L372" s="299"/>
      <c r="M372" s="299"/>
      <c r="N372" s="299"/>
      <c r="O372" s="299"/>
      <c r="P372" s="299"/>
      <c r="Q372" s="299"/>
      <c r="R372" s="299"/>
      <c r="S372" s="299"/>
      <c r="T372" s="299"/>
      <c r="U372" s="296"/>
      <c r="V372" s="297"/>
      <c r="W372" s="297"/>
      <c r="X372" s="297"/>
      <c r="Y372" s="299"/>
      <c r="Z372" s="299"/>
      <c r="AA372" s="299"/>
      <c r="AB372" s="298"/>
      <c r="AC372" s="299"/>
      <c r="AD372" s="299"/>
      <c r="AE372" s="299"/>
      <c r="AF372" s="299"/>
      <c r="AG372" s="299"/>
      <c r="AH372" s="299"/>
      <c r="AI372" s="299"/>
      <c r="AJ372" s="299"/>
      <c r="AK372" s="299"/>
      <c r="AL372" s="299"/>
      <c r="AM372" s="299"/>
      <c r="AN372" s="299"/>
    </row>
    <row r="373" spans="1:40" s="43" customFormat="1" ht="15" customHeight="1" x14ac:dyDescent="0.15">
      <c r="A373" s="296"/>
      <c r="B373" s="297"/>
      <c r="C373" s="298"/>
      <c r="D373" s="297"/>
      <c r="E373" s="298"/>
      <c r="F373" s="298"/>
      <c r="G373" s="298"/>
      <c r="H373" s="299"/>
      <c r="I373" s="299"/>
      <c r="J373" s="299"/>
      <c r="K373" s="299"/>
      <c r="L373" s="299"/>
      <c r="M373" s="299"/>
      <c r="N373" s="299"/>
      <c r="O373" s="299"/>
      <c r="P373" s="299"/>
      <c r="Q373" s="299"/>
      <c r="R373" s="299"/>
      <c r="S373" s="299"/>
      <c r="T373" s="299"/>
      <c r="U373" s="296"/>
      <c r="V373" s="297"/>
      <c r="W373" s="297"/>
      <c r="X373" s="297"/>
      <c r="Y373" s="299"/>
      <c r="Z373" s="299"/>
      <c r="AA373" s="299"/>
      <c r="AB373" s="298"/>
      <c r="AC373" s="299"/>
      <c r="AD373" s="299"/>
      <c r="AE373" s="299"/>
      <c r="AF373" s="299"/>
      <c r="AG373" s="299"/>
      <c r="AH373" s="299"/>
      <c r="AI373" s="299"/>
      <c r="AJ373" s="299"/>
      <c r="AK373" s="299"/>
      <c r="AL373" s="299"/>
      <c r="AM373" s="299"/>
      <c r="AN373" s="299"/>
    </row>
    <row r="374" spans="1:40" s="43" customFormat="1" ht="15" customHeight="1" x14ac:dyDescent="0.15">
      <c r="A374" s="296"/>
      <c r="B374" s="297"/>
      <c r="C374" s="298"/>
      <c r="D374" s="297"/>
      <c r="E374" s="298"/>
      <c r="F374" s="298"/>
      <c r="G374" s="298"/>
      <c r="H374" s="299"/>
      <c r="I374" s="299"/>
      <c r="J374" s="299"/>
      <c r="K374" s="299"/>
      <c r="L374" s="299"/>
      <c r="M374" s="299"/>
      <c r="N374" s="299"/>
      <c r="O374" s="299"/>
      <c r="P374" s="299"/>
      <c r="Q374" s="299"/>
      <c r="R374" s="299"/>
      <c r="S374" s="299"/>
      <c r="T374" s="299"/>
      <c r="U374" s="296"/>
      <c r="V374" s="297"/>
      <c r="W374" s="297"/>
      <c r="X374" s="297"/>
      <c r="Y374" s="299"/>
      <c r="Z374" s="299"/>
      <c r="AA374" s="299"/>
      <c r="AB374" s="298"/>
      <c r="AC374" s="299"/>
      <c r="AD374" s="299"/>
      <c r="AE374" s="299"/>
      <c r="AF374" s="299"/>
      <c r="AG374" s="299"/>
      <c r="AH374" s="299"/>
      <c r="AI374" s="299"/>
      <c r="AJ374" s="299"/>
      <c r="AK374" s="299"/>
      <c r="AL374" s="299"/>
      <c r="AM374" s="299"/>
      <c r="AN374" s="299"/>
    </row>
    <row r="375" spans="1:40" s="43" customFormat="1" ht="15" customHeight="1" x14ac:dyDescent="0.15">
      <c r="A375" s="296"/>
      <c r="B375" s="297"/>
      <c r="C375" s="298"/>
      <c r="D375" s="297"/>
      <c r="E375" s="298"/>
      <c r="F375" s="298"/>
      <c r="G375" s="298"/>
      <c r="H375" s="299"/>
      <c r="I375" s="299"/>
      <c r="J375" s="299"/>
      <c r="K375" s="299"/>
      <c r="L375" s="299"/>
      <c r="M375" s="299"/>
      <c r="N375" s="299"/>
      <c r="O375" s="299"/>
      <c r="P375" s="299"/>
      <c r="Q375" s="299"/>
      <c r="R375" s="299"/>
      <c r="S375" s="299"/>
      <c r="T375" s="299"/>
      <c r="U375" s="296"/>
      <c r="V375" s="297"/>
      <c r="W375" s="297"/>
      <c r="X375" s="297"/>
      <c r="Y375" s="299"/>
      <c r="Z375" s="299"/>
      <c r="AA375" s="299"/>
      <c r="AB375" s="298"/>
      <c r="AC375" s="299"/>
      <c r="AD375" s="299"/>
      <c r="AE375" s="299"/>
      <c r="AF375" s="299"/>
      <c r="AG375" s="299"/>
      <c r="AH375" s="299"/>
      <c r="AI375" s="299"/>
      <c r="AJ375" s="299"/>
      <c r="AK375" s="299"/>
      <c r="AL375" s="299"/>
      <c r="AM375" s="299"/>
      <c r="AN375" s="299"/>
    </row>
    <row r="376" spans="1:40" s="43" customFormat="1" ht="15" customHeight="1" x14ac:dyDescent="0.15">
      <c r="A376" s="296"/>
      <c r="B376" s="297"/>
      <c r="C376" s="298"/>
      <c r="D376" s="297"/>
      <c r="E376" s="298"/>
      <c r="F376" s="298"/>
      <c r="G376" s="298"/>
      <c r="H376" s="299"/>
      <c r="I376" s="299"/>
      <c r="J376" s="299"/>
      <c r="K376" s="299"/>
      <c r="L376" s="299"/>
      <c r="M376" s="299"/>
      <c r="N376" s="299"/>
      <c r="O376" s="299"/>
      <c r="P376" s="299"/>
      <c r="Q376" s="299"/>
      <c r="R376" s="299"/>
      <c r="S376" s="299"/>
      <c r="T376" s="299"/>
      <c r="U376" s="296"/>
      <c r="V376" s="297"/>
      <c r="W376" s="297"/>
      <c r="X376" s="297"/>
      <c r="Y376" s="299"/>
      <c r="Z376" s="299"/>
      <c r="AA376" s="299"/>
      <c r="AB376" s="298"/>
      <c r="AC376" s="299"/>
      <c r="AD376" s="299"/>
      <c r="AE376" s="299"/>
      <c r="AF376" s="299"/>
      <c r="AG376" s="299"/>
      <c r="AH376" s="299"/>
      <c r="AI376" s="299"/>
      <c r="AJ376" s="299"/>
      <c r="AK376" s="299"/>
      <c r="AL376" s="299"/>
      <c r="AM376" s="299"/>
      <c r="AN376" s="299"/>
    </row>
    <row r="377" spans="1:40" s="43" customFormat="1" ht="15" customHeight="1" x14ac:dyDescent="0.15">
      <c r="A377" s="296"/>
      <c r="B377" s="297"/>
      <c r="C377" s="298"/>
      <c r="D377" s="297"/>
      <c r="E377" s="298"/>
      <c r="F377" s="298"/>
      <c r="G377" s="298"/>
      <c r="H377" s="299"/>
      <c r="I377" s="299"/>
      <c r="J377" s="299"/>
      <c r="K377" s="299"/>
      <c r="L377" s="299"/>
      <c r="M377" s="299"/>
      <c r="N377" s="299"/>
      <c r="O377" s="299"/>
      <c r="P377" s="299"/>
      <c r="Q377" s="299"/>
      <c r="R377" s="299"/>
      <c r="S377" s="299"/>
      <c r="T377" s="299"/>
      <c r="U377" s="296"/>
      <c r="V377" s="297"/>
      <c r="W377" s="297"/>
      <c r="X377" s="297"/>
      <c r="Y377" s="299"/>
      <c r="Z377" s="299"/>
      <c r="AA377" s="299"/>
      <c r="AB377" s="298"/>
      <c r="AC377" s="299"/>
      <c r="AD377" s="299"/>
      <c r="AE377" s="299"/>
      <c r="AF377" s="299"/>
      <c r="AG377" s="299"/>
      <c r="AH377" s="299"/>
      <c r="AI377" s="299"/>
      <c r="AJ377" s="299"/>
      <c r="AK377" s="299"/>
      <c r="AL377" s="299"/>
      <c r="AM377" s="299"/>
      <c r="AN377" s="299"/>
    </row>
    <row r="378" spans="1:40" s="43" customFormat="1" ht="15" customHeight="1" x14ac:dyDescent="0.15">
      <c r="A378" s="296"/>
      <c r="B378" s="297"/>
      <c r="C378" s="298"/>
      <c r="D378" s="297"/>
      <c r="E378" s="298"/>
      <c r="F378" s="298"/>
      <c r="G378" s="298"/>
      <c r="H378" s="299"/>
      <c r="I378" s="299"/>
      <c r="J378" s="299"/>
      <c r="K378" s="299"/>
      <c r="L378" s="299"/>
      <c r="M378" s="299"/>
      <c r="N378" s="299"/>
      <c r="O378" s="299"/>
      <c r="P378" s="299"/>
      <c r="Q378" s="299"/>
      <c r="R378" s="299"/>
      <c r="T378" s="299"/>
      <c r="U378" s="296"/>
      <c r="V378" s="297"/>
      <c r="W378" s="297"/>
      <c r="X378" s="297"/>
      <c r="Y378" s="299"/>
      <c r="Z378" s="299"/>
      <c r="AA378" s="299"/>
      <c r="AB378" s="298"/>
      <c r="AC378" s="299"/>
      <c r="AD378" s="299"/>
      <c r="AE378" s="299"/>
      <c r="AF378" s="299"/>
      <c r="AG378" s="299"/>
      <c r="AH378" s="299"/>
      <c r="AI378" s="299"/>
      <c r="AJ378" s="299"/>
      <c r="AK378" s="299"/>
      <c r="AL378" s="299"/>
      <c r="AM378" s="299"/>
      <c r="AN378" s="299"/>
    </row>
    <row r="379" spans="1:40" s="43" customFormat="1" ht="15" customHeight="1" x14ac:dyDescent="0.15">
      <c r="A379" s="296"/>
      <c r="B379" s="297"/>
      <c r="C379" s="298"/>
      <c r="D379" s="297"/>
      <c r="E379" s="298"/>
      <c r="F379" s="298"/>
      <c r="G379" s="298"/>
      <c r="H379" s="299"/>
      <c r="I379" s="299"/>
      <c r="J379" s="299"/>
      <c r="K379" s="299"/>
      <c r="L379" s="299"/>
      <c r="M379" s="299"/>
      <c r="N379" s="299"/>
      <c r="O379" s="299"/>
      <c r="P379" s="299"/>
      <c r="Q379" s="300"/>
      <c r="R379" s="299"/>
      <c r="S379" s="300"/>
      <c r="T379" s="299"/>
      <c r="U379" s="296"/>
      <c r="V379" s="297"/>
      <c r="W379" s="297"/>
      <c r="X379" s="297"/>
      <c r="Y379" s="299"/>
      <c r="Z379" s="299"/>
      <c r="AA379" s="299"/>
      <c r="AB379" s="298"/>
      <c r="AC379" s="299"/>
      <c r="AD379" s="299"/>
      <c r="AE379" s="299"/>
      <c r="AF379" s="299"/>
      <c r="AG379" s="299"/>
      <c r="AH379" s="299"/>
      <c r="AI379" s="299"/>
      <c r="AJ379" s="299"/>
      <c r="AK379" s="299"/>
      <c r="AL379" s="299"/>
      <c r="AM379" s="299"/>
      <c r="AN379" s="299"/>
    </row>
    <row r="380" spans="1:40" s="43" customFormat="1" ht="15" customHeight="1" x14ac:dyDescent="0.15">
      <c r="A380" s="296"/>
      <c r="B380" s="297"/>
      <c r="C380" s="298"/>
      <c r="D380" s="297"/>
      <c r="E380" s="298"/>
      <c r="F380" s="298"/>
      <c r="G380" s="298"/>
      <c r="H380" s="299"/>
      <c r="I380" s="299"/>
      <c r="J380" s="299"/>
      <c r="K380" s="299"/>
      <c r="L380" s="299"/>
      <c r="M380" s="299"/>
      <c r="N380" s="299"/>
      <c r="O380" s="299"/>
      <c r="P380" s="299"/>
      <c r="Q380" s="299"/>
      <c r="R380" s="299"/>
      <c r="S380" s="299"/>
      <c r="T380" s="299"/>
      <c r="U380" s="296"/>
      <c r="V380" s="297"/>
      <c r="W380" s="297"/>
      <c r="X380" s="297"/>
      <c r="Y380" s="299"/>
      <c r="Z380" s="299"/>
      <c r="AA380" s="299"/>
      <c r="AB380" s="298"/>
      <c r="AC380" s="299"/>
      <c r="AD380" s="299"/>
      <c r="AE380" s="299"/>
      <c r="AF380" s="299"/>
      <c r="AG380" s="299"/>
      <c r="AH380" s="299"/>
      <c r="AI380" s="299"/>
      <c r="AJ380" s="299"/>
      <c r="AK380" s="299"/>
      <c r="AL380" s="299"/>
      <c r="AM380" s="299"/>
      <c r="AN380" s="299"/>
    </row>
    <row r="381" spans="1:40" s="43" customFormat="1" ht="15" customHeight="1" x14ac:dyDescent="0.15">
      <c r="A381" s="296"/>
      <c r="B381" s="297"/>
      <c r="C381" s="298"/>
      <c r="D381" s="297"/>
      <c r="E381" s="298"/>
      <c r="F381" s="298"/>
      <c r="G381" s="298"/>
      <c r="H381" s="299"/>
      <c r="I381" s="299"/>
      <c r="J381" s="299"/>
      <c r="K381" s="299"/>
      <c r="L381" s="299"/>
      <c r="M381" s="299"/>
      <c r="N381" s="299"/>
      <c r="O381" s="299"/>
      <c r="P381" s="299"/>
      <c r="Q381" s="299"/>
      <c r="R381" s="299"/>
      <c r="S381" s="299"/>
      <c r="T381" s="299"/>
      <c r="U381" s="296"/>
      <c r="V381" s="297"/>
      <c r="W381" s="297"/>
      <c r="X381" s="297"/>
      <c r="Y381" s="299"/>
      <c r="Z381" s="299"/>
      <c r="AA381" s="299"/>
      <c r="AB381" s="298"/>
      <c r="AC381" s="299"/>
      <c r="AD381" s="299"/>
      <c r="AE381" s="299"/>
      <c r="AF381" s="299"/>
      <c r="AG381" s="299"/>
      <c r="AH381" s="299"/>
      <c r="AI381" s="299"/>
      <c r="AJ381" s="299"/>
      <c r="AK381" s="299"/>
      <c r="AL381" s="299"/>
      <c r="AM381" s="299"/>
      <c r="AN381" s="299"/>
    </row>
    <row r="382" spans="1:40" s="43" customFormat="1" ht="15" customHeight="1" x14ac:dyDescent="0.15">
      <c r="A382" s="296"/>
      <c r="B382" s="297"/>
      <c r="C382" s="298"/>
      <c r="D382" s="297"/>
      <c r="E382" s="298"/>
      <c r="F382" s="298"/>
      <c r="G382" s="298"/>
      <c r="H382" s="299"/>
      <c r="I382" s="299"/>
      <c r="J382" s="299"/>
      <c r="K382" s="299"/>
      <c r="L382" s="299"/>
      <c r="M382" s="299"/>
      <c r="N382" s="299"/>
      <c r="O382" s="299"/>
      <c r="P382" s="299"/>
      <c r="Q382" s="299"/>
      <c r="R382" s="299"/>
      <c r="S382" s="299"/>
      <c r="T382" s="299"/>
      <c r="U382" s="296"/>
      <c r="V382" s="297"/>
      <c r="W382" s="297"/>
      <c r="X382" s="297"/>
      <c r="Y382" s="299"/>
      <c r="Z382" s="299"/>
      <c r="AA382" s="299"/>
      <c r="AB382" s="298"/>
      <c r="AC382" s="299"/>
      <c r="AD382" s="299"/>
      <c r="AE382" s="299"/>
      <c r="AF382" s="299"/>
      <c r="AG382" s="299"/>
      <c r="AH382" s="299"/>
      <c r="AI382" s="299"/>
      <c r="AJ382" s="299"/>
      <c r="AK382" s="299"/>
      <c r="AL382" s="299"/>
      <c r="AM382" s="299"/>
      <c r="AN382" s="299"/>
    </row>
    <row r="383" spans="1:40" s="43" customFormat="1" ht="15" customHeight="1" x14ac:dyDescent="0.15">
      <c r="A383" s="296"/>
      <c r="B383" s="297"/>
      <c r="C383" s="298"/>
      <c r="D383" s="297"/>
      <c r="E383" s="298"/>
      <c r="F383" s="298"/>
      <c r="G383" s="298"/>
      <c r="H383" s="299"/>
      <c r="I383" s="299"/>
      <c r="J383" s="299"/>
      <c r="K383" s="299"/>
      <c r="L383" s="299"/>
      <c r="M383" s="299"/>
      <c r="N383" s="299"/>
      <c r="O383" s="299"/>
      <c r="P383" s="299"/>
      <c r="Q383" s="299"/>
      <c r="R383" s="299"/>
      <c r="S383" s="299"/>
      <c r="T383" s="299"/>
      <c r="U383" s="296"/>
      <c r="V383" s="297"/>
      <c r="W383" s="297"/>
      <c r="X383" s="297"/>
      <c r="Y383" s="299"/>
      <c r="Z383" s="299"/>
      <c r="AA383" s="299"/>
      <c r="AB383" s="298"/>
      <c r="AC383" s="299"/>
      <c r="AD383" s="299"/>
      <c r="AE383" s="299"/>
      <c r="AF383" s="299"/>
      <c r="AG383" s="299"/>
      <c r="AH383" s="299"/>
      <c r="AI383" s="299"/>
      <c r="AJ383" s="299"/>
      <c r="AK383" s="299"/>
      <c r="AL383" s="299"/>
      <c r="AM383" s="299"/>
      <c r="AN383" s="299"/>
    </row>
    <row r="384" spans="1:40" s="43" customFormat="1" ht="15" customHeight="1" x14ac:dyDescent="0.15">
      <c r="A384" s="296"/>
      <c r="B384" s="297"/>
      <c r="C384" s="298"/>
      <c r="D384" s="297"/>
      <c r="E384" s="298"/>
      <c r="F384" s="298"/>
      <c r="G384" s="298"/>
      <c r="H384" s="299"/>
      <c r="I384" s="299"/>
      <c r="J384" s="299"/>
      <c r="K384" s="299"/>
      <c r="L384" s="299"/>
      <c r="M384" s="299"/>
      <c r="N384" s="299"/>
      <c r="O384" s="299"/>
      <c r="P384" s="299"/>
      <c r="Q384" s="299"/>
      <c r="R384" s="299"/>
      <c r="S384" s="299"/>
      <c r="T384" s="299"/>
      <c r="U384" s="296"/>
      <c r="V384" s="297"/>
      <c r="W384" s="297"/>
      <c r="X384" s="297"/>
      <c r="Y384" s="299"/>
      <c r="Z384" s="299"/>
      <c r="AA384" s="299"/>
      <c r="AB384" s="298"/>
      <c r="AC384" s="299"/>
      <c r="AD384" s="299"/>
      <c r="AE384" s="299"/>
      <c r="AF384" s="299"/>
      <c r="AG384" s="299"/>
      <c r="AH384" s="299"/>
      <c r="AI384" s="299"/>
      <c r="AJ384" s="299"/>
      <c r="AK384" s="299"/>
      <c r="AL384" s="299"/>
      <c r="AM384" s="299"/>
      <c r="AN384" s="299"/>
    </row>
    <row r="385" spans="1:40" s="43" customFormat="1" ht="15" customHeight="1" x14ac:dyDescent="0.15">
      <c r="A385" s="296"/>
      <c r="B385" s="297"/>
      <c r="C385" s="298"/>
      <c r="D385" s="297"/>
      <c r="E385" s="298"/>
      <c r="F385" s="298"/>
      <c r="G385" s="298"/>
      <c r="H385" s="299"/>
      <c r="I385" s="299"/>
      <c r="J385" s="299"/>
      <c r="K385" s="299"/>
      <c r="L385" s="299"/>
      <c r="M385" s="299"/>
      <c r="N385" s="299"/>
      <c r="O385" s="299"/>
      <c r="P385" s="299"/>
      <c r="Q385" s="299"/>
      <c r="R385" s="299"/>
      <c r="S385" s="299"/>
      <c r="T385" s="299"/>
      <c r="U385" s="296"/>
      <c r="V385" s="297"/>
      <c r="W385" s="297"/>
      <c r="X385" s="297"/>
      <c r="Y385" s="299"/>
      <c r="Z385" s="299"/>
      <c r="AA385" s="299"/>
      <c r="AB385" s="298"/>
      <c r="AC385" s="299"/>
      <c r="AD385" s="299"/>
      <c r="AE385" s="299"/>
      <c r="AF385" s="299"/>
      <c r="AG385" s="299"/>
      <c r="AH385" s="299"/>
      <c r="AI385" s="299"/>
      <c r="AJ385" s="299"/>
      <c r="AK385" s="299"/>
      <c r="AL385" s="299"/>
      <c r="AM385" s="299"/>
      <c r="AN385" s="299"/>
    </row>
    <row r="386" spans="1:40" s="43" customFormat="1" ht="15" customHeight="1" x14ac:dyDescent="0.15">
      <c r="A386" s="296"/>
      <c r="B386" s="297"/>
      <c r="C386" s="298"/>
      <c r="D386" s="297"/>
      <c r="E386" s="298"/>
      <c r="F386" s="298"/>
      <c r="G386" s="298"/>
      <c r="H386" s="299"/>
      <c r="I386" s="299"/>
      <c r="J386" s="299"/>
      <c r="K386" s="299"/>
      <c r="L386" s="299"/>
      <c r="M386" s="299"/>
      <c r="N386" s="299"/>
      <c r="O386" s="299"/>
      <c r="P386" s="299"/>
      <c r="Q386" s="299"/>
      <c r="R386" s="299"/>
      <c r="S386" s="299"/>
      <c r="T386" s="299"/>
      <c r="U386" s="296"/>
      <c r="V386" s="297"/>
      <c r="W386" s="297"/>
      <c r="X386" s="297"/>
      <c r="Y386" s="299"/>
      <c r="Z386" s="299"/>
      <c r="AA386" s="299"/>
      <c r="AB386" s="298"/>
      <c r="AC386" s="299"/>
      <c r="AD386" s="299"/>
      <c r="AE386" s="299"/>
      <c r="AF386" s="299"/>
      <c r="AG386" s="299"/>
      <c r="AH386" s="299"/>
      <c r="AI386" s="299"/>
      <c r="AJ386" s="299"/>
      <c r="AK386" s="299"/>
      <c r="AL386" s="299"/>
      <c r="AM386" s="299"/>
      <c r="AN386" s="299"/>
    </row>
    <row r="387" spans="1:40" s="43" customFormat="1" ht="15" customHeight="1" x14ac:dyDescent="0.15">
      <c r="A387" s="296"/>
      <c r="B387" s="297"/>
      <c r="C387" s="298"/>
      <c r="D387" s="297"/>
      <c r="E387" s="298"/>
      <c r="F387" s="298"/>
      <c r="G387" s="298"/>
      <c r="H387" s="299"/>
      <c r="I387" s="299"/>
      <c r="J387" s="299"/>
      <c r="K387" s="299"/>
      <c r="L387" s="299"/>
      <c r="M387" s="299"/>
      <c r="N387" s="299"/>
      <c r="O387" s="299"/>
      <c r="P387" s="299"/>
      <c r="Q387" s="299"/>
      <c r="R387" s="299"/>
      <c r="S387" s="299"/>
      <c r="T387" s="299"/>
      <c r="U387" s="296"/>
      <c r="V387" s="297"/>
      <c r="W387" s="297"/>
      <c r="X387" s="297"/>
      <c r="Y387" s="299"/>
      <c r="Z387" s="299"/>
      <c r="AA387" s="299"/>
      <c r="AB387" s="298"/>
      <c r="AC387" s="299"/>
      <c r="AD387" s="299"/>
      <c r="AE387" s="299"/>
      <c r="AF387" s="299"/>
      <c r="AG387" s="299"/>
      <c r="AH387" s="299"/>
      <c r="AI387" s="299"/>
      <c r="AJ387" s="299"/>
      <c r="AK387" s="299"/>
      <c r="AL387" s="299"/>
      <c r="AM387" s="299"/>
      <c r="AN387" s="299"/>
    </row>
    <row r="388" spans="1:40" s="43" customFormat="1" ht="15" customHeight="1" x14ac:dyDescent="0.15">
      <c r="A388" s="296"/>
      <c r="B388" s="297"/>
      <c r="C388" s="298"/>
      <c r="D388" s="297"/>
      <c r="E388" s="298"/>
      <c r="F388" s="298"/>
      <c r="G388" s="298"/>
      <c r="H388" s="299"/>
      <c r="I388" s="299"/>
      <c r="J388" s="299"/>
      <c r="K388" s="299"/>
      <c r="L388" s="299"/>
      <c r="M388" s="299"/>
      <c r="N388" s="299"/>
      <c r="O388" s="299"/>
      <c r="P388" s="299"/>
      <c r="Q388" s="299"/>
      <c r="R388" s="299"/>
      <c r="S388" s="299"/>
      <c r="T388" s="299"/>
      <c r="U388" s="296"/>
      <c r="V388" s="297"/>
      <c r="W388" s="297"/>
      <c r="X388" s="297"/>
      <c r="Y388" s="299"/>
      <c r="Z388" s="299"/>
      <c r="AA388" s="299"/>
      <c r="AB388" s="298"/>
      <c r="AC388" s="299"/>
      <c r="AD388" s="299"/>
      <c r="AE388" s="299"/>
      <c r="AF388" s="299"/>
      <c r="AG388" s="299"/>
      <c r="AH388" s="299"/>
      <c r="AI388" s="299"/>
      <c r="AJ388" s="299"/>
      <c r="AK388" s="299"/>
      <c r="AL388" s="299"/>
      <c r="AM388" s="299"/>
      <c r="AN388" s="299"/>
    </row>
    <row r="389" spans="1:40" s="43" customFormat="1" ht="15" customHeight="1" x14ac:dyDescent="0.15">
      <c r="A389" s="296"/>
      <c r="B389" s="297"/>
      <c r="C389" s="298"/>
      <c r="D389" s="297"/>
      <c r="E389" s="298"/>
      <c r="F389" s="298"/>
      <c r="G389" s="298"/>
      <c r="H389" s="299"/>
      <c r="I389" s="299"/>
      <c r="J389" s="299"/>
      <c r="K389" s="299"/>
      <c r="L389" s="299"/>
      <c r="M389" s="299"/>
      <c r="N389" s="299"/>
      <c r="O389" s="299"/>
      <c r="P389" s="299"/>
      <c r="Q389" s="299"/>
      <c r="R389" s="299"/>
      <c r="S389" s="299"/>
      <c r="T389" s="299"/>
      <c r="U389" s="296"/>
      <c r="V389" s="297"/>
      <c r="W389" s="297"/>
      <c r="X389" s="297"/>
      <c r="Y389" s="299"/>
      <c r="Z389" s="299"/>
      <c r="AA389" s="299"/>
      <c r="AB389" s="298"/>
      <c r="AC389" s="299"/>
      <c r="AD389" s="299"/>
      <c r="AE389" s="299"/>
      <c r="AF389" s="299"/>
      <c r="AG389" s="299"/>
      <c r="AH389" s="299"/>
      <c r="AI389" s="299"/>
      <c r="AJ389" s="299"/>
      <c r="AK389" s="299"/>
      <c r="AL389" s="299"/>
      <c r="AM389" s="299"/>
      <c r="AN389" s="299"/>
    </row>
    <row r="390" spans="1:40" s="43" customFormat="1" ht="15" customHeight="1" x14ac:dyDescent="0.15">
      <c r="A390" s="296"/>
      <c r="B390" s="297"/>
      <c r="C390" s="298"/>
      <c r="D390" s="297"/>
      <c r="E390" s="298"/>
      <c r="F390" s="298"/>
      <c r="G390" s="298"/>
      <c r="H390" s="299"/>
      <c r="I390" s="299"/>
      <c r="J390" s="299"/>
      <c r="K390" s="299"/>
      <c r="L390" s="299"/>
      <c r="M390" s="299"/>
      <c r="N390" s="299"/>
      <c r="O390" s="299"/>
      <c r="P390" s="299"/>
      <c r="Q390" s="299"/>
      <c r="R390" s="299"/>
      <c r="S390" s="299"/>
      <c r="T390" s="299"/>
      <c r="U390" s="296"/>
      <c r="V390" s="297"/>
      <c r="W390" s="297"/>
      <c r="X390" s="297"/>
      <c r="Y390" s="299"/>
      <c r="Z390" s="299"/>
      <c r="AA390" s="299"/>
      <c r="AB390" s="298"/>
      <c r="AC390" s="299"/>
      <c r="AD390" s="299"/>
      <c r="AE390" s="299"/>
      <c r="AF390" s="299"/>
      <c r="AG390" s="299"/>
      <c r="AH390" s="299"/>
      <c r="AI390" s="299"/>
      <c r="AJ390" s="299"/>
      <c r="AK390" s="299"/>
      <c r="AL390" s="299"/>
      <c r="AM390" s="299"/>
      <c r="AN390" s="299"/>
    </row>
    <row r="391" spans="1:40" s="43" customFormat="1" ht="15" customHeight="1" x14ac:dyDescent="0.15">
      <c r="A391" s="296"/>
      <c r="B391" s="297"/>
      <c r="C391" s="298"/>
      <c r="D391" s="297"/>
      <c r="E391" s="298"/>
      <c r="F391" s="298"/>
      <c r="G391" s="298"/>
      <c r="H391" s="299"/>
      <c r="I391" s="299"/>
      <c r="J391" s="299"/>
      <c r="K391" s="299"/>
      <c r="L391" s="299"/>
      <c r="M391" s="299"/>
      <c r="N391" s="299"/>
      <c r="O391" s="299"/>
      <c r="P391" s="299"/>
      <c r="Q391" s="299"/>
      <c r="R391" s="299"/>
      <c r="S391" s="299"/>
      <c r="T391" s="299"/>
      <c r="U391" s="296"/>
      <c r="V391" s="297"/>
      <c r="W391" s="297"/>
      <c r="X391" s="297"/>
      <c r="Y391" s="299"/>
      <c r="Z391" s="299"/>
      <c r="AA391" s="299"/>
      <c r="AB391" s="298"/>
      <c r="AC391" s="299"/>
      <c r="AD391" s="299"/>
      <c r="AE391" s="299"/>
      <c r="AF391" s="299"/>
      <c r="AG391" s="299"/>
      <c r="AH391" s="299"/>
      <c r="AI391" s="299"/>
      <c r="AJ391" s="299"/>
      <c r="AK391" s="299"/>
      <c r="AL391" s="299"/>
      <c r="AM391" s="299"/>
      <c r="AN391" s="299"/>
    </row>
    <row r="392" spans="1:40" s="43" customFormat="1" ht="15" customHeight="1" x14ac:dyDescent="0.15">
      <c r="A392" s="296"/>
      <c r="B392" s="297"/>
      <c r="C392" s="298"/>
      <c r="D392" s="297"/>
      <c r="E392" s="298"/>
      <c r="F392" s="298"/>
      <c r="G392" s="298"/>
      <c r="H392" s="299"/>
      <c r="I392" s="299"/>
      <c r="J392" s="299"/>
      <c r="K392" s="299"/>
      <c r="L392" s="299"/>
      <c r="M392" s="299"/>
      <c r="N392" s="299"/>
      <c r="O392" s="299"/>
      <c r="P392" s="299"/>
      <c r="Q392" s="299"/>
      <c r="R392" s="299"/>
      <c r="S392" s="299"/>
      <c r="T392" s="299"/>
      <c r="U392" s="296"/>
      <c r="V392" s="297"/>
      <c r="W392" s="297"/>
      <c r="X392" s="297"/>
      <c r="Y392" s="299"/>
      <c r="Z392" s="299"/>
      <c r="AA392" s="299"/>
      <c r="AB392" s="298"/>
      <c r="AC392" s="299"/>
      <c r="AD392" s="299"/>
      <c r="AE392" s="299"/>
      <c r="AF392" s="299"/>
      <c r="AG392" s="299"/>
      <c r="AH392" s="299"/>
      <c r="AI392" s="299"/>
      <c r="AJ392" s="299"/>
      <c r="AK392" s="299"/>
      <c r="AL392" s="299"/>
      <c r="AM392" s="299"/>
      <c r="AN392" s="299"/>
    </row>
    <row r="393" spans="1:40" s="43" customFormat="1" ht="15" customHeight="1" x14ac:dyDescent="0.15">
      <c r="A393" s="296"/>
      <c r="B393" s="297"/>
      <c r="C393" s="298"/>
      <c r="D393" s="297"/>
      <c r="E393" s="298"/>
      <c r="F393" s="298"/>
      <c r="G393" s="298"/>
      <c r="H393" s="299"/>
      <c r="I393" s="299"/>
      <c r="J393" s="299"/>
      <c r="K393" s="299"/>
      <c r="L393" s="299"/>
      <c r="M393" s="299"/>
      <c r="N393" s="299"/>
      <c r="O393" s="299"/>
      <c r="P393" s="299"/>
      <c r="Q393" s="299"/>
      <c r="R393" s="299"/>
      <c r="S393" s="299"/>
      <c r="T393" s="299"/>
      <c r="U393" s="296"/>
      <c r="V393" s="297"/>
      <c r="W393" s="297"/>
      <c r="X393" s="297"/>
      <c r="Y393" s="299"/>
      <c r="Z393" s="299"/>
      <c r="AA393" s="299"/>
      <c r="AB393" s="298"/>
      <c r="AC393" s="299"/>
      <c r="AD393" s="299"/>
      <c r="AE393" s="299"/>
      <c r="AF393" s="299"/>
      <c r="AG393" s="299"/>
      <c r="AH393" s="299"/>
      <c r="AI393" s="299"/>
      <c r="AJ393" s="299"/>
      <c r="AK393" s="299"/>
      <c r="AL393" s="299"/>
      <c r="AM393" s="299"/>
      <c r="AN393" s="299"/>
    </row>
    <row r="394" spans="1:40" s="43" customFormat="1" ht="15" customHeight="1" x14ac:dyDescent="0.15">
      <c r="A394" s="296"/>
      <c r="B394" s="297"/>
      <c r="C394" s="298"/>
      <c r="D394" s="297"/>
      <c r="E394" s="298"/>
      <c r="F394" s="298"/>
      <c r="G394" s="298"/>
      <c r="H394" s="299"/>
      <c r="I394" s="299"/>
      <c r="J394" s="299"/>
      <c r="K394" s="299"/>
      <c r="L394" s="299"/>
      <c r="M394" s="299"/>
      <c r="N394" s="299"/>
      <c r="O394" s="299"/>
      <c r="P394" s="299"/>
      <c r="Q394" s="299"/>
      <c r="R394" s="299"/>
      <c r="S394" s="299"/>
      <c r="T394" s="299"/>
      <c r="U394" s="296"/>
      <c r="V394" s="297"/>
      <c r="W394" s="297"/>
      <c r="X394" s="297"/>
      <c r="Y394" s="299"/>
      <c r="Z394" s="299"/>
      <c r="AA394" s="299"/>
      <c r="AB394" s="298"/>
      <c r="AC394" s="299"/>
      <c r="AD394" s="299"/>
      <c r="AE394" s="299"/>
      <c r="AF394" s="299"/>
      <c r="AG394" s="299"/>
      <c r="AH394" s="299"/>
      <c r="AI394" s="299"/>
      <c r="AJ394" s="299"/>
      <c r="AK394" s="299"/>
      <c r="AL394" s="299"/>
      <c r="AM394" s="299"/>
      <c r="AN394" s="299"/>
    </row>
    <row r="395" spans="1:40" s="43" customFormat="1" ht="15" customHeight="1" x14ac:dyDescent="0.15">
      <c r="A395" s="296"/>
      <c r="B395" s="297"/>
      <c r="C395" s="298"/>
      <c r="D395" s="297"/>
      <c r="E395" s="298"/>
      <c r="F395" s="298"/>
      <c r="G395" s="298"/>
      <c r="H395" s="299"/>
      <c r="I395" s="299"/>
      <c r="J395" s="299"/>
      <c r="K395" s="299"/>
      <c r="L395" s="299"/>
      <c r="M395" s="299"/>
      <c r="N395" s="299"/>
      <c r="O395" s="299"/>
      <c r="P395" s="299"/>
      <c r="Q395" s="299"/>
      <c r="R395" s="299"/>
      <c r="S395" s="299"/>
      <c r="T395" s="299"/>
      <c r="U395" s="296"/>
      <c r="V395" s="297"/>
      <c r="W395" s="297"/>
      <c r="X395" s="297"/>
      <c r="Y395" s="299"/>
      <c r="Z395" s="299"/>
      <c r="AA395" s="299"/>
      <c r="AB395" s="298"/>
      <c r="AC395" s="299"/>
      <c r="AD395" s="299"/>
      <c r="AE395" s="299"/>
      <c r="AF395" s="299"/>
      <c r="AG395" s="299"/>
      <c r="AH395" s="299"/>
      <c r="AI395" s="299"/>
      <c r="AJ395" s="299"/>
      <c r="AK395" s="299"/>
      <c r="AL395" s="299"/>
      <c r="AM395" s="299"/>
      <c r="AN395" s="299"/>
    </row>
    <row r="396" spans="1:40" s="43" customFormat="1" ht="15" customHeight="1" x14ac:dyDescent="0.15">
      <c r="A396" s="296"/>
      <c r="B396" s="297"/>
      <c r="C396" s="298"/>
      <c r="D396" s="297"/>
      <c r="E396" s="298"/>
      <c r="F396" s="298"/>
      <c r="G396" s="298"/>
      <c r="H396" s="299"/>
      <c r="I396" s="299"/>
      <c r="J396" s="299"/>
      <c r="K396" s="299"/>
      <c r="L396" s="299"/>
      <c r="M396" s="299"/>
      <c r="N396" s="299"/>
      <c r="O396" s="299"/>
      <c r="P396" s="299"/>
      <c r="Q396" s="299"/>
      <c r="R396" s="299"/>
      <c r="S396" s="299"/>
      <c r="T396" s="299"/>
      <c r="U396" s="296"/>
      <c r="V396" s="297"/>
      <c r="W396" s="297"/>
      <c r="X396" s="297"/>
      <c r="Y396" s="299"/>
      <c r="Z396" s="299"/>
      <c r="AA396" s="299"/>
      <c r="AB396" s="298"/>
      <c r="AC396" s="299"/>
      <c r="AD396" s="299"/>
      <c r="AE396" s="299"/>
      <c r="AF396" s="299"/>
      <c r="AG396" s="299"/>
      <c r="AH396" s="299"/>
      <c r="AI396" s="299"/>
      <c r="AJ396" s="299"/>
      <c r="AK396" s="299"/>
      <c r="AL396" s="299"/>
      <c r="AM396" s="299"/>
      <c r="AN396" s="299"/>
    </row>
    <row r="397" spans="1:40" s="43" customFormat="1" ht="15" customHeight="1" x14ac:dyDescent="0.15">
      <c r="A397" s="296"/>
      <c r="B397" s="297"/>
      <c r="C397" s="298"/>
      <c r="D397" s="297"/>
      <c r="E397" s="298"/>
      <c r="F397" s="298"/>
      <c r="G397" s="298"/>
      <c r="H397" s="299"/>
      <c r="I397" s="299"/>
      <c r="J397" s="299"/>
      <c r="K397" s="299"/>
      <c r="L397" s="299"/>
      <c r="M397" s="299"/>
      <c r="N397" s="299"/>
      <c r="O397" s="299"/>
      <c r="P397" s="299"/>
      <c r="Q397" s="299"/>
      <c r="R397" s="299"/>
      <c r="S397" s="299"/>
      <c r="T397" s="299"/>
      <c r="U397" s="296"/>
      <c r="V397" s="297"/>
      <c r="W397" s="297"/>
      <c r="X397" s="297"/>
      <c r="Y397" s="299"/>
      <c r="Z397" s="299"/>
      <c r="AA397" s="299"/>
      <c r="AB397" s="298"/>
      <c r="AC397" s="299"/>
      <c r="AD397" s="299"/>
      <c r="AE397" s="299"/>
      <c r="AF397" s="299"/>
      <c r="AG397" s="299"/>
      <c r="AH397" s="299"/>
      <c r="AI397" s="299"/>
      <c r="AJ397" s="299"/>
      <c r="AK397" s="299"/>
      <c r="AL397" s="299"/>
      <c r="AM397" s="299"/>
      <c r="AN397" s="299"/>
    </row>
    <row r="398" spans="1:40" s="43" customFormat="1" ht="15" customHeight="1" x14ac:dyDescent="0.15">
      <c r="A398" s="296"/>
      <c r="B398" s="297"/>
      <c r="C398" s="298"/>
      <c r="D398" s="297"/>
      <c r="E398" s="298"/>
      <c r="F398" s="298"/>
      <c r="G398" s="298"/>
      <c r="H398" s="299"/>
      <c r="I398" s="299"/>
      <c r="J398" s="299"/>
      <c r="K398" s="299"/>
      <c r="L398" s="299"/>
      <c r="M398" s="299"/>
      <c r="N398" s="299"/>
      <c r="O398" s="299"/>
      <c r="P398" s="299"/>
      <c r="Q398" s="299"/>
      <c r="R398" s="299"/>
      <c r="S398" s="299"/>
      <c r="T398" s="299"/>
      <c r="U398" s="296"/>
      <c r="V398" s="297"/>
      <c r="W398" s="297"/>
      <c r="X398" s="297"/>
      <c r="Y398" s="299"/>
      <c r="Z398" s="299"/>
      <c r="AA398" s="299"/>
      <c r="AB398" s="298"/>
      <c r="AC398" s="299"/>
      <c r="AD398" s="299"/>
      <c r="AE398" s="299"/>
      <c r="AF398" s="299"/>
      <c r="AG398" s="299"/>
      <c r="AH398" s="299"/>
      <c r="AI398" s="299"/>
      <c r="AJ398" s="299"/>
      <c r="AK398" s="299"/>
      <c r="AL398" s="299"/>
      <c r="AM398" s="299"/>
      <c r="AN398" s="299"/>
    </row>
    <row r="399" spans="1:40" s="43" customFormat="1" ht="15" customHeight="1" x14ac:dyDescent="0.15">
      <c r="A399" s="296"/>
      <c r="B399" s="297"/>
      <c r="C399" s="298"/>
      <c r="D399" s="297"/>
      <c r="E399" s="298"/>
      <c r="F399" s="298"/>
      <c r="G399" s="298"/>
      <c r="H399" s="299"/>
      <c r="I399" s="299"/>
      <c r="J399" s="299"/>
      <c r="K399" s="299"/>
      <c r="L399" s="299"/>
      <c r="M399" s="299"/>
      <c r="N399" s="299"/>
      <c r="O399" s="299"/>
      <c r="P399" s="299"/>
      <c r="Q399" s="299"/>
      <c r="R399" s="299"/>
      <c r="S399" s="299"/>
      <c r="T399" s="299"/>
      <c r="U399" s="296"/>
      <c r="V399" s="297"/>
      <c r="W399" s="297"/>
      <c r="X399" s="297"/>
      <c r="Y399" s="299"/>
      <c r="Z399" s="299"/>
      <c r="AA399" s="299"/>
      <c r="AB399" s="298"/>
      <c r="AC399" s="299"/>
      <c r="AD399" s="299"/>
      <c r="AE399" s="299"/>
      <c r="AF399" s="299"/>
      <c r="AG399" s="299"/>
      <c r="AH399" s="299"/>
      <c r="AI399" s="299"/>
      <c r="AJ399" s="299"/>
      <c r="AK399" s="299"/>
      <c r="AL399" s="299"/>
      <c r="AM399" s="299"/>
      <c r="AN399" s="299"/>
    </row>
    <row r="400" spans="1:40" s="43" customFormat="1" ht="15" customHeight="1" x14ac:dyDescent="0.15">
      <c r="A400" s="296"/>
      <c r="B400" s="297"/>
      <c r="C400" s="298"/>
      <c r="D400" s="297"/>
      <c r="E400" s="298"/>
      <c r="F400" s="298"/>
      <c r="G400" s="298"/>
      <c r="H400" s="299"/>
      <c r="I400" s="299"/>
      <c r="J400" s="299"/>
      <c r="K400" s="299"/>
      <c r="L400" s="299"/>
      <c r="M400" s="299"/>
      <c r="N400" s="299"/>
      <c r="O400" s="299"/>
      <c r="P400" s="299"/>
      <c r="Q400" s="299"/>
      <c r="R400" s="299"/>
      <c r="S400" s="299"/>
      <c r="T400" s="299"/>
      <c r="U400" s="296"/>
      <c r="V400" s="297"/>
      <c r="W400" s="297"/>
      <c r="X400" s="297"/>
      <c r="Y400" s="299"/>
      <c r="Z400" s="299"/>
      <c r="AA400" s="299"/>
      <c r="AB400" s="298"/>
      <c r="AC400" s="299"/>
      <c r="AD400" s="299"/>
      <c r="AE400" s="299"/>
      <c r="AF400" s="299"/>
      <c r="AG400" s="299"/>
      <c r="AH400" s="299"/>
      <c r="AI400" s="299"/>
      <c r="AJ400" s="299"/>
      <c r="AK400" s="299"/>
      <c r="AL400" s="299"/>
      <c r="AM400" s="299"/>
      <c r="AN400" s="299"/>
    </row>
    <row r="401" spans="1:40" s="43" customFormat="1" ht="15" customHeight="1" x14ac:dyDescent="0.15">
      <c r="A401" s="296"/>
      <c r="B401" s="297"/>
      <c r="C401" s="298"/>
      <c r="D401" s="297"/>
      <c r="E401" s="298"/>
      <c r="F401" s="298"/>
      <c r="G401" s="298"/>
      <c r="H401" s="299"/>
      <c r="I401" s="299"/>
      <c r="J401" s="299"/>
      <c r="K401" s="299"/>
      <c r="L401" s="299"/>
      <c r="M401" s="299"/>
      <c r="N401" s="299"/>
      <c r="O401" s="299"/>
      <c r="P401" s="299"/>
      <c r="Q401" s="299"/>
      <c r="R401" s="299"/>
      <c r="S401" s="299"/>
      <c r="T401" s="299"/>
      <c r="U401" s="296"/>
      <c r="V401" s="297"/>
      <c r="W401" s="297"/>
      <c r="X401" s="297"/>
      <c r="Y401" s="299"/>
      <c r="Z401" s="299"/>
      <c r="AA401" s="299"/>
      <c r="AB401" s="298"/>
      <c r="AC401" s="299"/>
      <c r="AD401" s="299"/>
      <c r="AE401" s="299"/>
      <c r="AF401" s="299"/>
      <c r="AG401" s="299"/>
      <c r="AH401" s="299"/>
      <c r="AI401" s="299"/>
      <c r="AJ401" s="299"/>
      <c r="AK401" s="299"/>
      <c r="AL401" s="299"/>
      <c r="AM401" s="299"/>
      <c r="AN401" s="299"/>
    </row>
    <row r="402" spans="1:40" s="43" customFormat="1" ht="15" customHeight="1" x14ac:dyDescent="0.15">
      <c r="A402" s="296"/>
      <c r="B402" s="297"/>
      <c r="C402" s="298"/>
      <c r="D402" s="297"/>
      <c r="E402" s="298"/>
      <c r="F402" s="298"/>
      <c r="G402" s="298"/>
      <c r="H402" s="299"/>
      <c r="I402" s="299"/>
      <c r="J402" s="299"/>
      <c r="K402" s="299"/>
      <c r="L402" s="299"/>
      <c r="M402" s="299"/>
      <c r="N402" s="299"/>
      <c r="O402" s="299"/>
      <c r="P402" s="299"/>
      <c r="Q402" s="299"/>
      <c r="R402" s="299"/>
      <c r="S402" s="299"/>
      <c r="T402" s="299"/>
      <c r="U402" s="296"/>
      <c r="V402" s="297"/>
      <c r="W402" s="297"/>
      <c r="X402" s="297"/>
      <c r="Y402" s="299"/>
      <c r="Z402" s="299"/>
      <c r="AA402" s="299"/>
      <c r="AB402" s="298"/>
      <c r="AC402" s="299"/>
      <c r="AD402" s="299"/>
      <c r="AE402" s="299"/>
      <c r="AF402" s="299"/>
      <c r="AG402" s="299"/>
      <c r="AH402" s="299"/>
      <c r="AI402" s="299"/>
      <c r="AJ402" s="299"/>
      <c r="AK402" s="299"/>
      <c r="AL402" s="299"/>
      <c r="AM402" s="299"/>
      <c r="AN402" s="299"/>
    </row>
    <row r="403" spans="1:40" s="43" customFormat="1" ht="15" customHeight="1" x14ac:dyDescent="0.15">
      <c r="A403" s="296"/>
      <c r="B403" s="297"/>
      <c r="C403" s="298"/>
      <c r="D403" s="297"/>
      <c r="E403" s="298"/>
      <c r="F403" s="298"/>
      <c r="G403" s="298"/>
      <c r="H403" s="299"/>
      <c r="I403" s="299"/>
      <c r="J403" s="299"/>
      <c r="K403" s="299"/>
      <c r="L403" s="299"/>
      <c r="M403" s="299"/>
      <c r="N403" s="299"/>
      <c r="O403" s="299"/>
      <c r="P403" s="299"/>
      <c r="Q403" s="299"/>
      <c r="R403" s="299"/>
      <c r="S403" s="299"/>
      <c r="T403" s="299"/>
      <c r="U403" s="296"/>
      <c r="V403" s="297"/>
      <c r="W403" s="297"/>
      <c r="X403" s="297"/>
      <c r="Y403" s="299"/>
      <c r="Z403" s="299"/>
      <c r="AA403" s="299"/>
      <c r="AB403" s="298"/>
      <c r="AC403" s="299"/>
      <c r="AD403" s="299"/>
      <c r="AE403" s="299"/>
      <c r="AF403" s="299"/>
      <c r="AG403" s="299"/>
      <c r="AH403" s="299"/>
      <c r="AI403" s="299"/>
      <c r="AJ403" s="299"/>
      <c r="AK403" s="299"/>
      <c r="AL403" s="299"/>
      <c r="AM403" s="299"/>
      <c r="AN403" s="299"/>
    </row>
    <row r="404" spans="1:40" s="43" customFormat="1" ht="15" customHeight="1" x14ac:dyDescent="0.15">
      <c r="A404" s="296"/>
      <c r="B404" s="297"/>
      <c r="C404" s="298"/>
      <c r="D404" s="297"/>
      <c r="E404" s="298"/>
      <c r="F404" s="298"/>
      <c r="G404" s="298"/>
      <c r="H404" s="299"/>
      <c r="I404" s="299"/>
      <c r="J404" s="299"/>
      <c r="K404" s="299"/>
      <c r="L404" s="299"/>
      <c r="M404" s="299"/>
      <c r="N404" s="299"/>
      <c r="O404" s="299"/>
      <c r="P404" s="299"/>
      <c r="Q404" s="299"/>
      <c r="R404" s="299"/>
      <c r="S404" s="299"/>
      <c r="T404" s="299"/>
      <c r="U404" s="296"/>
      <c r="V404" s="297"/>
      <c r="W404" s="297"/>
      <c r="X404" s="297"/>
      <c r="Y404" s="299"/>
      <c r="Z404" s="299"/>
      <c r="AA404" s="299"/>
      <c r="AB404" s="298"/>
      <c r="AC404" s="299"/>
      <c r="AD404" s="299"/>
      <c r="AE404" s="299"/>
      <c r="AF404" s="299"/>
      <c r="AG404" s="299"/>
      <c r="AH404" s="299"/>
      <c r="AI404" s="299"/>
      <c r="AJ404" s="299"/>
      <c r="AK404" s="299"/>
      <c r="AL404" s="299"/>
      <c r="AM404" s="299"/>
      <c r="AN404" s="299"/>
    </row>
    <row r="405" spans="1:40" s="43" customFormat="1" ht="15" customHeight="1" x14ac:dyDescent="0.15">
      <c r="A405" s="296"/>
      <c r="B405" s="297"/>
      <c r="C405" s="298"/>
      <c r="D405" s="297"/>
      <c r="E405" s="298"/>
      <c r="F405" s="298"/>
      <c r="G405" s="298"/>
      <c r="H405" s="299"/>
      <c r="I405" s="299"/>
      <c r="J405" s="299"/>
      <c r="K405" s="299"/>
      <c r="L405" s="299"/>
      <c r="M405" s="299"/>
      <c r="N405" s="299"/>
      <c r="O405" s="299"/>
      <c r="P405" s="299"/>
      <c r="Q405" s="299"/>
      <c r="R405" s="299"/>
      <c r="S405" s="299"/>
      <c r="T405" s="299"/>
      <c r="U405" s="296"/>
      <c r="V405" s="297"/>
      <c r="W405" s="297"/>
      <c r="X405" s="297"/>
      <c r="Y405" s="299"/>
      <c r="Z405" s="299"/>
      <c r="AA405" s="299"/>
      <c r="AB405" s="298"/>
      <c r="AC405" s="299"/>
      <c r="AD405" s="299"/>
      <c r="AE405" s="299"/>
      <c r="AF405" s="299"/>
      <c r="AG405" s="299"/>
      <c r="AH405" s="299"/>
      <c r="AI405" s="299"/>
      <c r="AJ405" s="299"/>
      <c r="AK405" s="299"/>
      <c r="AL405" s="299"/>
      <c r="AM405" s="299"/>
      <c r="AN405" s="299"/>
    </row>
    <row r="406" spans="1:40" s="43" customFormat="1" ht="15" customHeight="1" x14ac:dyDescent="0.15">
      <c r="A406" s="296"/>
      <c r="B406" s="297"/>
      <c r="C406" s="298"/>
      <c r="D406" s="297"/>
      <c r="E406" s="298"/>
      <c r="F406" s="298"/>
      <c r="G406" s="298"/>
      <c r="H406" s="299"/>
      <c r="I406" s="299"/>
      <c r="J406" s="299"/>
      <c r="K406" s="299"/>
      <c r="L406" s="299"/>
      <c r="M406" s="299"/>
      <c r="N406" s="299"/>
      <c r="O406" s="299"/>
      <c r="P406" s="299"/>
      <c r="Q406" s="299"/>
      <c r="R406" s="299"/>
      <c r="S406" s="299"/>
      <c r="T406" s="299"/>
      <c r="U406" s="296"/>
      <c r="V406" s="297"/>
      <c r="W406" s="297"/>
      <c r="X406" s="297"/>
      <c r="Y406" s="299"/>
      <c r="Z406" s="299"/>
      <c r="AA406" s="299"/>
      <c r="AB406" s="298"/>
      <c r="AC406" s="299"/>
      <c r="AD406" s="299"/>
      <c r="AE406" s="299"/>
      <c r="AF406" s="299"/>
      <c r="AG406" s="299"/>
      <c r="AH406" s="299"/>
      <c r="AI406" s="299"/>
      <c r="AJ406" s="299"/>
      <c r="AK406" s="299"/>
      <c r="AL406" s="299"/>
      <c r="AM406" s="299"/>
      <c r="AN406" s="299"/>
    </row>
    <row r="407" spans="1:40" s="43" customFormat="1" ht="15" customHeight="1" x14ac:dyDescent="0.15">
      <c r="A407" s="296"/>
      <c r="B407" s="297"/>
      <c r="C407" s="298"/>
      <c r="D407" s="297"/>
      <c r="E407" s="298"/>
      <c r="F407" s="298"/>
      <c r="G407" s="298"/>
      <c r="H407" s="299"/>
      <c r="I407" s="299"/>
      <c r="J407" s="299"/>
      <c r="K407" s="299"/>
      <c r="L407" s="299"/>
      <c r="M407" s="299"/>
      <c r="N407" s="299"/>
      <c r="O407" s="299"/>
      <c r="P407" s="299"/>
      <c r="Q407" s="299"/>
      <c r="R407" s="299"/>
      <c r="S407" s="299"/>
      <c r="T407" s="299"/>
      <c r="U407" s="296"/>
      <c r="V407" s="297"/>
      <c r="W407" s="297"/>
      <c r="X407" s="297"/>
      <c r="Y407" s="299"/>
      <c r="Z407" s="299"/>
      <c r="AA407" s="299"/>
      <c r="AB407" s="298"/>
      <c r="AC407" s="299"/>
      <c r="AD407" s="299"/>
      <c r="AE407" s="299"/>
      <c r="AF407" s="299"/>
      <c r="AG407" s="299"/>
      <c r="AH407" s="299"/>
      <c r="AI407" s="299"/>
      <c r="AJ407" s="299"/>
      <c r="AK407" s="299"/>
      <c r="AL407" s="299"/>
      <c r="AM407" s="299"/>
      <c r="AN407" s="299"/>
    </row>
    <row r="408" spans="1:40" s="43" customFormat="1" ht="15" customHeight="1" x14ac:dyDescent="0.15">
      <c r="A408" s="296"/>
      <c r="B408" s="297"/>
      <c r="C408" s="298"/>
      <c r="D408" s="297"/>
      <c r="E408" s="298"/>
      <c r="F408" s="298"/>
      <c r="G408" s="298"/>
      <c r="H408" s="299"/>
      <c r="I408" s="299"/>
      <c r="J408" s="299"/>
      <c r="K408" s="299"/>
      <c r="L408" s="299"/>
      <c r="M408" s="299"/>
      <c r="N408" s="299"/>
      <c r="O408" s="299"/>
      <c r="P408" s="299"/>
      <c r="Q408" s="299"/>
      <c r="R408" s="299"/>
      <c r="S408" s="299"/>
      <c r="T408" s="299"/>
      <c r="U408" s="296"/>
      <c r="V408" s="297"/>
      <c r="W408" s="297"/>
      <c r="X408" s="297"/>
      <c r="Y408" s="299"/>
      <c r="Z408" s="299"/>
      <c r="AA408" s="299"/>
      <c r="AB408" s="298"/>
      <c r="AC408" s="299"/>
      <c r="AD408" s="299"/>
      <c r="AE408" s="299"/>
      <c r="AF408" s="299"/>
      <c r="AG408" s="299"/>
      <c r="AH408" s="299"/>
      <c r="AI408" s="299"/>
      <c r="AJ408" s="299"/>
      <c r="AK408" s="299"/>
      <c r="AL408" s="299"/>
      <c r="AM408" s="299"/>
      <c r="AN408" s="299"/>
    </row>
    <row r="409" spans="1:40" s="43" customFormat="1" ht="15" customHeight="1" x14ac:dyDescent="0.15">
      <c r="A409" s="296"/>
      <c r="B409" s="297"/>
      <c r="C409" s="298"/>
      <c r="D409" s="297"/>
      <c r="E409" s="298"/>
      <c r="F409" s="298"/>
      <c r="G409" s="298"/>
      <c r="H409" s="299"/>
      <c r="I409" s="299"/>
      <c r="J409" s="299"/>
      <c r="K409" s="299"/>
      <c r="L409" s="299"/>
      <c r="M409" s="299"/>
      <c r="N409" s="299"/>
      <c r="O409" s="299"/>
      <c r="P409" s="299"/>
      <c r="Q409" s="299"/>
      <c r="R409" s="299"/>
      <c r="S409" s="299"/>
      <c r="T409" s="299"/>
      <c r="U409" s="296"/>
      <c r="V409" s="297"/>
      <c r="W409" s="297"/>
      <c r="X409" s="297"/>
      <c r="Y409" s="299"/>
      <c r="Z409" s="299"/>
      <c r="AA409" s="299"/>
      <c r="AB409" s="298"/>
      <c r="AC409" s="299"/>
      <c r="AD409" s="299"/>
      <c r="AE409" s="299"/>
      <c r="AF409" s="299"/>
      <c r="AG409" s="299"/>
      <c r="AH409" s="299"/>
      <c r="AI409" s="299"/>
      <c r="AJ409" s="299"/>
      <c r="AK409" s="299"/>
      <c r="AL409" s="299"/>
      <c r="AM409" s="299"/>
      <c r="AN409" s="299"/>
    </row>
    <row r="410" spans="1:40" s="43" customFormat="1" ht="15" customHeight="1" x14ac:dyDescent="0.15">
      <c r="A410" s="296"/>
      <c r="B410" s="297"/>
      <c r="C410" s="298"/>
      <c r="D410" s="297"/>
      <c r="E410" s="298"/>
      <c r="F410" s="298"/>
      <c r="G410" s="298"/>
      <c r="H410" s="299"/>
      <c r="I410" s="299"/>
      <c r="J410" s="299"/>
      <c r="K410" s="299"/>
      <c r="L410" s="299"/>
      <c r="M410" s="299"/>
      <c r="N410" s="299"/>
      <c r="O410" s="299"/>
      <c r="P410" s="299"/>
      <c r="Q410" s="299"/>
      <c r="R410" s="299"/>
      <c r="S410" s="299"/>
      <c r="T410" s="299"/>
      <c r="U410" s="296"/>
      <c r="V410" s="297"/>
      <c r="W410" s="297"/>
      <c r="X410" s="297"/>
      <c r="Y410" s="299"/>
      <c r="Z410" s="299"/>
      <c r="AA410" s="299"/>
      <c r="AB410" s="298"/>
      <c r="AC410" s="299"/>
      <c r="AD410" s="299"/>
      <c r="AE410" s="299"/>
      <c r="AF410" s="299"/>
      <c r="AG410" s="299"/>
      <c r="AH410" s="299"/>
      <c r="AI410" s="299"/>
      <c r="AJ410" s="299"/>
      <c r="AK410" s="299"/>
      <c r="AL410" s="299"/>
      <c r="AM410" s="299"/>
      <c r="AN410" s="299"/>
    </row>
    <row r="411" spans="1:40" s="43" customFormat="1" ht="15" customHeight="1" x14ac:dyDescent="0.15">
      <c r="A411" s="296"/>
      <c r="B411" s="297"/>
      <c r="C411" s="298"/>
      <c r="D411" s="297"/>
      <c r="E411" s="298"/>
      <c r="F411" s="298"/>
      <c r="G411" s="298"/>
      <c r="H411" s="299"/>
      <c r="I411" s="299"/>
      <c r="J411" s="299"/>
      <c r="K411" s="299"/>
      <c r="L411" s="299"/>
      <c r="M411" s="299"/>
      <c r="N411" s="299"/>
      <c r="O411" s="299"/>
      <c r="P411" s="299"/>
      <c r="Q411" s="299"/>
      <c r="R411" s="299"/>
      <c r="S411" s="299"/>
      <c r="T411" s="299"/>
      <c r="U411" s="296"/>
      <c r="V411" s="297"/>
      <c r="W411" s="297"/>
      <c r="X411" s="297"/>
      <c r="Y411" s="299"/>
      <c r="Z411" s="299"/>
      <c r="AA411" s="299"/>
      <c r="AB411" s="298"/>
      <c r="AC411" s="299"/>
      <c r="AD411" s="299"/>
      <c r="AE411" s="299"/>
      <c r="AF411" s="299"/>
      <c r="AG411" s="299"/>
      <c r="AH411" s="299"/>
      <c r="AI411" s="299"/>
      <c r="AJ411" s="299"/>
      <c r="AK411" s="299"/>
      <c r="AL411" s="299"/>
      <c r="AM411" s="299"/>
      <c r="AN411" s="299"/>
    </row>
    <row r="412" spans="1:40" s="43" customFormat="1" ht="15" customHeight="1" x14ac:dyDescent="0.15">
      <c r="A412" s="296"/>
      <c r="B412" s="297"/>
      <c r="C412" s="298"/>
      <c r="D412" s="297"/>
      <c r="E412" s="298"/>
      <c r="F412" s="298"/>
      <c r="G412" s="298"/>
      <c r="H412" s="299"/>
      <c r="I412" s="299"/>
      <c r="J412" s="299"/>
      <c r="K412" s="299"/>
      <c r="L412" s="299"/>
      <c r="M412" s="299"/>
      <c r="N412" s="299"/>
      <c r="O412" s="299"/>
      <c r="P412" s="299"/>
      <c r="Q412" s="299"/>
      <c r="R412" s="299"/>
      <c r="S412" s="299"/>
      <c r="T412" s="299"/>
      <c r="U412" s="296"/>
      <c r="V412" s="297"/>
      <c r="W412" s="297"/>
      <c r="X412" s="297"/>
      <c r="Y412" s="299"/>
      <c r="Z412" s="299"/>
      <c r="AA412" s="299"/>
      <c r="AB412" s="298"/>
      <c r="AC412" s="299"/>
      <c r="AD412" s="299"/>
      <c r="AE412" s="299"/>
      <c r="AF412" s="299"/>
      <c r="AG412" s="299"/>
      <c r="AH412" s="299"/>
      <c r="AI412" s="299"/>
      <c r="AJ412" s="299"/>
      <c r="AK412" s="299"/>
      <c r="AL412" s="299"/>
      <c r="AM412" s="299"/>
      <c r="AN412" s="299"/>
    </row>
    <row r="413" spans="1:40" s="43" customFormat="1" ht="15" customHeight="1" x14ac:dyDescent="0.15">
      <c r="A413" s="296"/>
      <c r="B413" s="297"/>
      <c r="C413" s="298"/>
      <c r="D413" s="297"/>
      <c r="E413" s="298"/>
      <c r="F413" s="298"/>
      <c r="G413" s="298"/>
      <c r="H413" s="299"/>
      <c r="I413" s="299"/>
      <c r="J413" s="299"/>
      <c r="K413" s="299"/>
      <c r="L413" s="299"/>
      <c r="M413" s="299"/>
      <c r="N413" s="299"/>
      <c r="O413" s="299"/>
      <c r="P413" s="299"/>
      <c r="Q413" s="299"/>
      <c r="R413" s="299"/>
      <c r="S413" s="299"/>
      <c r="T413" s="299"/>
      <c r="U413" s="296"/>
      <c r="V413" s="297"/>
      <c r="W413" s="297"/>
      <c r="X413" s="297"/>
      <c r="Y413" s="299"/>
      <c r="Z413" s="299"/>
      <c r="AA413" s="299"/>
      <c r="AB413" s="298"/>
      <c r="AC413" s="299"/>
      <c r="AD413" s="299"/>
      <c r="AE413" s="299"/>
      <c r="AF413" s="299"/>
      <c r="AG413" s="299"/>
      <c r="AH413" s="299"/>
      <c r="AI413" s="299"/>
      <c r="AJ413" s="299"/>
      <c r="AK413" s="299"/>
      <c r="AL413" s="299"/>
      <c r="AM413" s="299"/>
      <c r="AN413" s="299"/>
    </row>
    <row r="414" spans="1:40" s="43" customFormat="1" ht="15" customHeight="1" x14ac:dyDescent="0.15">
      <c r="A414" s="296"/>
      <c r="B414" s="297"/>
      <c r="C414" s="298"/>
      <c r="D414" s="297"/>
      <c r="E414" s="298"/>
      <c r="F414" s="298"/>
      <c r="G414" s="298"/>
      <c r="H414" s="299"/>
      <c r="I414" s="299"/>
      <c r="J414" s="299"/>
      <c r="K414" s="299"/>
      <c r="L414" s="299"/>
      <c r="M414" s="299"/>
      <c r="N414" s="299"/>
      <c r="O414" s="299"/>
      <c r="P414" s="299"/>
      <c r="Q414" s="299"/>
      <c r="R414" s="299"/>
      <c r="S414" s="299"/>
      <c r="T414" s="299"/>
      <c r="U414" s="296"/>
      <c r="V414" s="297"/>
      <c r="W414" s="297"/>
      <c r="X414" s="297"/>
      <c r="Y414" s="299"/>
      <c r="Z414" s="299"/>
      <c r="AA414" s="299"/>
      <c r="AB414" s="298"/>
      <c r="AC414" s="299"/>
      <c r="AD414" s="299"/>
      <c r="AE414" s="299"/>
      <c r="AF414" s="299"/>
      <c r="AG414" s="299"/>
      <c r="AH414" s="299"/>
      <c r="AI414" s="299"/>
      <c r="AJ414" s="299"/>
      <c r="AK414" s="299"/>
      <c r="AL414" s="299"/>
      <c r="AM414" s="299"/>
      <c r="AN414" s="299"/>
    </row>
    <row r="415" spans="1:40" s="43" customFormat="1" ht="15" customHeight="1" x14ac:dyDescent="0.15">
      <c r="A415" s="296"/>
      <c r="B415" s="297"/>
      <c r="C415" s="298"/>
      <c r="D415" s="297"/>
      <c r="E415" s="298"/>
      <c r="F415" s="298"/>
      <c r="G415" s="298"/>
      <c r="H415" s="299"/>
      <c r="I415" s="299"/>
      <c r="J415" s="299"/>
      <c r="K415" s="299"/>
      <c r="L415" s="299"/>
      <c r="M415" s="299"/>
      <c r="N415" s="299"/>
      <c r="O415" s="299"/>
      <c r="P415" s="299"/>
      <c r="Q415" s="299"/>
      <c r="R415" s="299"/>
      <c r="S415" s="299"/>
      <c r="T415" s="299"/>
      <c r="U415" s="296"/>
      <c r="V415" s="297"/>
      <c r="W415" s="297"/>
      <c r="X415" s="297"/>
      <c r="Y415" s="299"/>
      <c r="Z415" s="299"/>
      <c r="AA415" s="299"/>
      <c r="AB415" s="298"/>
      <c r="AC415" s="299"/>
      <c r="AD415" s="299"/>
      <c r="AE415" s="299"/>
      <c r="AF415" s="299"/>
      <c r="AG415" s="299"/>
      <c r="AH415" s="299"/>
      <c r="AI415" s="299"/>
      <c r="AJ415" s="299"/>
      <c r="AK415" s="299"/>
      <c r="AL415" s="299"/>
      <c r="AM415" s="299"/>
      <c r="AN415" s="299"/>
    </row>
    <row r="416" spans="1:40" s="43" customFormat="1" ht="15" customHeight="1" x14ac:dyDescent="0.15">
      <c r="A416" s="296"/>
      <c r="B416" s="297"/>
      <c r="C416" s="298"/>
      <c r="D416" s="297"/>
      <c r="E416" s="298"/>
      <c r="F416" s="298"/>
      <c r="G416" s="298"/>
      <c r="H416" s="299"/>
      <c r="I416" s="299"/>
      <c r="J416" s="299"/>
      <c r="K416" s="299"/>
      <c r="L416" s="299"/>
      <c r="M416" s="299"/>
      <c r="N416" s="299"/>
      <c r="O416" s="299"/>
      <c r="P416" s="299"/>
      <c r="Q416" s="299"/>
      <c r="R416" s="299"/>
      <c r="S416" s="299"/>
      <c r="T416" s="299"/>
      <c r="U416" s="296"/>
      <c r="V416" s="297"/>
      <c r="W416" s="297"/>
      <c r="X416" s="297"/>
      <c r="Y416" s="299"/>
      <c r="Z416" s="299"/>
      <c r="AA416" s="299"/>
      <c r="AB416" s="298"/>
      <c r="AC416" s="299"/>
      <c r="AD416" s="299"/>
      <c r="AE416" s="299"/>
      <c r="AF416" s="299"/>
      <c r="AG416" s="299"/>
      <c r="AH416" s="299"/>
      <c r="AI416" s="299"/>
      <c r="AJ416" s="299"/>
      <c r="AK416" s="299"/>
      <c r="AL416" s="299"/>
      <c r="AM416" s="299"/>
      <c r="AN416" s="299"/>
    </row>
    <row r="417" spans="1:40" s="43" customFormat="1" ht="15" customHeight="1" x14ac:dyDescent="0.15">
      <c r="A417" s="296"/>
      <c r="B417" s="297"/>
      <c r="C417" s="298"/>
      <c r="D417" s="297"/>
      <c r="E417" s="298"/>
      <c r="F417" s="298"/>
      <c r="G417" s="298"/>
      <c r="H417" s="299"/>
      <c r="I417" s="299"/>
      <c r="J417" s="299"/>
      <c r="K417" s="299"/>
      <c r="L417" s="299"/>
      <c r="M417" s="299"/>
      <c r="N417" s="299"/>
      <c r="O417" s="299"/>
      <c r="P417" s="299"/>
      <c r="Q417" s="299"/>
      <c r="R417" s="299"/>
      <c r="S417" s="299"/>
      <c r="T417" s="299"/>
      <c r="U417" s="296"/>
      <c r="V417" s="297"/>
      <c r="W417" s="297"/>
      <c r="X417" s="297"/>
      <c r="Y417" s="299"/>
      <c r="Z417" s="299"/>
      <c r="AA417" s="299"/>
      <c r="AB417" s="298"/>
      <c r="AC417" s="299"/>
      <c r="AD417" s="299"/>
      <c r="AE417" s="299"/>
      <c r="AF417" s="299"/>
      <c r="AG417" s="299"/>
      <c r="AH417" s="299"/>
      <c r="AI417" s="299"/>
      <c r="AJ417" s="299"/>
      <c r="AK417" s="299"/>
      <c r="AL417" s="299"/>
      <c r="AM417" s="299"/>
      <c r="AN417" s="299"/>
    </row>
    <row r="418" spans="1:40" s="43" customFormat="1" ht="15" customHeight="1" x14ac:dyDescent="0.15">
      <c r="A418" s="296"/>
      <c r="B418" s="297"/>
      <c r="C418" s="298"/>
      <c r="D418" s="297"/>
      <c r="E418" s="298"/>
      <c r="F418" s="298"/>
      <c r="G418" s="298"/>
      <c r="H418" s="299"/>
      <c r="I418" s="299"/>
      <c r="J418" s="299"/>
      <c r="K418" s="299"/>
      <c r="L418" s="299"/>
      <c r="M418" s="299"/>
      <c r="N418" s="299"/>
      <c r="O418" s="299"/>
      <c r="P418" s="299"/>
      <c r="Q418" s="299"/>
      <c r="R418" s="299"/>
      <c r="S418" s="299"/>
      <c r="T418" s="299"/>
      <c r="U418" s="296"/>
      <c r="V418" s="297"/>
      <c r="W418" s="297"/>
      <c r="X418" s="297"/>
      <c r="Y418" s="299"/>
      <c r="Z418" s="299"/>
      <c r="AA418" s="299"/>
      <c r="AB418" s="298"/>
      <c r="AC418" s="299"/>
      <c r="AD418" s="299"/>
      <c r="AE418" s="299"/>
      <c r="AF418" s="299"/>
      <c r="AG418" s="299"/>
      <c r="AH418" s="299"/>
      <c r="AI418" s="299"/>
      <c r="AJ418" s="299"/>
      <c r="AK418" s="299"/>
      <c r="AL418" s="299"/>
      <c r="AM418" s="299"/>
      <c r="AN418" s="299"/>
    </row>
    <row r="419" spans="1:40" s="43" customFormat="1" ht="15" customHeight="1" x14ac:dyDescent="0.15">
      <c r="A419" s="296"/>
      <c r="B419" s="297"/>
      <c r="C419" s="298"/>
      <c r="D419" s="297"/>
      <c r="E419" s="298"/>
      <c r="F419" s="298"/>
      <c r="G419" s="298"/>
      <c r="H419" s="299"/>
      <c r="I419" s="299"/>
      <c r="J419" s="299"/>
      <c r="K419" s="299"/>
      <c r="L419" s="299"/>
      <c r="M419" s="299"/>
      <c r="N419" s="299"/>
      <c r="O419" s="299"/>
      <c r="P419" s="299"/>
      <c r="Q419" s="299"/>
      <c r="R419" s="299"/>
      <c r="S419" s="299"/>
      <c r="T419" s="299"/>
      <c r="U419" s="296"/>
      <c r="V419" s="297"/>
      <c r="W419" s="297"/>
      <c r="X419" s="297"/>
      <c r="Y419" s="299"/>
      <c r="Z419" s="299"/>
      <c r="AA419" s="299"/>
      <c r="AB419" s="298"/>
      <c r="AC419" s="299"/>
      <c r="AD419" s="299"/>
      <c r="AE419" s="299"/>
      <c r="AF419" s="299"/>
      <c r="AG419" s="299"/>
      <c r="AH419" s="299"/>
      <c r="AI419" s="299"/>
      <c r="AJ419" s="299"/>
      <c r="AK419" s="299"/>
      <c r="AL419" s="299"/>
      <c r="AM419" s="299"/>
      <c r="AN419" s="299"/>
    </row>
    <row r="420" spans="1:40" s="43" customFormat="1" ht="15" customHeight="1" x14ac:dyDescent="0.15">
      <c r="A420" s="296"/>
      <c r="B420" s="297"/>
      <c r="C420" s="298"/>
      <c r="D420" s="297"/>
      <c r="E420" s="298"/>
      <c r="F420" s="298"/>
      <c r="G420" s="298"/>
      <c r="H420" s="299"/>
      <c r="I420" s="299"/>
      <c r="J420" s="299"/>
      <c r="K420" s="299"/>
      <c r="L420" s="299"/>
      <c r="M420" s="299"/>
      <c r="N420" s="299"/>
      <c r="O420" s="299"/>
      <c r="P420" s="299"/>
      <c r="Q420" s="299"/>
      <c r="R420" s="299"/>
      <c r="S420" s="299"/>
      <c r="T420" s="299"/>
      <c r="U420" s="296"/>
      <c r="V420" s="297"/>
      <c r="W420" s="297"/>
      <c r="X420" s="297"/>
      <c r="Y420" s="299"/>
      <c r="Z420" s="299"/>
      <c r="AA420" s="299"/>
      <c r="AB420" s="298"/>
      <c r="AC420" s="299"/>
      <c r="AD420" s="299"/>
      <c r="AE420" s="299"/>
      <c r="AF420" s="299"/>
      <c r="AG420" s="299"/>
      <c r="AH420" s="299"/>
      <c r="AI420" s="299"/>
      <c r="AJ420" s="299"/>
      <c r="AK420" s="299"/>
      <c r="AL420" s="299"/>
      <c r="AM420" s="299"/>
      <c r="AN420" s="299"/>
    </row>
    <row r="421" spans="1:40" s="43" customFormat="1" ht="15" customHeight="1" x14ac:dyDescent="0.15">
      <c r="A421" s="296"/>
      <c r="B421" s="297"/>
      <c r="C421" s="298"/>
      <c r="D421" s="297"/>
      <c r="E421" s="298"/>
      <c r="F421" s="298"/>
      <c r="G421" s="298"/>
      <c r="H421" s="299"/>
      <c r="I421" s="299"/>
      <c r="J421" s="299"/>
      <c r="K421" s="299"/>
      <c r="L421" s="299"/>
      <c r="M421" s="299"/>
      <c r="N421" s="299"/>
      <c r="O421" s="299"/>
      <c r="P421" s="299"/>
      <c r="Q421" s="299"/>
      <c r="R421" s="299"/>
      <c r="S421" s="299"/>
      <c r="T421" s="299"/>
      <c r="U421" s="296"/>
      <c r="V421" s="297"/>
      <c r="W421" s="297"/>
      <c r="X421" s="297"/>
      <c r="Y421" s="299"/>
      <c r="Z421" s="299"/>
      <c r="AA421" s="299"/>
      <c r="AB421" s="298"/>
      <c r="AC421" s="299"/>
      <c r="AD421" s="299"/>
      <c r="AE421" s="299"/>
      <c r="AF421" s="299"/>
      <c r="AG421" s="299"/>
      <c r="AH421" s="299"/>
      <c r="AI421" s="299"/>
      <c r="AJ421" s="299"/>
      <c r="AK421" s="299"/>
      <c r="AL421" s="299"/>
      <c r="AM421" s="299"/>
      <c r="AN421" s="299"/>
    </row>
    <row r="422" spans="1:40" s="43" customFormat="1" ht="15" customHeight="1" x14ac:dyDescent="0.15">
      <c r="A422" s="296"/>
      <c r="B422" s="297"/>
      <c r="C422" s="298"/>
      <c r="D422" s="297"/>
      <c r="E422" s="298"/>
      <c r="F422" s="298"/>
      <c r="G422" s="298"/>
      <c r="H422" s="299"/>
      <c r="I422" s="299"/>
      <c r="J422" s="299"/>
      <c r="K422" s="299"/>
      <c r="L422" s="299"/>
      <c r="M422" s="299"/>
      <c r="N422" s="299"/>
      <c r="O422" s="299"/>
      <c r="P422" s="299"/>
      <c r="Q422" s="299"/>
      <c r="R422" s="299"/>
      <c r="S422" s="299"/>
      <c r="T422" s="299"/>
      <c r="U422" s="296"/>
      <c r="V422" s="297"/>
      <c r="W422" s="297"/>
      <c r="X422" s="297"/>
      <c r="Y422" s="299"/>
      <c r="Z422" s="299"/>
      <c r="AA422" s="299"/>
      <c r="AB422" s="298"/>
      <c r="AC422" s="299"/>
      <c r="AD422" s="299"/>
      <c r="AE422" s="299"/>
      <c r="AF422" s="299"/>
      <c r="AG422" s="299"/>
      <c r="AH422" s="299"/>
      <c r="AI422" s="299"/>
      <c r="AJ422" s="299"/>
      <c r="AK422" s="299"/>
      <c r="AL422" s="299"/>
      <c r="AM422" s="299"/>
      <c r="AN422" s="299"/>
    </row>
    <row r="423" spans="1:40" s="43" customFormat="1" ht="15" customHeight="1" x14ac:dyDescent="0.15">
      <c r="A423" s="296"/>
      <c r="B423" s="297"/>
      <c r="C423" s="298"/>
      <c r="D423" s="297"/>
      <c r="E423" s="298"/>
      <c r="F423" s="298"/>
      <c r="G423" s="298"/>
      <c r="H423" s="299"/>
      <c r="I423" s="299"/>
      <c r="J423" s="299"/>
      <c r="K423" s="299"/>
      <c r="L423" s="299"/>
      <c r="M423" s="299"/>
      <c r="N423" s="299"/>
      <c r="O423" s="299"/>
      <c r="P423" s="299"/>
      <c r="Q423" s="299"/>
      <c r="R423" s="299"/>
      <c r="S423" s="299"/>
      <c r="T423" s="299"/>
      <c r="U423" s="296"/>
      <c r="V423" s="297"/>
      <c r="W423" s="297"/>
      <c r="X423" s="297"/>
      <c r="Y423" s="299"/>
      <c r="Z423" s="299"/>
      <c r="AA423" s="299"/>
      <c r="AB423" s="298"/>
      <c r="AC423" s="299"/>
      <c r="AD423" s="299"/>
      <c r="AE423" s="299"/>
      <c r="AF423" s="299"/>
      <c r="AG423" s="299"/>
      <c r="AH423" s="299"/>
      <c r="AI423" s="299"/>
      <c r="AJ423" s="299"/>
      <c r="AK423" s="299"/>
      <c r="AL423" s="299"/>
      <c r="AM423" s="299"/>
      <c r="AN423" s="299"/>
    </row>
    <row r="424" spans="1:40" s="43" customFormat="1" ht="15" customHeight="1" x14ac:dyDescent="0.15">
      <c r="A424" s="296"/>
      <c r="B424" s="297"/>
      <c r="C424" s="298"/>
      <c r="D424" s="297"/>
      <c r="E424" s="298"/>
      <c r="F424" s="298"/>
      <c r="G424" s="298"/>
      <c r="H424" s="299"/>
      <c r="I424" s="299"/>
      <c r="J424" s="299"/>
      <c r="K424" s="299"/>
      <c r="L424" s="299"/>
      <c r="M424" s="299"/>
      <c r="N424" s="299"/>
      <c r="O424" s="299"/>
      <c r="P424" s="299"/>
      <c r="Q424" s="299"/>
      <c r="R424" s="299"/>
      <c r="S424" s="299"/>
      <c r="T424" s="299"/>
      <c r="U424" s="296"/>
      <c r="V424" s="297"/>
      <c r="W424" s="297"/>
      <c r="X424" s="297"/>
      <c r="Y424" s="299"/>
      <c r="Z424" s="299"/>
      <c r="AA424" s="299"/>
      <c r="AB424" s="298"/>
      <c r="AC424" s="299"/>
      <c r="AD424" s="299"/>
      <c r="AE424" s="299"/>
      <c r="AF424" s="299"/>
      <c r="AG424" s="299"/>
      <c r="AH424" s="299"/>
      <c r="AI424" s="299"/>
      <c r="AJ424" s="299"/>
      <c r="AK424" s="299"/>
      <c r="AL424" s="299"/>
      <c r="AM424" s="299"/>
      <c r="AN424" s="299"/>
    </row>
    <row r="425" spans="1:40" s="43" customFormat="1" ht="15" customHeight="1" x14ac:dyDescent="0.15">
      <c r="A425" s="296"/>
      <c r="B425" s="297"/>
      <c r="C425" s="298"/>
      <c r="D425" s="297"/>
      <c r="E425" s="298"/>
      <c r="F425" s="298"/>
      <c r="G425" s="298"/>
      <c r="H425" s="299"/>
      <c r="I425" s="299"/>
      <c r="J425" s="299"/>
      <c r="K425" s="299"/>
      <c r="L425" s="299"/>
      <c r="M425" s="299"/>
      <c r="N425" s="299"/>
      <c r="O425" s="299"/>
      <c r="P425" s="299"/>
      <c r="Q425" s="299"/>
      <c r="R425" s="299"/>
      <c r="S425" s="299"/>
      <c r="T425" s="299"/>
      <c r="U425" s="296"/>
      <c r="V425" s="297"/>
      <c r="W425" s="297"/>
      <c r="X425" s="297"/>
      <c r="Y425" s="299"/>
      <c r="Z425" s="299"/>
      <c r="AA425" s="299"/>
      <c r="AB425" s="298"/>
      <c r="AC425" s="299"/>
      <c r="AD425" s="299"/>
      <c r="AE425" s="299"/>
      <c r="AF425" s="299"/>
      <c r="AG425" s="299"/>
      <c r="AH425" s="299"/>
      <c r="AI425" s="299"/>
      <c r="AJ425" s="299"/>
      <c r="AK425" s="299"/>
      <c r="AL425" s="299"/>
      <c r="AM425" s="299"/>
      <c r="AN425" s="299"/>
    </row>
    <row r="426" spans="1:40" s="43" customFormat="1" ht="15" customHeight="1" x14ac:dyDescent="0.15">
      <c r="A426" s="296"/>
      <c r="B426" s="297"/>
      <c r="C426" s="298"/>
      <c r="D426" s="297"/>
      <c r="E426" s="298"/>
      <c r="F426" s="298"/>
      <c r="G426" s="298"/>
      <c r="H426" s="299"/>
      <c r="I426" s="299"/>
      <c r="J426" s="299"/>
      <c r="K426" s="299"/>
      <c r="L426" s="299"/>
      <c r="M426" s="299"/>
      <c r="N426" s="299"/>
      <c r="O426" s="299"/>
      <c r="P426" s="299"/>
      <c r="Q426" s="299"/>
      <c r="R426" s="299"/>
      <c r="S426" s="299"/>
      <c r="T426" s="299"/>
      <c r="U426" s="296"/>
      <c r="V426" s="297"/>
      <c r="W426" s="297"/>
      <c r="X426" s="297"/>
      <c r="Y426" s="299"/>
      <c r="Z426" s="299"/>
      <c r="AA426" s="299"/>
      <c r="AB426" s="298"/>
      <c r="AC426" s="299"/>
      <c r="AD426" s="299"/>
      <c r="AE426" s="299"/>
      <c r="AF426" s="299"/>
      <c r="AG426" s="299"/>
      <c r="AH426" s="299"/>
      <c r="AI426" s="299"/>
      <c r="AJ426" s="299"/>
      <c r="AK426" s="299"/>
      <c r="AL426" s="299"/>
      <c r="AM426" s="299"/>
      <c r="AN426" s="299"/>
    </row>
    <row r="427" spans="1:40" s="43" customFormat="1" ht="15" customHeight="1" x14ac:dyDescent="0.15">
      <c r="A427" s="296"/>
      <c r="B427" s="297"/>
      <c r="C427" s="298"/>
      <c r="D427" s="297"/>
      <c r="E427" s="298"/>
      <c r="F427" s="298"/>
      <c r="G427" s="298"/>
      <c r="H427" s="299"/>
      <c r="I427" s="299"/>
      <c r="J427" s="299"/>
      <c r="K427" s="299"/>
      <c r="L427" s="299"/>
      <c r="M427" s="299"/>
      <c r="N427" s="299"/>
      <c r="O427" s="299"/>
      <c r="P427" s="299"/>
      <c r="Q427" s="299"/>
      <c r="R427" s="299"/>
      <c r="S427" s="299"/>
      <c r="T427" s="299"/>
      <c r="U427" s="296"/>
      <c r="V427" s="297"/>
      <c r="W427" s="297"/>
      <c r="X427" s="297"/>
      <c r="Y427" s="299"/>
      <c r="Z427" s="299"/>
      <c r="AA427" s="299"/>
      <c r="AB427" s="298"/>
      <c r="AC427" s="299"/>
      <c r="AD427" s="299"/>
      <c r="AE427" s="299"/>
      <c r="AF427" s="299"/>
      <c r="AG427" s="299"/>
      <c r="AH427" s="299"/>
      <c r="AI427" s="299"/>
      <c r="AJ427" s="299"/>
      <c r="AK427" s="299"/>
      <c r="AL427" s="299"/>
      <c r="AM427" s="299"/>
      <c r="AN427" s="299"/>
    </row>
    <row r="428" spans="1:40" s="43" customFormat="1" ht="15" customHeight="1" x14ac:dyDescent="0.15">
      <c r="A428" s="296"/>
      <c r="B428" s="297"/>
      <c r="C428" s="298"/>
      <c r="D428" s="297"/>
      <c r="E428" s="298"/>
      <c r="F428" s="298"/>
      <c r="G428" s="298"/>
      <c r="H428" s="299"/>
      <c r="I428" s="299"/>
      <c r="J428" s="299"/>
      <c r="K428" s="299"/>
      <c r="L428" s="299"/>
      <c r="M428" s="299"/>
      <c r="N428" s="299"/>
      <c r="O428" s="299"/>
      <c r="P428" s="299"/>
      <c r="Q428" s="299"/>
      <c r="R428" s="299"/>
      <c r="S428" s="299"/>
      <c r="T428" s="299"/>
      <c r="U428" s="296"/>
      <c r="V428" s="297"/>
      <c r="W428" s="297"/>
      <c r="X428" s="297"/>
      <c r="Y428" s="299"/>
      <c r="Z428" s="299"/>
      <c r="AA428" s="299"/>
      <c r="AB428" s="298"/>
      <c r="AC428" s="299"/>
      <c r="AD428" s="299"/>
      <c r="AE428" s="299"/>
      <c r="AF428" s="299"/>
      <c r="AG428" s="299"/>
      <c r="AH428" s="299"/>
      <c r="AI428" s="299"/>
      <c r="AJ428" s="299"/>
      <c r="AK428" s="299"/>
      <c r="AL428" s="299"/>
      <c r="AM428" s="299"/>
      <c r="AN428" s="299"/>
    </row>
    <row r="429" spans="1:40" s="43" customFormat="1" ht="15" customHeight="1" x14ac:dyDescent="0.15">
      <c r="A429" s="296"/>
      <c r="B429" s="297"/>
      <c r="C429" s="298"/>
      <c r="D429" s="297"/>
      <c r="E429" s="298"/>
      <c r="F429" s="298"/>
      <c r="G429" s="298"/>
      <c r="H429" s="299"/>
      <c r="I429" s="299"/>
      <c r="J429" s="299"/>
      <c r="K429" s="299"/>
      <c r="L429" s="299"/>
      <c r="M429" s="299"/>
      <c r="N429" s="299"/>
      <c r="O429" s="299"/>
      <c r="P429" s="299"/>
      <c r="Q429" s="299"/>
      <c r="R429" s="299"/>
      <c r="S429" s="299"/>
      <c r="T429" s="299"/>
      <c r="U429" s="296"/>
      <c r="V429" s="297"/>
      <c r="W429" s="297"/>
      <c r="X429" s="297"/>
      <c r="Y429" s="299"/>
      <c r="Z429" s="299"/>
      <c r="AA429" s="299"/>
      <c r="AB429" s="298"/>
      <c r="AC429" s="299"/>
      <c r="AD429" s="299"/>
      <c r="AE429" s="299"/>
      <c r="AF429" s="299"/>
      <c r="AG429" s="299"/>
      <c r="AH429" s="299"/>
      <c r="AI429" s="299"/>
      <c r="AJ429" s="299"/>
      <c r="AK429" s="299"/>
      <c r="AL429" s="299"/>
      <c r="AM429" s="299"/>
      <c r="AN429" s="299"/>
    </row>
    <row r="430" spans="1:40" s="43" customFormat="1" ht="15" customHeight="1" x14ac:dyDescent="0.15">
      <c r="A430" s="296"/>
      <c r="B430" s="297"/>
      <c r="C430" s="298"/>
      <c r="D430" s="297"/>
      <c r="E430" s="298"/>
      <c r="F430" s="298"/>
      <c r="G430" s="298"/>
      <c r="H430" s="299"/>
      <c r="I430" s="299"/>
      <c r="J430" s="299"/>
      <c r="K430" s="299"/>
      <c r="L430" s="299"/>
      <c r="M430" s="299"/>
      <c r="N430" s="299"/>
      <c r="O430" s="299"/>
      <c r="P430" s="299"/>
      <c r="Q430" s="299"/>
      <c r="R430" s="299"/>
      <c r="S430" s="299"/>
      <c r="T430" s="299"/>
      <c r="U430" s="296"/>
      <c r="V430" s="297"/>
      <c r="W430" s="297"/>
      <c r="X430" s="297"/>
      <c r="Y430" s="299"/>
      <c r="Z430" s="299"/>
      <c r="AA430" s="299"/>
      <c r="AB430" s="298"/>
      <c r="AC430" s="299"/>
      <c r="AD430" s="299"/>
      <c r="AE430" s="299"/>
      <c r="AF430" s="299"/>
      <c r="AG430" s="299"/>
      <c r="AH430" s="299"/>
      <c r="AI430" s="299"/>
      <c r="AJ430" s="299"/>
      <c r="AK430" s="299"/>
      <c r="AL430" s="299"/>
      <c r="AM430" s="299"/>
      <c r="AN430" s="299"/>
    </row>
    <row r="431" spans="1:40" s="43" customFormat="1" ht="15" customHeight="1" x14ac:dyDescent="0.15">
      <c r="A431" s="296"/>
      <c r="B431" s="297"/>
      <c r="C431" s="298"/>
      <c r="D431" s="297"/>
      <c r="E431" s="298"/>
      <c r="F431" s="298"/>
      <c r="G431" s="298"/>
      <c r="H431" s="299"/>
      <c r="I431" s="299"/>
      <c r="J431" s="299"/>
      <c r="K431" s="299"/>
      <c r="L431" s="299"/>
      <c r="M431" s="299"/>
      <c r="N431" s="299"/>
      <c r="O431" s="299"/>
      <c r="P431" s="299"/>
      <c r="Q431" s="299"/>
      <c r="R431" s="299"/>
      <c r="S431" s="299"/>
      <c r="T431" s="299"/>
      <c r="U431" s="296"/>
      <c r="V431" s="297"/>
      <c r="W431" s="297"/>
      <c r="X431" s="297"/>
      <c r="Y431" s="299"/>
      <c r="Z431" s="299"/>
      <c r="AA431" s="299"/>
      <c r="AB431" s="298"/>
      <c r="AC431" s="299"/>
      <c r="AD431" s="299"/>
      <c r="AE431" s="299"/>
      <c r="AF431" s="299"/>
      <c r="AG431" s="299"/>
      <c r="AH431" s="299"/>
      <c r="AI431" s="299"/>
      <c r="AJ431" s="299"/>
      <c r="AK431" s="299"/>
      <c r="AL431" s="299"/>
      <c r="AM431" s="299"/>
      <c r="AN431" s="299"/>
    </row>
    <row r="432" spans="1:40" s="43" customFormat="1" ht="15" customHeight="1" x14ac:dyDescent="0.15">
      <c r="A432" s="296"/>
      <c r="B432" s="297"/>
      <c r="C432" s="298"/>
      <c r="D432" s="297"/>
      <c r="E432" s="298"/>
      <c r="F432" s="298"/>
      <c r="G432" s="298"/>
      <c r="H432" s="299"/>
      <c r="I432" s="299"/>
      <c r="J432" s="299"/>
      <c r="K432" s="299"/>
      <c r="L432" s="299"/>
      <c r="M432" s="299"/>
      <c r="N432" s="299"/>
      <c r="O432" s="299"/>
      <c r="P432" s="299"/>
      <c r="Q432" s="299"/>
      <c r="R432" s="299"/>
      <c r="S432" s="299"/>
      <c r="T432" s="299"/>
      <c r="U432" s="296"/>
      <c r="V432" s="297"/>
      <c r="W432" s="297"/>
      <c r="X432" s="297"/>
      <c r="Y432" s="299"/>
      <c r="Z432" s="299"/>
      <c r="AA432" s="299"/>
      <c r="AB432" s="298"/>
      <c r="AC432" s="299"/>
      <c r="AD432" s="299"/>
      <c r="AE432" s="299"/>
      <c r="AF432" s="299"/>
      <c r="AG432" s="299"/>
      <c r="AH432" s="299"/>
      <c r="AI432" s="299"/>
      <c r="AJ432" s="299"/>
      <c r="AK432" s="299"/>
      <c r="AL432" s="299"/>
      <c r="AM432" s="299"/>
      <c r="AN432" s="299"/>
    </row>
    <row r="433" spans="1:40" s="43" customFormat="1" ht="15" customHeight="1" x14ac:dyDescent="0.15">
      <c r="A433" s="296"/>
      <c r="B433" s="297"/>
      <c r="C433" s="298"/>
      <c r="D433" s="297"/>
      <c r="E433" s="298"/>
      <c r="F433" s="298"/>
      <c r="G433" s="298"/>
      <c r="H433" s="299"/>
      <c r="I433" s="299"/>
      <c r="J433" s="299"/>
      <c r="K433" s="299"/>
      <c r="L433" s="299"/>
      <c r="M433" s="299"/>
      <c r="N433" s="299"/>
      <c r="O433" s="299"/>
      <c r="P433" s="299"/>
      <c r="Q433" s="299"/>
      <c r="R433" s="299"/>
      <c r="S433" s="299"/>
      <c r="T433" s="299"/>
      <c r="U433" s="296"/>
      <c r="V433" s="297"/>
      <c r="W433" s="297"/>
      <c r="X433" s="297"/>
      <c r="Y433" s="299"/>
      <c r="Z433" s="299"/>
      <c r="AA433" s="299"/>
      <c r="AB433" s="298"/>
      <c r="AC433" s="299"/>
      <c r="AD433" s="299"/>
      <c r="AE433" s="299"/>
      <c r="AF433" s="299"/>
      <c r="AG433" s="299"/>
      <c r="AH433" s="299"/>
      <c r="AI433" s="299"/>
      <c r="AJ433" s="299"/>
      <c r="AK433" s="299"/>
      <c r="AL433" s="299"/>
      <c r="AM433" s="299"/>
      <c r="AN433" s="299"/>
    </row>
    <row r="434" spans="1:40" s="43" customFormat="1" ht="15" customHeight="1" x14ac:dyDescent="0.15">
      <c r="A434" s="296"/>
      <c r="B434" s="297"/>
      <c r="C434" s="298"/>
      <c r="D434" s="297"/>
      <c r="E434" s="298"/>
      <c r="F434" s="298"/>
      <c r="G434" s="298"/>
      <c r="H434" s="299"/>
      <c r="I434" s="299"/>
      <c r="J434" s="299"/>
      <c r="K434" s="299"/>
      <c r="L434" s="299"/>
      <c r="M434" s="299"/>
      <c r="N434" s="299"/>
      <c r="O434" s="299"/>
      <c r="P434" s="299"/>
      <c r="Q434" s="299"/>
      <c r="R434" s="299"/>
      <c r="S434" s="299"/>
      <c r="T434" s="299"/>
      <c r="U434" s="296"/>
      <c r="V434" s="297"/>
      <c r="W434" s="297"/>
      <c r="X434" s="297"/>
      <c r="Y434" s="299"/>
      <c r="Z434" s="299"/>
      <c r="AA434" s="299"/>
      <c r="AB434" s="298"/>
      <c r="AC434" s="299"/>
      <c r="AD434" s="299"/>
      <c r="AE434" s="299"/>
      <c r="AF434" s="299"/>
      <c r="AG434" s="299"/>
      <c r="AH434" s="299"/>
      <c r="AI434" s="299"/>
      <c r="AJ434" s="299"/>
      <c r="AK434" s="299"/>
      <c r="AL434" s="299"/>
      <c r="AM434" s="299"/>
      <c r="AN434" s="299"/>
    </row>
    <row r="435" spans="1:40" s="43" customFormat="1" ht="15" customHeight="1" x14ac:dyDescent="0.15">
      <c r="A435" s="296"/>
      <c r="B435" s="297"/>
      <c r="C435" s="298"/>
      <c r="D435" s="297"/>
      <c r="E435" s="298"/>
      <c r="F435" s="298"/>
      <c r="G435" s="298"/>
      <c r="H435" s="299"/>
      <c r="I435" s="299"/>
      <c r="J435" s="299"/>
      <c r="K435" s="299"/>
      <c r="L435" s="299"/>
      <c r="M435" s="299"/>
      <c r="N435" s="299"/>
      <c r="O435" s="299"/>
      <c r="P435" s="299"/>
      <c r="Q435" s="299"/>
      <c r="R435" s="299"/>
      <c r="S435" s="299"/>
      <c r="T435" s="299"/>
      <c r="U435" s="296"/>
      <c r="V435" s="297"/>
      <c r="W435" s="297"/>
      <c r="X435" s="297"/>
      <c r="Y435" s="299"/>
      <c r="Z435" s="299"/>
      <c r="AA435" s="299"/>
      <c r="AB435" s="298"/>
      <c r="AC435" s="299"/>
      <c r="AD435" s="299"/>
      <c r="AE435" s="299"/>
      <c r="AF435" s="299"/>
      <c r="AG435" s="299"/>
      <c r="AH435" s="299"/>
      <c r="AI435" s="299"/>
      <c r="AJ435" s="299"/>
      <c r="AK435" s="299"/>
      <c r="AL435" s="299"/>
      <c r="AM435" s="299"/>
      <c r="AN435" s="299"/>
    </row>
    <row r="436" spans="1:40" s="43" customFormat="1" ht="15" customHeight="1" x14ac:dyDescent="0.15">
      <c r="A436" s="296"/>
      <c r="B436" s="297"/>
      <c r="C436" s="298"/>
      <c r="D436" s="297"/>
      <c r="E436" s="298"/>
      <c r="F436" s="298"/>
      <c r="G436" s="298"/>
      <c r="H436" s="299"/>
      <c r="I436" s="299"/>
      <c r="J436" s="299"/>
      <c r="K436" s="299"/>
      <c r="L436" s="299"/>
      <c r="M436" s="299"/>
      <c r="N436" s="299"/>
      <c r="O436" s="299"/>
      <c r="P436" s="299"/>
      <c r="Q436" s="299"/>
      <c r="R436" s="299"/>
      <c r="S436" s="299"/>
      <c r="T436" s="299"/>
      <c r="U436" s="296"/>
      <c r="V436" s="297"/>
      <c r="W436" s="297"/>
      <c r="X436" s="297"/>
      <c r="Y436" s="299"/>
      <c r="Z436" s="299"/>
      <c r="AA436" s="299"/>
      <c r="AB436" s="298"/>
      <c r="AC436" s="299"/>
      <c r="AD436" s="299"/>
      <c r="AE436" s="299"/>
      <c r="AF436" s="299"/>
      <c r="AG436" s="299"/>
      <c r="AH436" s="299"/>
      <c r="AI436" s="299"/>
      <c r="AJ436" s="299"/>
      <c r="AK436" s="299"/>
      <c r="AL436" s="299"/>
      <c r="AM436" s="299"/>
      <c r="AN436" s="299"/>
    </row>
    <row r="437" spans="1:40" s="43" customFormat="1" ht="15" customHeight="1" x14ac:dyDescent="0.15">
      <c r="A437" s="296"/>
      <c r="B437" s="297"/>
      <c r="C437" s="298"/>
      <c r="D437" s="297"/>
      <c r="E437" s="298"/>
      <c r="F437" s="298"/>
      <c r="G437" s="298"/>
      <c r="H437" s="299"/>
      <c r="I437" s="299"/>
      <c r="J437" s="299"/>
      <c r="K437" s="299"/>
      <c r="L437" s="299"/>
      <c r="M437" s="299"/>
      <c r="N437" s="299"/>
      <c r="O437" s="299"/>
      <c r="P437" s="299"/>
      <c r="Q437" s="299"/>
      <c r="R437" s="299"/>
      <c r="S437" s="299"/>
      <c r="T437" s="299"/>
      <c r="U437" s="296"/>
      <c r="V437" s="297"/>
      <c r="W437" s="297"/>
      <c r="X437" s="297"/>
      <c r="Y437" s="299"/>
      <c r="Z437" s="299"/>
      <c r="AA437" s="299"/>
      <c r="AB437" s="298"/>
      <c r="AC437" s="299"/>
      <c r="AD437" s="299"/>
      <c r="AE437" s="299"/>
      <c r="AF437" s="299"/>
      <c r="AG437" s="299"/>
      <c r="AH437" s="299"/>
      <c r="AI437" s="299"/>
      <c r="AJ437" s="299"/>
      <c r="AK437" s="299"/>
      <c r="AL437" s="299"/>
      <c r="AM437" s="299"/>
      <c r="AN437" s="299"/>
    </row>
    <row r="438" spans="1:40" s="43" customFormat="1" ht="15" customHeight="1" x14ac:dyDescent="0.15">
      <c r="A438" s="296"/>
      <c r="B438" s="297"/>
      <c r="C438" s="298"/>
      <c r="D438" s="297"/>
      <c r="E438" s="298"/>
      <c r="F438" s="298"/>
      <c r="G438" s="298"/>
      <c r="H438" s="299"/>
      <c r="I438" s="299"/>
      <c r="J438" s="299"/>
      <c r="K438" s="299"/>
      <c r="L438" s="299"/>
      <c r="M438" s="299"/>
      <c r="N438" s="299"/>
      <c r="O438" s="299"/>
      <c r="P438" s="299"/>
      <c r="Q438" s="299"/>
      <c r="R438" s="299"/>
      <c r="S438" s="299"/>
      <c r="T438" s="299"/>
      <c r="U438" s="296"/>
      <c r="V438" s="297"/>
      <c r="W438" s="297"/>
      <c r="X438" s="297"/>
      <c r="Y438" s="299"/>
      <c r="Z438" s="299"/>
      <c r="AA438" s="299"/>
      <c r="AB438" s="298"/>
      <c r="AC438" s="299"/>
      <c r="AD438" s="299"/>
      <c r="AE438" s="299"/>
      <c r="AF438" s="299"/>
      <c r="AG438" s="299"/>
      <c r="AH438" s="299"/>
      <c r="AI438" s="299"/>
      <c r="AJ438" s="299"/>
      <c r="AK438" s="299"/>
      <c r="AL438" s="299"/>
      <c r="AM438" s="299"/>
      <c r="AN438" s="299"/>
    </row>
    <row r="439" spans="1:40" s="43" customFormat="1" ht="15" customHeight="1" x14ac:dyDescent="0.15">
      <c r="A439" s="296"/>
      <c r="B439" s="297"/>
      <c r="C439" s="298"/>
      <c r="D439" s="297"/>
      <c r="E439" s="298"/>
      <c r="F439" s="298"/>
      <c r="G439" s="298"/>
      <c r="H439" s="299"/>
      <c r="I439" s="299"/>
      <c r="J439" s="299"/>
      <c r="K439" s="299"/>
      <c r="L439" s="299"/>
      <c r="M439" s="299"/>
      <c r="N439" s="299"/>
      <c r="O439" s="299"/>
      <c r="P439" s="299"/>
      <c r="Q439" s="299"/>
      <c r="R439" s="299"/>
      <c r="S439" s="299"/>
      <c r="T439" s="299"/>
      <c r="U439" s="296"/>
      <c r="V439" s="297"/>
      <c r="W439" s="297"/>
      <c r="X439" s="297"/>
      <c r="Y439" s="299"/>
      <c r="Z439" s="299"/>
      <c r="AA439" s="299"/>
      <c r="AB439" s="298"/>
      <c r="AC439" s="299"/>
      <c r="AD439" s="299"/>
      <c r="AE439" s="299"/>
      <c r="AF439" s="299"/>
      <c r="AG439" s="299"/>
      <c r="AH439" s="299"/>
      <c r="AI439" s="299"/>
      <c r="AJ439" s="299"/>
      <c r="AK439" s="299"/>
      <c r="AL439" s="299"/>
      <c r="AM439" s="299"/>
      <c r="AN439" s="299"/>
    </row>
    <row r="440" spans="1:40" s="43" customFormat="1" ht="15" customHeight="1" x14ac:dyDescent="0.15">
      <c r="A440" s="296"/>
      <c r="B440" s="297"/>
      <c r="C440" s="298"/>
      <c r="D440" s="297"/>
      <c r="E440" s="298"/>
      <c r="F440" s="298"/>
      <c r="G440" s="298"/>
      <c r="H440" s="299"/>
      <c r="I440" s="299"/>
      <c r="J440" s="299"/>
      <c r="K440" s="299"/>
      <c r="L440" s="299"/>
      <c r="M440" s="299"/>
      <c r="N440" s="299"/>
      <c r="O440" s="299"/>
      <c r="P440" s="299"/>
      <c r="Q440" s="299"/>
      <c r="R440" s="299"/>
      <c r="S440" s="299"/>
      <c r="T440" s="299"/>
      <c r="U440" s="296"/>
      <c r="V440" s="297"/>
      <c r="W440" s="297"/>
      <c r="X440" s="297"/>
      <c r="Y440" s="299"/>
      <c r="Z440" s="299"/>
      <c r="AA440" s="299"/>
      <c r="AB440" s="298"/>
      <c r="AC440" s="299"/>
      <c r="AD440" s="299"/>
      <c r="AE440" s="299"/>
      <c r="AF440" s="299"/>
      <c r="AG440" s="299"/>
      <c r="AH440" s="299"/>
      <c r="AI440" s="299"/>
      <c r="AJ440" s="299"/>
      <c r="AK440" s="299"/>
      <c r="AL440" s="299"/>
      <c r="AM440" s="299"/>
      <c r="AN440" s="299"/>
    </row>
    <row r="441" spans="1:40" s="43" customFormat="1" ht="15" customHeight="1" x14ac:dyDescent="0.15">
      <c r="A441" s="296"/>
      <c r="B441" s="297"/>
      <c r="C441" s="298"/>
      <c r="D441" s="297"/>
      <c r="E441" s="298"/>
      <c r="F441" s="298"/>
      <c r="G441" s="298"/>
      <c r="H441" s="299"/>
      <c r="I441" s="299"/>
      <c r="J441" s="299"/>
      <c r="K441" s="299"/>
      <c r="L441" s="299"/>
      <c r="M441" s="299"/>
      <c r="N441" s="299"/>
      <c r="O441" s="299"/>
      <c r="P441" s="299"/>
      <c r="Q441" s="299"/>
      <c r="R441" s="299"/>
      <c r="S441" s="299"/>
      <c r="T441" s="299"/>
      <c r="U441" s="296"/>
      <c r="V441" s="297"/>
      <c r="W441" s="297"/>
      <c r="X441" s="297"/>
      <c r="Y441" s="299"/>
      <c r="Z441" s="299"/>
      <c r="AA441" s="299"/>
      <c r="AB441" s="298"/>
      <c r="AC441" s="299"/>
      <c r="AD441" s="299"/>
      <c r="AE441" s="299"/>
      <c r="AF441" s="299"/>
      <c r="AG441" s="299"/>
      <c r="AH441" s="299"/>
      <c r="AI441" s="299"/>
      <c r="AJ441" s="299"/>
      <c r="AK441" s="299"/>
      <c r="AL441" s="299"/>
      <c r="AM441" s="299"/>
      <c r="AN441" s="299"/>
    </row>
    <row r="442" spans="1:40" s="43" customFormat="1" ht="15" customHeight="1" x14ac:dyDescent="0.15">
      <c r="A442" s="296"/>
      <c r="B442" s="297"/>
      <c r="C442" s="298"/>
      <c r="D442" s="297"/>
      <c r="E442" s="298"/>
      <c r="F442" s="298"/>
      <c r="G442" s="298"/>
      <c r="H442" s="299"/>
      <c r="I442" s="299"/>
      <c r="J442" s="299"/>
      <c r="K442" s="299"/>
      <c r="L442" s="299"/>
      <c r="M442" s="299"/>
      <c r="N442" s="299"/>
      <c r="O442" s="299"/>
      <c r="P442" s="299"/>
      <c r="Q442" s="299"/>
      <c r="R442" s="299"/>
      <c r="S442" s="299"/>
      <c r="T442" s="299"/>
      <c r="U442" s="296"/>
      <c r="V442" s="297"/>
      <c r="W442" s="297"/>
      <c r="X442" s="297"/>
      <c r="Y442" s="299"/>
      <c r="Z442" s="299"/>
      <c r="AA442" s="299"/>
      <c r="AB442" s="298"/>
      <c r="AC442" s="299"/>
      <c r="AD442" s="299"/>
      <c r="AE442" s="299"/>
      <c r="AF442" s="299"/>
      <c r="AG442" s="299"/>
      <c r="AH442" s="299"/>
      <c r="AI442" s="299"/>
      <c r="AJ442" s="299"/>
      <c r="AK442" s="299"/>
      <c r="AL442" s="299"/>
      <c r="AM442" s="299"/>
      <c r="AN442" s="299"/>
    </row>
    <row r="443" spans="1:40" s="43" customFormat="1" ht="15" customHeight="1" x14ac:dyDescent="0.15">
      <c r="A443" s="296"/>
      <c r="B443" s="297"/>
      <c r="C443" s="298"/>
      <c r="D443" s="297"/>
      <c r="E443" s="298"/>
      <c r="F443" s="298"/>
      <c r="G443" s="298"/>
      <c r="H443" s="299"/>
      <c r="I443" s="299"/>
      <c r="J443" s="299"/>
      <c r="K443" s="299"/>
      <c r="L443" s="299"/>
      <c r="M443" s="299"/>
      <c r="N443" s="299"/>
      <c r="O443" s="299"/>
      <c r="P443" s="299"/>
      <c r="Q443" s="299"/>
      <c r="R443" s="299"/>
      <c r="S443" s="299"/>
      <c r="T443" s="299"/>
      <c r="U443" s="296"/>
      <c r="V443" s="297"/>
      <c r="W443" s="297"/>
      <c r="X443" s="297"/>
      <c r="Y443" s="299"/>
      <c r="Z443" s="299"/>
      <c r="AA443" s="299"/>
      <c r="AB443" s="298"/>
      <c r="AC443" s="299"/>
      <c r="AD443" s="299"/>
      <c r="AE443" s="299"/>
      <c r="AF443" s="299"/>
      <c r="AG443" s="299"/>
      <c r="AH443" s="299"/>
      <c r="AI443" s="299"/>
      <c r="AJ443" s="299"/>
      <c r="AK443" s="299"/>
      <c r="AL443" s="299"/>
      <c r="AM443" s="299"/>
      <c r="AN443" s="299"/>
    </row>
    <row r="444" spans="1:40" s="43" customFormat="1" ht="15" customHeight="1" x14ac:dyDescent="0.15">
      <c r="A444" s="296"/>
      <c r="B444" s="297"/>
      <c r="C444" s="298"/>
      <c r="D444" s="297"/>
      <c r="E444" s="298"/>
      <c r="F444" s="298"/>
      <c r="G444" s="298"/>
      <c r="H444" s="299"/>
      <c r="I444" s="299"/>
      <c r="J444" s="299"/>
      <c r="K444" s="299"/>
      <c r="L444" s="299"/>
      <c r="M444" s="299"/>
      <c r="N444" s="299"/>
      <c r="O444" s="299"/>
      <c r="P444" s="299"/>
      <c r="Q444" s="299"/>
      <c r="R444" s="299"/>
      <c r="S444" s="299"/>
      <c r="T444" s="299"/>
      <c r="U444" s="296"/>
      <c r="V444" s="297"/>
      <c r="W444" s="297"/>
      <c r="X444" s="297"/>
      <c r="Y444" s="299"/>
      <c r="Z444" s="299"/>
      <c r="AA444" s="299"/>
      <c r="AB444" s="298"/>
      <c r="AC444" s="299"/>
      <c r="AD444" s="299"/>
      <c r="AE444" s="299"/>
      <c r="AF444" s="299"/>
      <c r="AG444" s="299"/>
      <c r="AH444" s="299"/>
      <c r="AI444" s="299"/>
      <c r="AJ444" s="299"/>
      <c r="AK444" s="299"/>
      <c r="AL444" s="299"/>
      <c r="AM444" s="299"/>
      <c r="AN444" s="299"/>
    </row>
    <row r="445" spans="1:40" s="306" customFormat="1" ht="15" customHeight="1" x14ac:dyDescent="0.3">
      <c r="A445" s="296"/>
      <c r="B445" s="303"/>
      <c r="C445" s="304"/>
      <c r="D445" s="303"/>
      <c r="E445" s="304"/>
      <c r="F445" s="304"/>
      <c r="G445" s="304"/>
      <c r="H445" s="305"/>
      <c r="I445" s="305"/>
      <c r="J445" s="305"/>
      <c r="K445" s="305"/>
      <c r="L445" s="305"/>
      <c r="M445" s="305"/>
      <c r="N445" s="305"/>
      <c r="O445" s="305"/>
      <c r="P445" s="305"/>
      <c r="Q445" s="305"/>
      <c r="R445" s="305"/>
      <c r="S445" s="305"/>
      <c r="T445" s="305"/>
      <c r="U445" s="296"/>
      <c r="V445" s="303"/>
      <c r="W445" s="303"/>
      <c r="X445" s="303"/>
      <c r="Y445" s="305"/>
      <c r="Z445" s="305"/>
      <c r="AA445" s="305"/>
      <c r="AB445" s="304"/>
      <c r="AC445" s="305"/>
      <c r="AD445" s="305"/>
      <c r="AE445" s="305"/>
      <c r="AF445" s="305"/>
      <c r="AG445" s="305"/>
      <c r="AH445" s="305"/>
      <c r="AI445" s="305"/>
      <c r="AJ445" s="305"/>
      <c r="AK445" s="305"/>
      <c r="AL445" s="305"/>
      <c r="AM445" s="305"/>
      <c r="AN445" s="305"/>
    </row>
    <row r="446" spans="1:40" s="306" customFormat="1" ht="15" customHeight="1" x14ac:dyDescent="0.3">
      <c r="A446" s="296"/>
      <c r="B446" s="303"/>
      <c r="C446" s="304"/>
      <c r="D446" s="303"/>
      <c r="E446" s="304"/>
      <c r="F446" s="304"/>
      <c r="G446" s="304"/>
      <c r="H446" s="305"/>
      <c r="I446" s="305"/>
      <c r="J446" s="305"/>
      <c r="K446" s="305"/>
      <c r="L446" s="305"/>
      <c r="M446" s="305"/>
      <c r="N446" s="305"/>
      <c r="O446" s="305"/>
      <c r="P446" s="305"/>
      <c r="Q446" s="305"/>
      <c r="R446" s="305"/>
      <c r="S446" s="305"/>
      <c r="T446" s="305"/>
      <c r="U446" s="296"/>
      <c r="V446" s="303"/>
      <c r="W446" s="303"/>
      <c r="X446" s="303"/>
      <c r="Y446" s="305"/>
      <c r="Z446" s="305"/>
      <c r="AA446" s="305"/>
      <c r="AB446" s="304"/>
      <c r="AC446" s="305"/>
      <c r="AD446" s="305"/>
      <c r="AE446" s="305"/>
      <c r="AF446" s="305"/>
      <c r="AG446" s="305"/>
      <c r="AH446" s="305"/>
      <c r="AI446" s="305"/>
      <c r="AJ446" s="305"/>
      <c r="AK446" s="305"/>
      <c r="AL446" s="305"/>
      <c r="AM446" s="305"/>
      <c r="AN446" s="305"/>
    </row>
    <row r="447" spans="1:40" s="306" customFormat="1" ht="15" customHeight="1" x14ac:dyDescent="0.3">
      <c r="A447" s="296"/>
      <c r="B447" s="303"/>
      <c r="C447" s="304"/>
      <c r="D447" s="303"/>
      <c r="E447" s="304"/>
      <c r="F447" s="304"/>
      <c r="G447" s="304"/>
      <c r="H447" s="305"/>
      <c r="I447" s="305"/>
      <c r="J447" s="305"/>
      <c r="K447" s="305"/>
      <c r="L447" s="305"/>
      <c r="M447" s="305"/>
      <c r="N447" s="305"/>
      <c r="O447" s="305"/>
      <c r="P447" s="305"/>
      <c r="Q447" s="305"/>
      <c r="R447" s="305"/>
      <c r="S447" s="305"/>
      <c r="T447" s="305"/>
      <c r="U447" s="296"/>
      <c r="V447" s="303"/>
      <c r="W447" s="303"/>
      <c r="X447" s="303"/>
      <c r="Y447" s="305"/>
      <c r="Z447" s="305"/>
      <c r="AA447" s="305"/>
      <c r="AB447" s="304"/>
      <c r="AC447" s="305"/>
      <c r="AD447" s="305"/>
      <c r="AE447" s="305"/>
      <c r="AF447" s="305"/>
      <c r="AG447" s="305"/>
      <c r="AH447" s="305"/>
      <c r="AI447" s="305"/>
      <c r="AJ447" s="305"/>
      <c r="AK447" s="305"/>
      <c r="AL447" s="305"/>
      <c r="AM447" s="305"/>
      <c r="AN447" s="305"/>
    </row>
    <row r="448" spans="1:40" s="306" customFormat="1" ht="15" customHeight="1" x14ac:dyDescent="0.3">
      <c r="A448" s="296"/>
      <c r="B448" s="303"/>
      <c r="C448" s="304"/>
      <c r="D448" s="303"/>
      <c r="E448" s="304"/>
      <c r="F448" s="304"/>
      <c r="G448" s="304"/>
      <c r="H448" s="305"/>
      <c r="I448" s="305"/>
      <c r="J448" s="305"/>
      <c r="K448" s="305"/>
      <c r="L448" s="305"/>
      <c r="M448" s="305"/>
      <c r="N448" s="305"/>
      <c r="O448" s="305"/>
      <c r="P448" s="305"/>
      <c r="Q448" s="305"/>
      <c r="R448" s="305"/>
      <c r="S448" s="305"/>
      <c r="T448" s="305"/>
      <c r="U448" s="296"/>
      <c r="V448" s="303"/>
      <c r="W448" s="303"/>
      <c r="X448" s="303"/>
      <c r="Y448" s="305"/>
      <c r="Z448" s="305"/>
      <c r="AA448" s="305"/>
      <c r="AB448" s="304"/>
      <c r="AC448" s="305"/>
      <c r="AD448" s="305"/>
      <c r="AE448" s="305"/>
      <c r="AF448" s="305"/>
      <c r="AG448" s="305"/>
      <c r="AH448" s="305"/>
      <c r="AI448" s="305"/>
      <c r="AJ448" s="305"/>
      <c r="AK448" s="305"/>
      <c r="AL448" s="305"/>
      <c r="AM448" s="305"/>
      <c r="AN448" s="305"/>
    </row>
    <row r="449" spans="1:40" s="306" customFormat="1" ht="15" customHeight="1" x14ac:dyDescent="0.3">
      <c r="A449" s="296"/>
      <c r="B449" s="303"/>
      <c r="C449" s="304"/>
      <c r="D449" s="303"/>
      <c r="E449" s="304"/>
      <c r="F449" s="304"/>
      <c r="G449" s="304"/>
      <c r="H449" s="305"/>
      <c r="I449" s="305"/>
      <c r="J449" s="305"/>
      <c r="K449" s="305"/>
      <c r="L449" s="305"/>
      <c r="M449" s="305"/>
      <c r="N449" s="305"/>
      <c r="O449" s="305"/>
      <c r="P449" s="305"/>
      <c r="Q449" s="305"/>
      <c r="R449" s="305"/>
      <c r="S449" s="305"/>
      <c r="T449" s="305"/>
      <c r="U449" s="296"/>
      <c r="V449" s="303"/>
      <c r="W449" s="303"/>
      <c r="X449" s="303"/>
      <c r="Y449" s="305"/>
      <c r="Z449" s="305"/>
      <c r="AA449" s="305"/>
      <c r="AB449" s="304"/>
      <c r="AC449" s="305"/>
      <c r="AD449" s="305"/>
      <c r="AE449" s="305"/>
      <c r="AF449" s="305"/>
      <c r="AG449" s="305"/>
      <c r="AH449" s="305"/>
      <c r="AI449" s="305"/>
      <c r="AJ449" s="305"/>
      <c r="AK449" s="305"/>
      <c r="AL449" s="305"/>
      <c r="AM449" s="305"/>
      <c r="AN449" s="305"/>
    </row>
    <row r="450" spans="1:40" s="306" customFormat="1" ht="15" customHeight="1" x14ac:dyDescent="0.3">
      <c r="A450" s="296"/>
      <c r="B450" s="303"/>
      <c r="C450" s="304"/>
      <c r="D450" s="303"/>
      <c r="E450" s="304"/>
      <c r="F450" s="304"/>
      <c r="G450" s="304"/>
      <c r="H450" s="305"/>
      <c r="I450" s="305"/>
      <c r="J450" s="305"/>
      <c r="K450" s="305"/>
      <c r="L450" s="305"/>
      <c r="M450" s="305"/>
      <c r="N450" s="305"/>
      <c r="O450" s="305"/>
      <c r="P450" s="305"/>
      <c r="Q450" s="305"/>
      <c r="R450" s="305"/>
      <c r="S450" s="305"/>
      <c r="T450" s="305"/>
      <c r="U450" s="296"/>
      <c r="V450" s="303"/>
      <c r="W450" s="303"/>
      <c r="X450" s="303"/>
      <c r="Y450" s="305"/>
      <c r="Z450" s="305"/>
      <c r="AA450" s="305"/>
      <c r="AB450" s="304"/>
      <c r="AC450" s="305"/>
      <c r="AD450" s="305"/>
      <c r="AE450" s="305"/>
      <c r="AF450" s="305"/>
      <c r="AG450" s="305"/>
      <c r="AH450" s="305"/>
      <c r="AI450" s="305"/>
      <c r="AJ450" s="305"/>
      <c r="AK450" s="305"/>
      <c r="AL450" s="305"/>
      <c r="AM450" s="305"/>
      <c r="AN450" s="305"/>
    </row>
    <row r="451" spans="1:40" s="306" customFormat="1" ht="15" customHeight="1" x14ac:dyDescent="0.3">
      <c r="A451" s="296"/>
      <c r="B451" s="303"/>
      <c r="C451" s="304"/>
      <c r="D451" s="303"/>
      <c r="E451" s="304"/>
      <c r="F451" s="304"/>
      <c r="G451" s="304"/>
      <c r="H451" s="305"/>
      <c r="I451" s="305"/>
      <c r="J451" s="305"/>
      <c r="K451" s="305"/>
      <c r="L451" s="305"/>
      <c r="M451" s="305"/>
      <c r="N451" s="305"/>
      <c r="O451" s="305"/>
      <c r="P451" s="305"/>
      <c r="Q451" s="305"/>
      <c r="R451" s="305"/>
      <c r="S451" s="305"/>
      <c r="T451" s="305"/>
      <c r="U451" s="296"/>
      <c r="V451" s="303"/>
      <c r="W451" s="303"/>
      <c r="X451" s="303"/>
      <c r="Y451" s="305"/>
      <c r="Z451" s="305"/>
      <c r="AA451" s="305"/>
      <c r="AB451" s="304"/>
      <c r="AC451" s="305"/>
      <c r="AD451" s="305"/>
      <c r="AE451" s="305"/>
      <c r="AF451" s="305"/>
      <c r="AG451" s="305"/>
      <c r="AH451" s="305"/>
      <c r="AI451" s="305"/>
      <c r="AJ451" s="305"/>
      <c r="AK451" s="305"/>
      <c r="AL451" s="305"/>
      <c r="AM451" s="305"/>
      <c r="AN451" s="305"/>
    </row>
    <row r="452" spans="1:40" s="306" customFormat="1" ht="15" customHeight="1" x14ac:dyDescent="0.3">
      <c r="A452" s="296"/>
      <c r="B452" s="303"/>
      <c r="C452" s="304"/>
      <c r="D452" s="303"/>
      <c r="E452" s="304"/>
      <c r="F452" s="304"/>
      <c r="G452" s="304"/>
      <c r="H452" s="305"/>
      <c r="I452" s="305"/>
      <c r="J452" s="305"/>
      <c r="K452" s="305"/>
      <c r="L452" s="305"/>
      <c r="M452" s="305"/>
      <c r="N452" s="305"/>
      <c r="O452" s="305"/>
      <c r="P452" s="305"/>
      <c r="Q452" s="305"/>
      <c r="R452" s="305"/>
      <c r="S452" s="305"/>
      <c r="T452" s="305"/>
      <c r="U452" s="296"/>
      <c r="V452" s="303"/>
      <c r="W452" s="303"/>
      <c r="X452" s="303"/>
      <c r="Y452" s="305"/>
      <c r="Z452" s="305"/>
      <c r="AA452" s="305"/>
      <c r="AB452" s="304"/>
      <c r="AC452" s="305"/>
      <c r="AD452" s="305"/>
      <c r="AE452" s="305"/>
      <c r="AF452" s="305"/>
      <c r="AG452" s="305"/>
      <c r="AH452" s="305"/>
      <c r="AI452" s="305"/>
      <c r="AJ452" s="305"/>
      <c r="AK452" s="305"/>
      <c r="AL452" s="305"/>
      <c r="AM452" s="305"/>
      <c r="AN452" s="305"/>
    </row>
    <row r="453" spans="1:40" s="306" customFormat="1" ht="15" customHeight="1" x14ac:dyDescent="0.3">
      <c r="A453" s="296"/>
      <c r="B453" s="303"/>
      <c r="C453" s="304"/>
      <c r="D453" s="303"/>
      <c r="E453" s="304"/>
      <c r="F453" s="304"/>
      <c r="G453" s="304"/>
      <c r="H453" s="305"/>
      <c r="I453" s="305"/>
      <c r="J453" s="305"/>
      <c r="K453" s="305"/>
      <c r="L453" s="305"/>
      <c r="M453" s="305"/>
      <c r="N453" s="305"/>
      <c r="O453" s="305"/>
      <c r="P453" s="305"/>
      <c r="Q453" s="305"/>
      <c r="R453" s="305"/>
      <c r="S453" s="305"/>
      <c r="T453" s="305"/>
      <c r="U453" s="296"/>
      <c r="V453" s="303"/>
      <c r="W453" s="303"/>
      <c r="X453" s="303"/>
      <c r="Y453" s="305"/>
      <c r="Z453" s="305"/>
      <c r="AA453" s="305"/>
      <c r="AB453" s="304"/>
      <c r="AC453" s="305"/>
      <c r="AD453" s="305"/>
      <c r="AE453" s="305"/>
      <c r="AF453" s="305"/>
      <c r="AG453" s="305"/>
      <c r="AH453" s="305"/>
      <c r="AI453" s="305"/>
      <c r="AJ453" s="305"/>
      <c r="AK453" s="305"/>
      <c r="AL453" s="305"/>
      <c r="AM453" s="305"/>
      <c r="AN453" s="305"/>
    </row>
    <row r="454" spans="1:40" s="306" customFormat="1" ht="15" customHeight="1" x14ac:dyDescent="0.3">
      <c r="A454" s="296"/>
      <c r="B454" s="303"/>
      <c r="C454" s="304"/>
      <c r="D454" s="303"/>
      <c r="E454" s="304"/>
      <c r="F454" s="304"/>
      <c r="G454" s="304"/>
      <c r="H454" s="305"/>
      <c r="I454" s="305"/>
      <c r="J454" s="305"/>
      <c r="K454" s="305"/>
      <c r="L454" s="305"/>
      <c r="M454" s="305"/>
      <c r="N454" s="305"/>
      <c r="O454" s="305"/>
      <c r="P454" s="305"/>
      <c r="Q454" s="305"/>
      <c r="R454" s="305"/>
      <c r="S454" s="305"/>
      <c r="T454" s="305"/>
      <c r="U454" s="296"/>
      <c r="V454" s="303"/>
      <c r="W454" s="303"/>
      <c r="X454" s="303"/>
      <c r="Y454" s="305"/>
      <c r="Z454" s="305"/>
      <c r="AA454" s="305"/>
      <c r="AB454" s="304"/>
      <c r="AC454" s="305"/>
      <c r="AD454" s="305"/>
      <c r="AE454" s="305"/>
      <c r="AF454" s="305"/>
      <c r="AG454" s="305"/>
      <c r="AH454" s="305"/>
      <c r="AI454" s="305"/>
      <c r="AJ454" s="305"/>
      <c r="AK454" s="305"/>
      <c r="AL454" s="305"/>
      <c r="AM454" s="305"/>
      <c r="AN454" s="305"/>
    </row>
    <row r="455" spans="1:40" s="306" customFormat="1" ht="15" customHeight="1" x14ac:dyDescent="0.3">
      <c r="A455" s="296"/>
      <c r="B455" s="303"/>
      <c r="C455" s="304"/>
      <c r="D455" s="303"/>
      <c r="E455" s="304"/>
      <c r="F455" s="304"/>
      <c r="G455" s="304"/>
      <c r="H455" s="305"/>
      <c r="I455" s="305"/>
      <c r="J455" s="305"/>
      <c r="K455" s="305"/>
      <c r="L455" s="305"/>
      <c r="M455" s="305"/>
      <c r="N455" s="305"/>
      <c r="O455" s="305"/>
      <c r="P455" s="305"/>
      <c r="Q455" s="305"/>
      <c r="R455" s="305"/>
      <c r="S455" s="305"/>
      <c r="T455" s="305"/>
      <c r="U455" s="296"/>
      <c r="V455" s="303"/>
      <c r="W455" s="303"/>
      <c r="X455" s="303"/>
      <c r="Y455" s="305"/>
      <c r="Z455" s="305"/>
      <c r="AA455" s="305"/>
      <c r="AB455" s="304"/>
      <c r="AC455" s="305"/>
      <c r="AD455" s="305"/>
      <c r="AE455" s="305"/>
      <c r="AF455" s="305"/>
      <c r="AG455" s="305"/>
      <c r="AH455" s="305"/>
      <c r="AI455" s="305"/>
      <c r="AJ455" s="305"/>
      <c r="AK455" s="305"/>
      <c r="AL455" s="305"/>
      <c r="AM455" s="305"/>
      <c r="AN455" s="305"/>
    </row>
    <row r="456" spans="1:40" s="306" customFormat="1" ht="15" customHeight="1" x14ac:dyDescent="0.3">
      <c r="A456" s="296"/>
      <c r="B456" s="303"/>
      <c r="C456" s="304"/>
      <c r="D456" s="303"/>
      <c r="E456" s="304"/>
      <c r="F456" s="304"/>
      <c r="G456" s="304"/>
      <c r="H456" s="305"/>
      <c r="I456" s="305"/>
      <c r="J456" s="305"/>
      <c r="K456" s="305"/>
      <c r="L456" s="305"/>
      <c r="M456" s="305"/>
      <c r="N456" s="305"/>
      <c r="O456" s="305"/>
      <c r="P456" s="305"/>
      <c r="Q456" s="305"/>
      <c r="R456" s="305"/>
      <c r="S456" s="305"/>
      <c r="T456" s="305"/>
      <c r="U456" s="296"/>
      <c r="V456" s="303"/>
      <c r="W456" s="303"/>
      <c r="X456" s="303"/>
      <c r="Y456" s="305"/>
      <c r="Z456" s="305"/>
      <c r="AA456" s="305"/>
      <c r="AB456" s="304"/>
      <c r="AC456" s="305"/>
      <c r="AD456" s="305"/>
      <c r="AE456" s="305"/>
      <c r="AF456" s="305"/>
      <c r="AG456" s="305"/>
      <c r="AH456" s="305"/>
      <c r="AI456" s="305"/>
      <c r="AJ456" s="305"/>
      <c r="AK456" s="305"/>
      <c r="AL456" s="305"/>
      <c r="AM456" s="305"/>
      <c r="AN456" s="305"/>
    </row>
    <row r="457" spans="1:40" s="306" customFormat="1" ht="15" customHeight="1" x14ac:dyDescent="0.3">
      <c r="A457" s="296"/>
      <c r="B457" s="303"/>
      <c r="C457" s="304"/>
      <c r="D457" s="303"/>
      <c r="E457" s="304"/>
      <c r="F457" s="304"/>
      <c r="G457" s="304"/>
      <c r="H457" s="305"/>
      <c r="I457" s="305"/>
      <c r="J457" s="305"/>
      <c r="K457" s="305"/>
      <c r="L457" s="305"/>
      <c r="M457" s="305"/>
      <c r="N457" s="305"/>
      <c r="O457" s="305"/>
      <c r="P457" s="305"/>
      <c r="Q457" s="305"/>
      <c r="R457" s="305"/>
      <c r="S457" s="305"/>
      <c r="T457" s="305"/>
      <c r="U457" s="296"/>
      <c r="V457" s="303"/>
      <c r="W457" s="303"/>
      <c r="X457" s="303"/>
      <c r="Y457" s="305"/>
      <c r="Z457" s="305"/>
      <c r="AA457" s="305"/>
      <c r="AB457" s="304"/>
      <c r="AC457" s="305"/>
      <c r="AD457" s="305"/>
      <c r="AE457" s="305"/>
      <c r="AF457" s="305"/>
      <c r="AG457" s="305"/>
      <c r="AH457" s="305"/>
      <c r="AI457" s="305"/>
      <c r="AJ457" s="305"/>
      <c r="AK457" s="305"/>
      <c r="AL457" s="305"/>
      <c r="AM457" s="305"/>
      <c r="AN457" s="305"/>
    </row>
    <row r="458" spans="1:40" s="306" customFormat="1" ht="15" customHeight="1" x14ac:dyDescent="0.3">
      <c r="A458" s="296"/>
      <c r="B458" s="303"/>
      <c r="C458" s="304"/>
      <c r="D458" s="303"/>
      <c r="E458" s="304"/>
      <c r="F458" s="304"/>
      <c r="G458" s="304"/>
      <c r="H458" s="305"/>
      <c r="I458" s="305"/>
      <c r="J458" s="305"/>
      <c r="K458" s="305"/>
      <c r="L458" s="305"/>
      <c r="M458" s="305"/>
      <c r="N458" s="305"/>
      <c r="O458" s="305"/>
      <c r="P458" s="305"/>
      <c r="Q458" s="305"/>
      <c r="R458" s="305"/>
      <c r="S458" s="305"/>
      <c r="T458" s="305"/>
      <c r="U458" s="296"/>
      <c r="V458" s="303"/>
      <c r="W458" s="303"/>
      <c r="X458" s="303"/>
      <c r="Y458" s="305"/>
      <c r="Z458" s="305"/>
      <c r="AA458" s="305"/>
      <c r="AB458" s="304"/>
      <c r="AC458" s="305"/>
      <c r="AD458" s="305"/>
      <c r="AE458" s="305"/>
      <c r="AF458" s="305"/>
      <c r="AG458" s="305"/>
      <c r="AH458" s="305"/>
      <c r="AI458" s="305"/>
      <c r="AJ458" s="305"/>
      <c r="AK458" s="305"/>
      <c r="AL458" s="305"/>
      <c r="AM458" s="305"/>
      <c r="AN458" s="305"/>
    </row>
    <row r="459" spans="1:40" s="306" customFormat="1" ht="15" customHeight="1" x14ac:dyDescent="0.3">
      <c r="A459" s="296"/>
      <c r="B459" s="303"/>
      <c r="C459" s="304"/>
      <c r="D459" s="303"/>
      <c r="E459" s="304"/>
      <c r="F459" s="304"/>
      <c r="G459" s="304"/>
      <c r="H459" s="305"/>
      <c r="I459" s="305"/>
      <c r="J459" s="305"/>
      <c r="K459" s="305"/>
      <c r="L459" s="305"/>
      <c r="M459" s="305"/>
      <c r="N459" s="305"/>
      <c r="O459" s="305"/>
      <c r="P459" s="305"/>
      <c r="Q459" s="305"/>
      <c r="R459" s="305"/>
      <c r="S459" s="305"/>
      <c r="T459" s="305"/>
      <c r="U459" s="296"/>
      <c r="V459" s="303"/>
      <c r="W459" s="303"/>
      <c r="X459" s="303"/>
      <c r="Y459" s="305"/>
      <c r="Z459" s="305"/>
      <c r="AA459" s="305"/>
      <c r="AB459" s="304"/>
      <c r="AC459" s="305"/>
      <c r="AD459" s="305"/>
      <c r="AE459" s="305"/>
      <c r="AF459" s="305"/>
      <c r="AG459" s="305"/>
      <c r="AH459" s="305"/>
      <c r="AI459" s="305"/>
      <c r="AJ459" s="305"/>
      <c r="AK459" s="305"/>
      <c r="AL459" s="305"/>
      <c r="AM459" s="305"/>
      <c r="AN459" s="305"/>
    </row>
    <row r="460" spans="1:40" s="306" customFormat="1" ht="15" customHeight="1" x14ac:dyDescent="0.3">
      <c r="A460" s="296"/>
      <c r="B460" s="303"/>
      <c r="C460" s="304"/>
      <c r="D460" s="303"/>
      <c r="E460" s="304"/>
      <c r="F460" s="304"/>
      <c r="G460" s="304"/>
      <c r="H460" s="305"/>
      <c r="I460" s="305"/>
      <c r="J460" s="305"/>
      <c r="K460" s="305"/>
      <c r="L460" s="305"/>
      <c r="M460" s="305"/>
      <c r="N460" s="305"/>
      <c r="O460" s="305"/>
      <c r="P460" s="305"/>
      <c r="Q460" s="305"/>
      <c r="R460" s="305"/>
      <c r="S460" s="305"/>
      <c r="T460" s="305"/>
      <c r="U460" s="296"/>
      <c r="V460" s="303"/>
      <c r="W460" s="303"/>
      <c r="X460" s="303"/>
      <c r="Y460" s="305"/>
      <c r="Z460" s="305"/>
      <c r="AA460" s="305"/>
      <c r="AB460" s="304"/>
      <c r="AC460" s="305"/>
      <c r="AD460" s="305"/>
      <c r="AE460" s="305"/>
      <c r="AF460" s="305"/>
      <c r="AG460" s="305"/>
      <c r="AH460" s="305"/>
      <c r="AI460" s="305"/>
      <c r="AJ460" s="305"/>
      <c r="AK460" s="305"/>
      <c r="AL460" s="305"/>
      <c r="AM460" s="305"/>
      <c r="AN460" s="305"/>
    </row>
    <row r="461" spans="1:40" s="306" customFormat="1" ht="15" customHeight="1" x14ac:dyDescent="0.3">
      <c r="A461" s="296"/>
      <c r="B461" s="303"/>
      <c r="C461" s="304"/>
      <c r="D461" s="303"/>
      <c r="E461" s="304"/>
      <c r="F461" s="304"/>
      <c r="G461" s="304"/>
      <c r="H461" s="305"/>
      <c r="I461" s="305"/>
      <c r="J461" s="305"/>
      <c r="K461" s="305"/>
      <c r="L461" s="305"/>
      <c r="M461" s="305"/>
      <c r="N461" s="305"/>
      <c r="O461" s="305"/>
      <c r="P461" s="305"/>
      <c r="Q461" s="305"/>
      <c r="R461" s="305"/>
      <c r="S461" s="305"/>
      <c r="T461" s="305"/>
      <c r="U461" s="296"/>
      <c r="V461" s="303"/>
      <c r="W461" s="303"/>
      <c r="X461" s="303"/>
      <c r="Y461" s="305"/>
      <c r="Z461" s="305"/>
      <c r="AA461" s="305"/>
      <c r="AB461" s="304"/>
      <c r="AC461" s="305"/>
      <c r="AD461" s="305"/>
      <c r="AE461" s="305"/>
      <c r="AF461" s="305"/>
      <c r="AG461" s="305"/>
      <c r="AH461" s="305"/>
      <c r="AI461" s="305"/>
      <c r="AJ461" s="305"/>
      <c r="AK461" s="305"/>
      <c r="AL461" s="305"/>
      <c r="AM461" s="305"/>
      <c r="AN461" s="305"/>
    </row>
    <row r="462" spans="1:40" s="306" customFormat="1" ht="15" customHeight="1" x14ac:dyDescent="0.3">
      <c r="A462" s="296"/>
      <c r="B462" s="303"/>
      <c r="C462" s="304"/>
      <c r="D462" s="303"/>
      <c r="E462" s="304"/>
      <c r="F462" s="304"/>
      <c r="G462" s="304"/>
      <c r="H462" s="305"/>
      <c r="I462" s="305"/>
      <c r="J462" s="305"/>
      <c r="K462" s="305"/>
      <c r="L462" s="305"/>
      <c r="M462" s="305"/>
      <c r="N462" s="305"/>
      <c r="O462" s="305"/>
      <c r="P462" s="305"/>
      <c r="Q462" s="305"/>
      <c r="R462" s="305"/>
      <c r="S462" s="305"/>
      <c r="T462" s="305"/>
      <c r="U462" s="296"/>
      <c r="V462" s="303"/>
      <c r="W462" s="303"/>
      <c r="X462" s="303"/>
      <c r="Y462" s="305"/>
      <c r="Z462" s="305"/>
      <c r="AA462" s="305"/>
      <c r="AB462" s="304"/>
      <c r="AC462" s="305"/>
      <c r="AD462" s="305"/>
      <c r="AE462" s="305"/>
      <c r="AF462" s="305"/>
      <c r="AG462" s="305"/>
      <c r="AH462" s="305"/>
      <c r="AI462" s="305"/>
      <c r="AJ462" s="305"/>
      <c r="AK462" s="305"/>
      <c r="AL462" s="305"/>
      <c r="AM462" s="305"/>
      <c r="AN462" s="305"/>
    </row>
    <row r="463" spans="1:40" s="306" customFormat="1" ht="15" customHeight="1" x14ac:dyDescent="0.3">
      <c r="A463" s="296"/>
      <c r="B463" s="303"/>
      <c r="C463" s="304"/>
      <c r="D463" s="303"/>
      <c r="E463" s="304"/>
      <c r="F463" s="304"/>
      <c r="G463" s="304"/>
      <c r="H463" s="305"/>
      <c r="I463" s="305"/>
      <c r="J463" s="305"/>
      <c r="K463" s="305"/>
      <c r="L463" s="305"/>
      <c r="M463" s="305"/>
      <c r="N463" s="305"/>
      <c r="O463" s="305"/>
      <c r="P463" s="305"/>
      <c r="Q463" s="305"/>
      <c r="R463" s="305"/>
      <c r="S463" s="305"/>
      <c r="T463" s="305"/>
      <c r="U463" s="296"/>
      <c r="V463" s="303"/>
      <c r="W463" s="303"/>
      <c r="X463" s="303"/>
      <c r="Y463" s="305"/>
      <c r="Z463" s="305"/>
      <c r="AA463" s="305"/>
      <c r="AB463" s="304"/>
      <c r="AC463" s="305"/>
      <c r="AD463" s="305"/>
      <c r="AE463" s="305"/>
      <c r="AF463" s="305"/>
      <c r="AG463" s="305"/>
      <c r="AH463" s="305"/>
      <c r="AI463" s="305"/>
      <c r="AJ463" s="305"/>
      <c r="AK463" s="305"/>
      <c r="AL463" s="305"/>
      <c r="AM463" s="305"/>
      <c r="AN463" s="305"/>
    </row>
    <row r="464" spans="1:40" s="306" customFormat="1" ht="15" customHeight="1" x14ac:dyDescent="0.3">
      <c r="A464" s="296"/>
      <c r="B464" s="303"/>
      <c r="C464" s="304"/>
      <c r="D464" s="303"/>
      <c r="E464" s="304"/>
      <c r="F464" s="304"/>
      <c r="G464" s="304"/>
      <c r="H464" s="305"/>
      <c r="I464" s="305"/>
      <c r="J464" s="305"/>
      <c r="K464" s="305"/>
      <c r="L464" s="305"/>
      <c r="M464" s="305"/>
      <c r="N464" s="305"/>
      <c r="O464" s="305"/>
      <c r="P464" s="305"/>
      <c r="Q464" s="305"/>
      <c r="R464" s="305"/>
      <c r="S464" s="305"/>
      <c r="T464" s="305"/>
      <c r="U464" s="296"/>
      <c r="V464" s="303"/>
      <c r="W464" s="303"/>
      <c r="X464" s="303"/>
      <c r="Y464" s="305"/>
      <c r="Z464" s="305"/>
      <c r="AA464" s="305"/>
      <c r="AB464" s="304"/>
      <c r="AC464" s="305"/>
      <c r="AD464" s="305"/>
      <c r="AE464" s="305"/>
      <c r="AF464" s="305"/>
      <c r="AG464" s="305"/>
      <c r="AH464" s="305"/>
      <c r="AI464" s="305"/>
      <c r="AJ464" s="305"/>
      <c r="AK464" s="305"/>
      <c r="AL464" s="305"/>
      <c r="AM464" s="305"/>
      <c r="AN464" s="305"/>
    </row>
    <row r="465" spans="1:40" s="306" customFormat="1" ht="15" customHeight="1" x14ac:dyDescent="0.3">
      <c r="A465" s="296"/>
      <c r="B465" s="303"/>
      <c r="C465" s="304"/>
      <c r="D465" s="303"/>
      <c r="E465" s="304"/>
      <c r="F465" s="304"/>
      <c r="G465" s="304"/>
      <c r="H465" s="305"/>
      <c r="I465" s="305"/>
      <c r="J465" s="305"/>
      <c r="K465" s="305"/>
      <c r="L465" s="305"/>
      <c r="M465" s="305"/>
      <c r="N465" s="305"/>
      <c r="O465" s="305"/>
      <c r="P465" s="305"/>
      <c r="Q465" s="305"/>
      <c r="R465" s="305"/>
      <c r="S465" s="305"/>
      <c r="T465" s="305"/>
      <c r="U465" s="296"/>
      <c r="V465" s="303"/>
      <c r="W465" s="303"/>
      <c r="X465" s="303"/>
      <c r="Y465" s="305"/>
      <c r="Z465" s="305"/>
      <c r="AA465" s="305"/>
      <c r="AB465" s="304"/>
      <c r="AC465" s="305"/>
      <c r="AD465" s="305"/>
      <c r="AE465" s="305"/>
      <c r="AF465" s="305"/>
      <c r="AG465" s="305"/>
      <c r="AH465" s="305"/>
      <c r="AI465" s="305"/>
      <c r="AJ465" s="305"/>
      <c r="AK465" s="305"/>
      <c r="AL465" s="305"/>
      <c r="AM465" s="305"/>
      <c r="AN465" s="305"/>
    </row>
    <row r="466" spans="1:40" s="306" customFormat="1" ht="15" customHeight="1" x14ac:dyDescent="0.3">
      <c r="A466" s="296"/>
      <c r="B466" s="303"/>
      <c r="C466" s="304"/>
      <c r="D466" s="303"/>
      <c r="E466" s="304"/>
      <c r="F466" s="304"/>
      <c r="G466" s="304"/>
      <c r="H466" s="305"/>
      <c r="I466" s="305"/>
      <c r="J466" s="305"/>
      <c r="K466" s="305"/>
      <c r="L466" s="305"/>
      <c r="M466" s="305"/>
      <c r="N466" s="305"/>
      <c r="O466" s="305"/>
      <c r="P466" s="305"/>
      <c r="Q466" s="305"/>
      <c r="R466" s="305"/>
      <c r="S466" s="305"/>
      <c r="T466" s="305"/>
      <c r="U466" s="296"/>
      <c r="V466" s="303"/>
      <c r="W466" s="303"/>
      <c r="X466" s="303"/>
      <c r="Y466" s="305"/>
      <c r="Z466" s="305"/>
      <c r="AA466" s="305"/>
      <c r="AB466" s="304"/>
      <c r="AC466" s="305"/>
      <c r="AD466" s="305"/>
      <c r="AE466" s="305"/>
      <c r="AF466" s="305"/>
      <c r="AG466" s="305"/>
      <c r="AH466" s="305"/>
      <c r="AI466" s="305"/>
      <c r="AJ466" s="305"/>
      <c r="AK466" s="305"/>
      <c r="AL466" s="305"/>
      <c r="AM466" s="305"/>
      <c r="AN466" s="305"/>
    </row>
    <row r="467" spans="1:40" s="306" customFormat="1" ht="15" customHeight="1" x14ac:dyDescent="0.3">
      <c r="A467" s="296"/>
      <c r="B467" s="303"/>
      <c r="C467" s="304"/>
      <c r="D467" s="303"/>
      <c r="E467" s="304"/>
      <c r="F467" s="304"/>
      <c r="G467" s="304"/>
      <c r="H467" s="305"/>
      <c r="I467" s="305"/>
      <c r="J467" s="305"/>
      <c r="K467" s="305"/>
      <c r="L467" s="305"/>
      <c r="M467" s="305"/>
      <c r="N467" s="305"/>
      <c r="O467" s="305"/>
      <c r="P467" s="305"/>
      <c r="Q467" s="305"/>
      <c r="R467" s="305"/>
      <c r="S467" s="305"/>
      <c r="T467" s="305"/>
      <c r="U467" s="296"/>
      <c r="V467" s="303"/>
      <c r="W467" s="303"/>
      <c r="X467" s="303"/>
      <c r="Y467" s="305"/>
      <c r="Z467" s="305"/>
      <c r="AA467" s="305"/>
      <c r="AB467" s="304"/>
      <c r="AC467" s="305"/>
      <c r="AD467" s="305"/>
      <c r="AE467" s="305"/>
      <c r="AF467" s="305"/>
      <c r="AG467" s="305"/>
      <c r="AH467" s="305"/>
      <c r="AI467" s="305"/>
      <c r="AJ467" s="305"/>
      <c r="AK467" s="305"/>
      <c r="AL467" s="305"/>
      <c r="AM467" s="305"/>
      <c r="AN467" s="305"/>
    </row>
    <row r="468" spans="1:40" s="306" customFormat="1" ht="15" customHeight="1" x14ac:dyDescent="0.3">
      <c r="A468" s="296"/>
      <c r="B468" s="303"/>
      <c r="C468" s="304"/>
      <c r="D468" s="303"/>
      <c r="E468" s="304"/>
      <c r="F468" s="304"/>
      <c r="G468" s="304"/>
      <c r="H468" s="305"/>
      <c r="I468" s="305"/>
      <c r="J468" s="305"/>
      <c r="K468" s="305"/>
      <c r="L468" s="305"/>
      <c r="M468" s="305"/>
      <c r="N468" s="305"/>
      <c r="O468" s="305"/>
      <c r="P468" s="305"/>
      <c r="Q468" s="305"/>
      <c r="R468" s="305"/>
      <c r="S468" s="305"/>
      <c r="T468" s="305"/>
      <c r="U468" s="296"/>
      <c r="V468" s="303"/>
      <c r="W468" s="303"/>
      <c r="X468" s="303"/>
      <c r="Y468" s="305"/>
      <c r="Z468" s="305"/>
      <c r="AA468" s="305"/>
      <c r="AB468" s="304"/>
      <c r="AC468" s="305"/>
      <c r="AD468" s="305"/>
      <c r="AE468" s="305"/>
      <c r="AF468" s="305"/>
      <c r="AG468" s="305"/>
      <c r="AH468" s="305"/>
      <c r="AI468" s="305"/>
      <c r="AJ468" s="305"/>
      <c r="AK468" s="305"/>
      <c r="AL468" s="305"/>
      <c r="AM468" s="305"/>
      <c r="AN468" s="305"/>
    </row>
    <row r="469" spans="1:40" s="306" customFormat="1" ht="15" customHeight="1" x14ac:dyDescent="0.3">
      <c r="A469" s="296"/>
      <c r="B469" s="303"/>
      <c r="C469" s="304"/>
      <c r="D469" s="303"/>
      <c r="E469" s="304"/>
      <c r="F469" s="304"/>
      <c r="G469" s="304"/>
      <c r="H469" s="305"/>
      <c r="I469" s="305"/>
      <c r="J469" s="305"/>
      <c r="K469" s="305"/>
      <c r="L469" s="305"/>
      <c r="M469" s="305"/>
      <c r="N469" s="305"/>
      <c r="O469" s="305"/>
      <c r="P469" s="305"/>
      <c r="Q469" s="305"/>
      <c r="R469" s="305"/>
      <c r="S469" s="305"/>
      <c r="T469" s="305"/>
      <c r="U469" s="296"/>
      <c r="V469" s="303"/>
      <c r="W469" s="303"/>
      <c r="X469" s="303"/>
      <c r="Y469" s="305"/>
      <c r="Z469" s="305"/>
      <c r="AA469" s="305"/>
      <c r="AB469" s="304"/>
      <c r="AC469" s="305"/>
      <c r="AD469" s="305"/>
      <c r="AE469" s="305"/>
      <c r="AF469" s="305"/>
      <c r="AG469" s="305"/>
      <c r="AH469" s="305"/>
      <c r="AI469" s="305"/>
      <c r="AJ469" s="305"/>
      <c r="AK469" s="305"/>
      <c r="AL469" s="305"/>
      <c r="AM469" s="305"/>
      <c r="AN469" s="305"/>
    </row>
    <row r="470" spans="1:40" s="306" customFormat="1" ht="15" customHeight="1" x14ac:dyDescent="0.3">
      <c r="A470" s="296"/>
      <c r="B470" s="303"/>
      <c r="C470" s="304"/>
      <c r="D470" s="303"/>
      <c r="E470" s="304"/>
      <c r="F470" s="304"/>
      <c r="G470" s="304"/>
      <c r="H470" s="305"/>
      <c r="I470" s="305"/>
      <c r="J470" s="305"/>
      <c r="K470" s="305"/>
      <c r="L470" s="305"/>
      <c r="M470" s="305"/>
      <c r="N470" s="305"/>
      <c r="O470" s="305"/>
      <c r="P470" s="305"/>
      <c r="Q470" s="305"/>
      <c r="R470" s="305"/>
      <c r="S470" s="305"/>
      <c r="T470" s="305"/>
      <c r="U470" s="296"/>
      <c r="V470" s="303"/>
      <c r="W470" s="303"/>
      <c r="X470" s="303"/>
      <c r="Y470" s="305"/>
      <c r="Z470" s="305"/>
      <c r="AA470" s="305"/>
      <c r="AB470" s="304"/>
      <c r="AC470" s="305"/>
      <c r="AD470" s="305"/>
      <c r="AE470" s="305"/>
      <c r="AF470" s="305"/>
      <c r="AG470" s="305"/>
      <c r="AH470" s="305"/>
      <c r="AI470" s="305"/>
      <c r="AJ470" s="305"/>
      <c r="AK470" s="305"/>
      <c r="AL470" s="305"/>
      <c r="AM470" s="305"/>
      <c r="AN470" s="305"/>
    </row>
    <row r="471" spans="1:40" s="306" customFormat="1" ht="15" customHeight="1" x14ac:dyDescent="0.3">
      <c r="A471" s="296"/>
      <c r="B471" s="303"/>
      <c r="C471" s="304"/>
      <c r="D471" s="303"/>
      <c r="E471" s="304"/>
      <c r="F471" s="304"/>
      <c r="G471" s="304"/>
      <c r="H471" s="305"/>
      <c r="I471" s="305"/>
      <c r="J471" s="305"/>
      <c r="K471" s="305"/>
      <c r="L471" s="305"/>
      <c r="M471" s="305"/>
      <c r="N471" s="305"/>
      <c r="O471" s="305"/>
      <c r="P471" s="305"/>
      <c r="Q471" s="305"/>
      <c r="R471" s="305"/>
      <c r="S471" s="305"/>
      <c r="T471" s="305"/>
      <c r="U471" s="296"/>
      <c r="V471" s="303"/>
      <c r="W471" s="303"/>
      <c r="X471" s="303"/>
      <c r="Y471" s="305"/>
      <c r="Z471" s="305"/>
      <c r="AA471" s="305"/>
      <c r="AB471" s="304"/>
      <c r="AC471" s="305"/>
      <c r="AD471" s="305"/>
      <c r="AE471" s="305"/>
      <c r="AF471" s="305"/>
      <c r="AG471" s="305"/>
      <c r="AH471" s="305"/>
      <c r="AI471" s="305"/>
      <c r="AJ471" s="305"/>
      <c r="AK471" s="305"/>
      <c r="AL471" s="305"/>
      <c r="AM471" s="305"/>
      <c r="AN471" s="305"/>
    </row>
    <row r="472" spans="1:40" s="306" customFormat="1" ht="15" customHeight="1" x14ac:dyDescent="0.3">
      <c r="A472" s="296"/>
      <c r="B472" s="303"/>
      <c r="C472" s="304"/>
      <c r="D472" s="303"/>
      <c r="E472" s="304"/>
      <c r="F472" s="304"/>
      <c r="G472" s="304"/>
      <c r="H472" s="305"/>
      <c r="I472" s="305"/>
      <c r="J472" s="305"/>
      <c r="K472" s="305"/>
      <c r="L472" s="305"/>
      <c r="M472" s="305"/>
      <c r="N472" s="305"/>
      <c r="O472" s="305"/>
      <c r="P472" s="305"/>
      <c r="Q472" s="305"/>
      <c r="R472" s="305"/>
      <c r="S472" s="305"/>
      <c r="T472" s="305"/>
      <c r="U472" s="296"/>
      <c r="V472" s="303"/>
      <c r="W472" s="303"/>
      <c r="X472" s="303"/>
      <c r="Y472" s="305"/>
      <c r="Z472" s="305"/>
      <c r="AA472" s="305"/>
      <c r="AB472" s="304"/>
      <c r="AC472" s="305"/>
      <c r="AD472" s="305"/>
      <c r="AE472" s="305"/>
      <c r="AF472" s="305"/>
      <c r="AG472" s="305"/>
      <c r="AH472" s="305"/>
      <c r="AI472" s="305"/>
      <c r="AJ472" s="305"/>
      <c r="AK472" s="305"/>
      <c r="AL472" s="305"/>
      <c r="AM472" s="305"/>
      <c r="AN472" s="305"/>
    </row>
    <row r="473" spans="1:40" s="306" customFormat="1" ht="15" customHeight="1" x14ac:dyDescent="0.3">
      <c r="A473" s="296"/>
      <c r="B473" s="303"/>
      <c r="C473" s="304"/>
      <c r="D473" s="303"/>
      <c r="E473" s="304"/>
      <c r="F473" s="304"/>
      <c r="G473" s="304"/>
      <c r="H473" s="305"/>
      <c r="I473" s="305"/>
      <c r="J473" s="305"/>
      <c r="K473" s="305"/>
      <c r="L473" s="305"/>
      <c r="M473" s="305"/>
      <c r="N473" s="305"/>
      <c r="O473" s="305"/>
      <c r="P473" s="305"/>
      <c r="Q473" s="305"/>
      <c r="R473" s="305"/>
      <c r="S473" s="305"/>
      <c r="T473" s="305"/>
      <c r="U473" s="296"/>
      <c r="V473" s="303"/>
      <c r="W473" s="303"/>
      <c r="X473" s="303"/>
      <c r="Y473" s="305"/>
      <c r="Z473" s="305"/>
      <c r="AA473" s="305"/>
      <c r="AB473" s="304"/>
      <c r="AC473" s="305"/>
      <c r="AD473" s="305"/>
      <c r="AE473" s="305"/>
      <c r="AF473" s="305"/>
      <c r="AG473" s="305"/>
      <c r="AH473" s="305"/>
      <c r="AI473" s="305"/>
      <c r="AJ473" s="305"/>
      <c r="AK473" s="305"/>
      <c r="AL473" s="305"/>
      <c r="AM473" s="305"/>
      <c r="AN473" s="305"/>
    </row>
    <row r="474" spans="1:40" s="306" customFormat="1" ht="15" customHeight="1" x14ac:dyDescent="0.3">
      <c r="A474" s="296"/>
      <c r="B474" s="303"/>
      <c r="C474" s="304"/>
      <c r="D474" s="303"/>
      <c r="E474" s="304"/>
      <c r="F474" s="304"/>
      <c r="G474" s="304"/>
      <c r="H474" s="305"/>
      <c r="I474" s="305"/>
      <c r="J474" s="305"/>
      <c r="K474" s="305"/>
      <c r="L474" s="305"/>
      <c r="M474" s="305"/>
      <c r="N474" s="305"/>
      <c r="O474" s="305"/>
      <c r="P474" s="305"/>
      <c r="Q474" s="305"/>
      <c r="R474" s="305"/>
      <c r="S474" s="305"/>
      <c r="T474" s="305"/>
      <c r="U474" s="296"/>
      <c r="V474" s="303"/>
      <c r="W474" s="303"/>
      <c r="X474" s="303"/>
      <c r="Y474" s="305"/>
      <c r="Z474" s="305"/>
      <c r="AA474" s="305"/>
      <c r="AB474" s="304"/>
      <c r="AC474" s="305"/>
      <c r="AD474" s="305"/>
      <c r="AE474" s="305"/>
      <c r="AF474" s="305"/>
      <c r="AG474" s="305"/>
      <c r="AH474" s="305"/>
      <c r="AI474" s="305"/>
      <c r="AJ474" s="305"/>
      <c r="AK474" s="305"/>
      <c r="AL474" s="305"/>
      <c r="AM474" s="305"/>
      <c r="AN474" s="305"/>
    </row>
    <row r="475" spans="1:40" s="306" customFormat="1" ht="15" customHeight="1" x14ac:dyDescent="0.3">
      <c r="A475" s="296"/>
      <c r="B475" s="303"/>
      <c r="C475" s="304"/>
      <c r="D475" s="303"/>
      <c r="E475" s="304"/>
      <c r="F475" s="304"/>
      <c r="G475" s="304"/>
      <c r="H475" s="305"/>
      <c r="I475" s="305"/>
      <c r="J475" s="305"/>
      <c r="K475" s="305"/>
      <c r="L475" s="305"/>
      <c r="M475" s="305"/>
      <c r="N475" s="305"/>
      <c r="O475" s="305"/>
      <c r="P475" s="305"/>
      <c r="Q475" s="305"/>
      <c r="R475" s="305"/>
      <c r="S475" s="305"/>
      <c r="T475" s="305"/>
      <c r="U475" s="296"/>
      <c r="V475" s="303"/>
      <c r="W475" s="303"/>
      <c r="X475" s="303"/>
      <c r="Y475" s="305"/>
      <c r="Z475" s="305"/>
      <c r="AA475" s="305"/>
      <c r="AB475" s="304"/>
      <c r="AC475" s="305"/>
      <c r="AD475" s="305"/>
      <c r="AE475" s="305"/>
      <c r="AF475" s="305"/>
      <c r="AG475" s="305"/>
      <c r="AH475" s="305"/>
      <c r="AI475" s="305"/>
      <c r="AJ475" s="305"/>
      <c r="AK475" s="305"/>
      <c r="AL475" s="305"/>
      <c r="AM475" s="305"/>
      <c r="AN475" s="305"/>
    </row>
    <row r="476" spans="1:40" s="306" customFormat="1" ht="15" customHeight="1" x14ac:dyDescent="0.3">
      <c r="A476" s="296"/>
      <c r="B476" s="303"/>
      <c r="C476" s="304"/>
      <c r="D476" s="303"/>
      <c r="E476" s="304"/>
      <c r="F476" s="304"/>
      <c r="G476" s="304"/>
      <c r="H476" s="305"/>
      <c r="I476" s="305"/>
      <c r="J476" s="305"/>
      <c r="K476" s="305"/>
      <c r="L476" s="305"/>
      <c r="M476" s="305"/>
      <c r="N476" s="305"/>
      <c r="O476" s="305"/>
      <c r="P476" s="305"/>
      <c r="Q476" s="305"/>
      <c r="R476" s="305"/>
      <c r="S476" s="305"/>
      <c r="T476" s="305"/>
      <c r="U476" s="296"/>
      <c r="V476" s="303"/>
      <c r="W476" s="303"/>
      <c r="X476" s="303"/>
      <c r="Y476" s="305"/>
      <c r="Z476" s="305"/>
      <c r="AA476" s="305"/>
      <c r="AB476" s="304"/>
      <c r="AC476" s="305"/>
      <c r="AD476" s="305"/>
      <c r="AE476" s="305"/>
      <c r="AF476" s="305"/>
      <c r="AG476" s="305"/>
      <c r="AH476" s="305"/>
      <c r="AI476" s="305"/>
      <c r="AJ476" s="305"/>
      <c r="AK476" s="305"/>
      <c r="AL476" s="305"/>
      <c r="AM476" s="305"/>
      <c r="AN476" s="305"/>
    </row>
    <row r="477" spans="1:40" s="306" customFormat="1" ht="15" customHeight="1" x14ac:dyDescent="0.3">
      <c r="A477" s="296"/>
      <c r="B477" s="303"/>
      <c r="C477" s="304"/>
      <c r="D477" s="303"/>
      <c r="E477" s="304"/>
      <c r="F477" s="304"/>
      <c r="G477" s="304"/>
      <c r="H477" s="305"/>
      <c r="I477" s="305"/>
      <c r="J477" s="305"/>
      <c r="K477" s="305"/>
      <c r="L477" s="305"/>
      <c r="M477" s="305"/>
      <c r="N477" s="305"/>
      <c r="O477" s="305"/>
      <c r="P477" s="305"/>
      <c r="Q477" s="305"/>
      <c r="R477" s="305"/>
      <c r="S477" s="305"/>
      <c r="T477" s="305"/>
      <c r="U477" s="296"/>
      <c r="V477" s="303"/>
      <c r="W477" s="303"/>
      <c r="X477" s="303"/>
      <c r="Y477" s="305"/>
      <c r="Z477" s="305"/>
      <c r="AA477" s="305"/>
      <c r="AB477" s="304"/>
      <c r="AC477" s="305"/>
      <c r="AD477" s="305"/>
      <c r="AE477" s="305"/>
      <c r="AF477" s="305"/>
      <c r="AG477" s="305"/>
      <c r="AH477" s="305"/>
      <c r="AI477" s="305"/>
      <c r="AJ477" s="305"/>
      <c r="AK477" s="305"/>
      <c r="AL477" s="305"/>
      <c r="AM477" s="305"/>
      <c r="AN477" s="305"/>
    </row>
    <row r="478" spans="1:40" s="306" customFormat="1" ht="15" customHeight="1" x14ac:dyDescent="0.3">
      <c r="A478" s="296"/>
      <c r="B478" s="303"/>
      <c r="C478" s="304"/>
      <c r="D478" s="303"/>
      <c r="E478" s="304"/>
      <c r="F478" s="304"/>
      <c r="G478" s="304"/>
      <c r="H478" s="305"/>
      <c r="I478" s="305"/>
      <c r="J478" s="305"/>
      <c r="K478" s="305"/>
      <c r="L478" s="305"/>
      <c r="M478" s="305"/>
      <c r="N478" s="305"/>
      <c r="O478" s="305"/>
      <c r="P478" s="305"/>
      <c r="Q478" s="305"/>
      <c r="R478" s="305"/>
      <c r="S478" s="305"/>
      <c r="T478" s="305"/>
      <c r="U478" s="296"/>
      <c r="V478" s="303"/>
      <c r="W478" s="303"/>
      <c r="X478" s="303"/>
      <c r="Y478" s="305"/>
      <c r="Z478" s="305"/>
      <c r="AA478" s="305"/>
      <c r="AB478" s="304"/>
      <c r="AC478" s="305"/>
      <c r="AD478" s="305"/>
      <c r="AE478" s="305"/>
      <c r="AF478" s="305"/>
      <c r="AG478" s="305"/>
      <c r="AH478" s="305"/>
      <c r="AI478" s="305"/>
      <c r="AJ478" s="305"/>
      <c r="AK478" s="305"/>
      <c r="AL478" s="305"/>
      <c r="AM478" s="305"/>
      <c r="AN478" s="305"/>
    </row>
    <row r="479" spans="1:40" s="306" customFormat="1" ht="15" customHeight="1" x14ac:dyDescent="0.3">
      <c r="A479" s="296"/>
      <c r="B479" s="303"/>
      <c r="C479" s="304"/>
      <c r="D479" s="303"/>
      <c r="E479" s="304"/>
      <c r="F479" s="304"/>
      <c r="G479" s="304"/>
      <c r="H479" s="305"/>
      <c r="I479" s="305"/>
      <c r="J479" s="305"/>
      <c r="K479" s="305"/>
      <c r="L479" s="305"/>
      <c r="M479" s="305"/>
      <c r="N479" s="305"/>
      <c r="O479" s="305"/>
      <c r="P479" s="305"/>
      <c r="Q479" s="305"/>
      <c r="R479" s="305"/>
      <c r="S479" s="305"/>
      <c r="T479" s="305"/>
      <c r="U479" s="296"/>
      <c r="V479" s="303"/>
      <c r="W479" s="303"/>
      <c r="X479" s="303"/>
      <c r="Y479" s="305"/>
      <c r="Z479" s="305"/>
      <c r="AA479" s="305"/>
      <c r="AB479" s="304"/>
      <c r="AC479" s="305"/>
      <c r="AD479" s="305"/>
      <c r="AE479" s="305"/>
      <c r="AF479" s="305"/>
      <c r="AG479" s="305"/>
      <c r="AH479" s="305"/>
      <c r="AI479" s="305"/>
      <c r="AJ479" s="305"/>
      <c r="AK479" s="305"/>
      <c r="AL479" s="305"/>
      <c r="AM479" s="305"/>
      <c r="AN479" s="305"/>
    </row>
    <row r="480" spans="1:40" s="306" customFormat="1" ht="15" customHeight="1" x14ac:dyDescent="0.3">
      <c r="A480" s="296"/>
      <c r="B480" s="303"/>
      <c r="C480" s="304"/>
      <c r="D480" s="303"/>
      <c r="E480" s="304"/>
      <c r="F480" s="304"/>
      <c r="G480" s="304"/>
      <c r="H480" s="305"/>
      <c r="I480" s="305"/>
      <c r="J480" s="305"/>
      <c r="K480" s="305"/>
      <c r="L480" s="305"/>
      <c r="M480" s="305"/>
      <c r="N480" s="305"/>
      <c r="O480" s="305"/>
      <c r="P480" s="305"/>
      <c r="Q480" s="305"/>
      <c r="R480" s="305"/>
      <c r="S480" s="305"/>
      <c r="T480" s="305"/>
      <c r="U480" s="296"/>
      <c r="V480" s="303"/>
      <c r="W480" s="303"/>
      <c r="X480" s="303"/>
      <c r="Y480" s="305"/>
      <c r="Z480" s="305"/>
      <c r="AA480" s="305"/>
      <c r="AB480" s="304"/>
      <c r="AC480" s="305"/>
      <c r="AD480" s="305"/>
      <c r="AE480" s="305"/>
      <c r="AF480" s="305"/>
      <c r="AG480" s="305"/>
      <c r="AH480" s="305"/>
      <c r="AI480" s="305"/>
      <c r="AJ480" s="305"/>
      <c r="AK480" s="305"/>
      <c r="AL480" s="305"/>
      <c r="AM480" s="305"/>
      <c r="AN480" s="305"/>
    </row>
    <row r="481" spans="1:40" s="306" customFormat="1" ht="15" customHeight="1" x14ac:dyDescent="0.3">
      <c r="A481" s="296"/>
      <c r="B481" s="303"/>
      <c r="C481" s="304"/>
      <c r="D481" s="303"/>
      <c r="E481" s="304"/>
      <c r="F481" s="304"/>
      <c r="G481" s="304"/>
      <c r="H481" s="305"/>
      <c r="I481" s="305"/>
      <c r="J481" s="305"/>
      <c r="K481" s="305"/>
      <c r="L481" s="305"/>
      <c r="M481" s="305"/>
      <c r="N481" s="305"/>
      <c r="O481" s="305"/>
      <c r="P481" s="305"/>
      <c r="Q481" s="305"/>
      <c r="R481" s="305"/>
      <c r="S481" s="305"/>
      <c r="T481" s="305"/>
      <c r="U481" s="296"/>
      <c r="V481" s="303"/>
      <c r="W481" s="303"/>
      <c r="X481" s="303"/>
      <c r="Y481" s="305"/>
      <c r="Z481" s="305"/>
      <c r="AA481" s="305"/>
      <c r="AB481" s="304"/>
      <c r="AC481" s="305"/>
      <c r="AD481" s="305"/>
      <c r="AE481" s="305"/>
      <c r="AF481" s="305"/>
      <c r="AG481" s="305"/>
      <c r="AH481" s="305"/>
      <c r="AI481" s="305"/>
      <c r="AJ481" s="305"/>
      <c r="AK481" s="305"/>
      <c r="AL481" s="305"/>
      <c r="AM481" s="305"/>
      <c r="AN481" s="305"/>
    </row>
    <row r="482" spans="1:40" s="306" customFormat="1" x14ac:dyDescent="0.3">
      <c r="A482" s="296"/>
      <c r="B482" s="303"/>
      <c r="C482" s="304"/>
      <c r="D482" s="303"/>
      <c r="E482" s="304"/>
      <c r="F482" s="304"/>
      <c r="G482" s="304"/>
      <c r="H482" s="305"/>
      <c r="I482" s="305"/>
      <c r="J482" s="305"/>
      <c r="K482" s="305"/>
      <c r="L482" s="305"/>
      <c r="M482" s="305"/>
      <c r="N482" s="305"/>
      <c r="O482" s="305"/>
      <c r="P482" s="305"/>
      <c r="Q482" s="305"/>
      <c r="R482" s="305"/>
      <c r="S482" s="305"/>
      <c r="T482" s="305"/>
      <c r="U482" s="296"/>
      <c r="V482" s="303"/>
      <c r="W482" s="303"/>
      <c r="X482" s="303"/>
      <c r="Y482" s="305"/>
      <c r="Z482" s="305"/>
      <c r="AA482" s="305"/>
      <c r="AB482" s="304"/>
      <c r="AC482" s="305"/>
      <c r="AD482" s="305"/>
      <c r="AE482" s="305"/>
      <c r="AF482" s="305"/>
      <c r="AG482" s="305"/>
      <c r="AH482" s="305"/>
      <c r="AI482" s="305"/>
      <c r="AJ482" s="305"/>
      <c r="AK482" s="305"/>
      <c r="AL482" s="305"/>
      <c r="AM482" s="305"/>
      <c r="AN482" s="305"/>
    </row>
    <row r="483" spans="1:40" s="306" customFormat="1" x14ac:dyDescent="0.3">
      <c r="A483" s="296"/>
      <c r="B483" s="303"/>
      <c r="C483" s="304"/>
      <c r="D483" s="303"/>
      <c r="E483" s="304"/>
      <c r="F483" s="304"/>
      <c r="G483" s="304"/>
      <c r="H483" s="305"/>
      <c r="I483" s="305"/>
      <c r="J483" s="305"/>
      <c r="K483" s="305"/>
      <c r="L483" s="305"/>
      <c r="M483" s="305"/>
      <c r="N483" s="305"/>
      <c r="O483" s="305"/>
      <c r="P483" s="305"/>
      <c r="Q483" s="305"/>
      <c r="R483" s="305"/>
      <c r="S483" s="305"/>
      <c r="T483" s="305"/>
      <c r="U483" s="296"/>
      <c r="V483" s="303"/>
      <c r="W483" s="303"/>
      <c r="X483" s="303"/>
      <c r="Y483" s="305"/>
      <c r="Z483" s="305"/>
      <c r="AA483" s="305"/>
      <c r="AB483" s="304"/>
      <c r="AC483" s="305"/>
      <c r="AD483" s="305"/>
      <c r="AE483" s="305"/>
      <c r="AF483" s="305"/>
      <c r="AG483" s="305"/>
      <c r="AH483" s="305"/>
      <c r="AI483" s="305"/>
      <c r="AJ483" s="305"/>
      <c r="AK483" s="305"/>
      <c r="AL483" s="305"/>
      <c r="AM483" s="305"/>
      <c r="AN483" s="305"/>
    </row>
    <row r="484" spans="1:40" s="306" customFormat="1" x14ac:dyDescent="0.3">
      <c r="A484" s="296"/>
      <c r="B484" s="303"/>
      <c r="C484" s="304"/>
      <c r="D484" s="303"/>
      <c r="E484" s="304"/>
      <c r="F484" s="304"/>
      <c r="G484" s="304"/>
      <c r="H484" s="305"/>
      <c r="I484" s="305"/>
      <c r="J484" s="305"/>
      <c r="K484" s="305"/>
      <c r="L484" s="305"/>
      <c r="M484" s="305"/>
      <c r="N484" s="305"/>
      <c r="O484" s="305"/>
      <c r="P484" s="305"/>
      <c r="Q484" s="305"/>
      <c r="R484" s="305"/>
      <c r="S484" s="305"/>
      <c r="T484" s="305"/>
      <c r="U484" s="296"/>
      <c r="V484" s="303"/>
      <c r="W484" s="303"/>
      <c r="X484" s="303"/>
      <c r="Y484" s="305"/>
      <c r="Z484" s="305"/>
      <c r="AA484" s="305"/>
      <c r="AB484" s="304"/>
      <c r="AC484" s="305"/>
      <c r="AD484" s="305"/>
      <c r="AE484" s="305"/>
      <c r="AF484" s="305"/>
      <c r="AG484" s="305"/>
      <c r="AH484" s="305"/>
      <c r="AI484" s="305"/>
      <c r="AJ484" s="305"/>
      <c r="AK484" s="305"/>
      <c r="AL484" s="305"/>
      <c r="AM484" s="305"/>
      <c r="AN484" s="305"/>
    </row>
    <row r="485" spans="1:40" s="306" customFormat="1" x14ac:dyDescent="0.3">
      <c r="A485" s="296"/>
      <c r="B485" s="303"/>
      <c r="C485" s="304"/>
      <c r="D485" s="303"/>
      <c r="E485" s="304"/>
      <c r="F485" s="304"/>
      <c r="G485" s="304"/>
      <c r="H485" s="305"/>
      <c r="I485" s="305"/>
      <c r="J485" s="305"/>
      <c r="K485" s="305"/>
      <c r="L485" s="305"/>
      <c r="M485" s="305"/>
      <c r="N485" s="305"/>
      <c r="O485" s="305"/>
      <c r="P485" s="305"/>
      <c r="Q485" s="305"/>
      <c r="R485" s="305"/>
      <c r="S485" s="305"/>
      <c r="T485" s="305"/>
      <c r="U485" s="296"/>
      <c r="V485" s="303"/>
      <c r="W485" s="303"/>
      <c r="X485" s="303"/>
      <c r="Y485" s="305"/>
      <c r="Z485" s="305"/>
      <c r="AA485" s="305"/>
      <c r="AB485" s="304"/>
      <c r="AC485" s="305"/>
      <c r="AD485" s="305"/>
      <c r="AE485" s="305"/>
      <c r="AF485" s="305"/>
      <c r="AG485" s="305"/>
      <c r="AH485" s="305"/>
      <c r="AI485" s="305"/>
      <c r="AJ485" s="305"/>
      <c r="AK485" s="305"/>
      <c r="AL485" s="305"/>
      <c r="AM485" s="305"/>
      <c r="AN485" s="305"/>
    </row>
    <row r="486" spans="1:40" s="306" customFormat="1" x14ac:dyDescent="0.3">
      <c r="A486" s="296"/>
      <c r="B486" s="303"/>
      <c r="C486" s="304"/>
      <c r="D486" s="303"/>
      <c r="E486" s="304"/>
      <c r="F486" s="304"/>
      <c r="G486" s="304"/>
      <c r="H486" s="305"/>
      <c r="I486" s="305"/>
      <c r="J486" s="305"/>
      <c r="K486" s="305"/>
      <c r="L486" s="305"/>
      <c r="M486" s="305"/>
      <c r="N486" s="305"/>
      <c r="O486" s="305"/>
      <c r="P486" s="305"/>
      <c r="Q486" s="305"/>
      <c r="R486" s="305"/>
      <c r="S486" s="305"/>
      <c r="T486" s="305"/>
      <c r="U486" s="296"/>
      <c r="V486" s="303"/>
      <c r="W486" s="303"/>
      <c r="X486" s="303"/>
      <c r="Y486" s="305"/>
      <c r="Z486" s="305"/>
      <c r="AA486" s="305"/>
      <c r="AB486" s="304"/>
      <c r="AC486" s="305"/>
      <c r="AD486" s="305"/>
      <c r="AE486" s="305"/>
      <c r="AF486" s="305"/>
      <c r="AG486" s="305"/>
      <c r="AH486" s="305"/>
      <c r="AI486" s="305"/>
      <c r="AJ486" s="305"/>
      <c r="AK486" s="305"/>
      <c r="AL486" s="305"/>
      <c r="AM486" s="305"/>
      <c r="AN486" s="305"/>
    </row>
    <row r="487" spans="1:40" s="306" customFormat="1" x14ac:dyDescent="0.3">
      <c r="A487" s="296"/>
      <c r="B487" s="303"/>
      <c r="C487" s="304"/>
      <c r="D487" s="303"/>
      <c r="E487" s="304"/>
      <c r="F487" s="304"/>
      <c r="G487" s="304"/>
      <c r="H487" s="305"/>
      <c r="I487" s="305"/>
      <c r="J487" s="305"/>
      <c r="K487" s="305"/>
      <c r="L487" s="305"/>
      <c r="M487" s="305"/>
      <c r="N487" s="305"/>
      <c r="O487" s="305"/>
      <c r="P487" s="305"/>
      <c r="Q487" s="305"/>
      <c r="R487" s="305"/>
      <c r="S487" s="305"/>
      <c r="T487" s="305"/>
      <c r="U487" s="296"/>
      <c r="V487" s="303"/>
      <c r="W487" s="303"/>
      <c r="X487" s="303"/>
      <c r="Y487" s="305"/>
      <c r="Z487" s="305"/>
      <c r="AA487" s="305"/>
      <c r="AB487" s="304"/>
      <c r="AC487" s="305"/>
      <c r="AD487" s="305"/>
      <c r="AE487" s="305"/>
      <c r="AF487" s="305"/>
      <c r="AG487" s="305"/>
      <c r="AH487" s="305"/>
      <c r="AI487" s="305"/>
      <c r="AJ487" s="305"/>
      <c r="AK487" s="305"/>
      <c r="AL487" s="305"/>
      <c r="AM487" s="305"/>
      <c r="AN487" s="305"/>
    </row>
    <row r="488" spans="1:40" s="306" customFormat="1" x14ac:dyDescent="0.3">
      <c r="A488" s="296"/>
      <c r="B488" s="303"/>
      <c r="C488" s="304"/>
      <c r="D488" s="303"/>
      <c r="E488" s="304"/>
      <c r="F488" s="304"/>
      <c r="G488" s="304"/>
      <c r="H488" s="305"/>
      <c r="I488" s="305"/>
      <c r="J488" s="305"/>
      <c r="K488" s="305"/>
      <c r="L488" s="305"/>
      <c r="M488" s="305"/>
      <c r="N488" s="305"/>
      <c r="O488" s="305"/>
      <c r="P488" s="305"/>
      <c r="Q488" s="305"/>
      <c r="R488" s="305"/>
      <c r="S488" s="305"/>
      <c r="T488" s="305"/>
      <c r="U488" s="296"/>
      <c r="V488" s="303"/>
      <c r="W488" s="303"/>
      <c r="X488" s="303"/>
      <c r="Y488" s="305"/>
      <c r="Z488" s="305"/>
      <c r="AA488" s="305"/>
      <c r="AB488" s="304"/>
      <c r="AC488" s="305"/>
      <c r="AD488" s="305"/>
      <c r="AE488" s="305"/>
      <c r="AF488" s="305"/>
      <c r="AG488" s="305"/>
      <c r="AH488" s="305"/>
      <c r="AI488" s="305"/>
      <c r="AJ488" s="305"/>
      <c r="AK488" s="305"/>
      <c r="AL488" s="305"/>
      <c r="AM488" s="305"/>
      <c r="AN488" s="305"/>
    </row>
    <row r="489" spans="1:40" s="306" customFormat="1" x14ac:dyDescent="0.3">
      <c r="A489" s="296"/>
      <c r="B489" s="303"/>
      <c r="C489" s="304"/>
      <c r="D489" s="303"/>
      <c r="E489" s="304"/>
      <c r="F489" s="304"/>
      <c r="G489" s="304"/>
      <c r="H489" s="305"/>
      <c r="I489" s="305"/>
      <c r="J489" s="305"/>
      <c r="K489" s="305"/>
      <c r="L489" s="305"/>
      <c r="M489" s="305"/>
      <c r="N489" s="305"/>
      <c r="O489" s="305"/>
      <c r="P489" s="305"/>
      <c r="Q489" s="305"/>
      <c r="R489" s="305"/>
      <c r="S489" s="305"/>
      <c r="T489" s="305"/>
      <c r="U489" s="296"/>
      <c r="V489" s="303"/>
      <c r="W489" s="303"/>
      <c r="X489" s="303"/>
      <c r="Y489" s="305"/>
      <c r="Z489" s="305"/>
      <c r="AA489" s="305"/>
      <c r="AB489" s="304"/>
      <c r="AC489" s="305"/>
      <c r="AD489" s="305"/>
      <c r="AE489" s="305"/>
      <c r="AF489" s="305"/>
      <c r="AG489" s="305"/>
      <c r="AH489" s="305"/>
      <c r="AI489" s="305"/>
      <c r="AJ489" s="305"/>
      <c r="AK489" s="305"/>
      <c r="AL489" s="305"/>
      <c r="AM489" s="305"/>
      <c r="AN489" s="305"/>
    </row>
    <row r="490" spans="1:40" s="306" customFormat="1" x14ac:dyDescent="0.3">
      <c r="A490" s="296"/>
      <c r="B490" s="303"/>
      <c r="C490" s="304"/>
      <c r="D490" s="303"/>
      <c r="E490" s="304"/>
      <c r="F490" s="304"/>
      <c r="G490" s="304"/>
      <c r="H490" s="305"/>
      <c r="I490" s="305"/>
      <c r="J490" s="305"/>
      <c r="K490" s="305"/>
      <c r="L490" s="305"/>
      <c r="M490" s="305"/>
      <c r="N490" s="305"/>
      <c r="O490" s="305"/>
      <c r="P490" s="305"/>
      <c r="Q490" s="305"/>
      <c r="R490" s="305"/>
      <c r="S490" s="305"/>
      <c r="T490" s="305"/>
      <c r="U490" s="296"/>
      <c r="V490" s="303"/>
      <c r="W490" s="303"/>
      <c r="X490" s="303"/>
      <c r="Y490" s="305"/>
      <c r="Z490" s="305"/>
      <c r="AA490" s="305"/>
      <c r="AB490" s="304"/>
      <c r="AC490" s="305"/>
      <c r="AD490" s="305"/>
      <c r="AE490" s="305"/>
      <c r="AF490" s="305"/>
      <c r="AG490" s="305"/>
      <c r="AH490" s="305"/>
      <c r="AI490" s="305"/>
      <c r="AJ490" s="305"/>
      <c r="AK490" s="305"/>
      <c r="AL490" s="305"/>
      <c r="AM490" s="305"/>
      <c r="AN490" s="305"/>
    </row>
    <row r="491" spans="1:40" s="306" customFormat="1" x14ac:dyDescent="0.3">
      <c r="A491" s="296"/>
      <c r="B491" s="303"/>
      <c r="C491" s="304"/>
      <c r="D491" s="303"/>
      <c r="E491" s="304"/>
      <c r="F491" s="304"/>
      <c r="G491" s="304"/>
      <c r="H491" s="305"/>
      <c r="I491" s="305"/>
      <c r="J491" s="305"/>
      <c r="K491" s="305"/>
      <c r="L491" s="305"/>
      <c r="M491" s="305"/>
      <c r="N491" s="305"/>
      <c r="O491" s="305"/>
      <c r="P491" s="305"/>
      <c r="Q491" s="305"/>
      <c r="R491" s="305"/>
      <c r="S491" s="305"/>
      <c r="T491" s="305"/>
      <c r="U491" s="296"/>
      <c r="V491" s="303"/>
      <c r="W491" s="303"/>
      <c r="X491" s="303"/>
      <c r="Y491" s="305"/>
      <c r="Z491" s="305"/>
      <c r="AA491" s="305"/>
      <c r="AB491" s="304"/>
      <c r="AC491" s="305"/>
      <c r="AD491" s="305"/>
      <c r="AE491" s="305"/>
      <c r="AF491" s="305"/>
      <c r="AG491" s="305"/>
      <c r="AH491" s="305"/>
      <c r="AI491" s="305"/>
      <c r="AJ491" s="305"/>
      <c r="AK491" s="305"/>
      <c r="AL491" s="305"/>
      <c r="AM491" s="305"/>
      <c r="AN491" s="305"/>
    </row>
    <row r="492" spans="1:40" s="306" customFormat="1" x14ac:dyDescent="0.3">
      <c r="A492" s="296"/>
      <c r="B492" s="303"/>
      <c r="C492" s="304"/>
      <c r="D492" s="303"/>
      <c r="E492" s="304"/>
      <c r="F492" s="304"/>
      <c r="G492" s="304"/>
      <c r="H492" s="305"/>
      <c r="I492" s="305"/>
      <c r="J492" s="305"/>
      <c r="K492" s="305"/>
      <c r="L492" s="305"/>
      <c r="M492" s="305"/>
      <c r="N492" s="305"/>
      <c r="O492" s="305"/>
      <c r="P492" s="305"/>
      <c r="Q492" s="305"/>
      <c r="R492" s="305"/>
      <c r="S492" s="305"/>
      <c r="T492" s="305"/>
      <c r="U492" s="296"/>
      <c r="V492" s="303"/>
      <c r="W492" s="303"/>
      <c r="X492" s="303"/>
      <c r="Y492" s="305"/>
      <c r="Z492" s="305"/>
      <c r="AA492" s="305"/>
      <c r="AB492" s="304"/>
      <c r="AC492" s="305"/>
      <c r="AD492" s="305"/>
      <c r="AE492" s="305"/>
      <c r="AF492" s="305"/>
      <c r="AG492" s="305"/>
      <c r="AH492" s="305"/>
      <c r="AI492" s="305"/>
      <c r="AJ492" s="305"/>
      <c r="AK492" s="305"/>
      <c r="AL492" s="305"/>
      <c r="AM492" s="305"/>
      <c r="AN492" s="305"/>
    </row>
    <row r="493" spans="1:40" s="306" customFormat="1" x14ac:dyDescent="0.3">
      <c r="A493" s="296"/>
      <c r="B493" s="303"/>
      <c r="C493" s="304"/>
      <c r="D493" s="303"/>
      <c r="E493" s="304"/>
      <c r="F493" s="304"/>
      <c r="G493" s="304"/>
      <c r="H493" s="305"/>
      <c r="I493" s="305"/>
      <c r="J493" s="305"/>
      <c r="K493" s="305"/>
      <c r="L493" s="305"/>
      <c r="M493" s="305"/>
      <c r="N493" s="305"/>
      <c r="O493" s="305"/>
      <c r="P493" s="305"/>
      <c r="Q493" s="305"/>
      <c r="R493" s="305"/>
      <c r="S493" s="305"/>
      <c r="T493" s="305"/>
      <c r="U493" s="296"/>
      <c r="V493" s="303"/>
      <c r="W493" s="303"/>
      <c r="X493" s="303"/>
      <c r="Y493" s="305"/>
      <c r="Z493" s="305"/>
      <c r="AA493" s="305"/>
      <c r="AB493" s="304"/>
      <c r="AC493" s="305"/>
      <c r="AD493" s="305"/>
      <c r="AE493" s="305"/>
      <c r="AF493" s="305"/>
      <c r="AG493" s="305"/>
      <c r="AH493" s="305"/>
      <c r="AI493" s="305"/>
      <c r="AJ493" s="305"/>
      <c r="AK493" s="305"/>
      <c r="AL493" s="305"/>
      <c r="AM493" s="305"/>
      <c r="AN493" s="305"/>
    </row>
    <row r="494" spans="1:40" s="306" customFormat="1" x14ac:dyDescent="0.3">
      <c r="A494" s="296"/>
      <c r="B494" s="303"/>
      <c r="C494" s="304"/>
      <c r="D494" s="303"/>
      <c r="E494" s="304"/>
      <c r="F494" s="304"/>
      <c r="G494" s="304"/>
      <c r="H494" s="305"/>
      <c r="I494" s="305"/>
      <c r="J494" s="305"/>
      <c r="K494" s="305"/>
      <c r="L494" s="305"/>
      <c r="M494" s="305"/>
      <c r="N494" s="305"/>
      <c r="O494" s="305"/>
      <c r="P494" s="305"/>
      <c r="Q494" s="305"/>
      <c r="R494" s="305"/>
      <c r="S494" s="305"/>
      <c r="T494" s="305"/>
      <c r="U494" s="296"/>
      <c r="V494" s="303"/>
      <c r="W494" s="303"/>
      <c r="X494" s="303"/>
      <c r="Y494" s="305"/>
      <c r="Z494" s="305"/>
      <c r="AA494" s="305"/>
      <c r="AB494" s="304"/>
      <c r="AC494" s="305"/>
      <c r="AD494" s="305"/>
      <c r="AE494" s="305"/>
      <c r="AF494" s="305"/>
      <c r="AG494" s="305"/>
      <c r="AH494" s="305"/>
      <c r="AI494" s="305"/>
      <c r="AJ494" s="305"/>
      <c r="AK494" s="305"/>
      <c r="AL494" s="305"/>
      <c r="AM494" s="305"/>
      <c r="AN494" s="305"/>
    </row>
    <row r="495" spans="1:40" s="306" customFormat="1" x14ac:dyDescent="0.3">
      <c r="A495" s="296"/>
      <c r="B495" s="303"/>
      <c r="C495" s="304"/>
      <c r="D495" s="303"/>
      <c r="E495" s="304"/>
      <c r="F495" s="304"/>
      <c r="G495" s="304"/>
      <c r="H495" s="305"/>
      <c r="I495" s="305"/>
      <c r="J495" s="305"/>
      <c r="K495" s="305"/>
      <c r="L495" s="305"/>
      <c r="M495" s="305"/>
      <c r="N495" s="305"/>
      <c r="O495" s="305"/>
      <c r="P495" s="305"/>
      <c r="Q495" s="305"/>
      <c r="R495" s="305"/>
      <c r="S495" s="305"/>
      <c r="T495" s="305"/>
      <c r="U495" s="296"/>
      <c r="V495" s="303"/>
      <c r="W495" s="303"/>
      <c r="X495" s="303"/>
      <c r="Y495" s="305"/>
      <c r="Z495" s="305"/>
      <c r="AA495" s="305"/>
      <c r="AB495" s="304"/>
      <c r="AC495" s="305"/>
      <c r="AD495" s="305"/>
      <c r="AE495" s="305"/>
      <c r="AF495" s="305"/>
      <c r="AG495" s="305"/>
      <c r="AH495" s="305"/>
      <c r="AI495" s="305"/>
      <c r="AJ495" s="305"/>
      <c r="AK495" s="305"/>
      <c r="AL495" s="305"/>
      <c r="AM495" s="305"/>
      <c r="AN495" s="305"/>
    </row>
    <row r="496" spans="1:40" s="306" customFormat="1" x14ac:dyDescent="0.3">
      <c r="A496" s="296"/>
      <c r="B496" s="303"/>
      <c r="C496" s="304"/>
      <c r="D496" s="303"/>
      <c r="E496" s="304"/>
      <c r="F496" s="304"/>
      <c r="G496" s="304"/>
      <c r="H496" s="305"/>
      <c r="I496" s="305"/>
      <c r="J496" s="305"/>
      <c r="K496" s="305"/>
      <c r="L496" s="305"/>
      <c r="M496" s="305"/>
      <c r="N496" s="305"/>
      <c r="O496" s="305"/>
      <c r="P496" s="305"/>
      <c r="Q496" s="305"/>
      <c r="R496" s="305"/>
      <c r="S496" s="305"/>
      <c r="T496" s="305"/>
      <c r="U496" s="296"/>
      <c r="V496" s="303"/>
      <c r="W496" s="303"/>
      <c r="X496" s="303"/>
      <c r="Y496" s="305"/>
      <c r="Z496" s="305"/>
      <c r="AA496" s="305"/>
      <c r="AB496" s="304"/>
      <c r="AC496" s="305"/>
      <c r="AD496" s="305"/>
      <c r="AE496" s="305"/>
      <c r="AF496" s="305"/>
      <c r="AG496" s="305"/>
      <c r="AH496" s="305"/>
      <c r="AI496" s="305"/>
      <c r="AJ496" s="305"/>
      <c r="AK496" s="305"/>
      <c r="AL496" s="305"/>
      <c r="AM496" s="305"/>
      <c r="AN496" s="305"/>
    </row>
    <row r="497" spans="1:40" s="306" customFormat="1" x14ac:dyDescent="0.3">
      <c r="A497" s="296"/>
      <c r="B497" s="303"/>
      <c r="C497" s="304"/>
      <c r="D497" s="303"/>
      <c r="E497" s="304"/>
      <c r="F497" s="304"/>
      <c r="G497" s="304"/>
      <c r="H497" s="305"/>
      <c r="I497" s="305"/>
      <c r="J497" s="305"/>
      <c r="K497" s="305"/>
      <c r="L497" s="305"/>
      <c r="M497" s="305"/>
      <c r="N497" s="305"/>
      <c r="O497" s="305"/>
      <c r="P497" s="305"/>
      <c r="Q497" s="305"/>
      <c r="R497" s="305"/>
      <c r="S497" s="305"/>
      <c r="T497" s="305"/>
      <c r="U497" s="296"/>
      <c r="V497" s="303"/>
      <c r="W497" s="303"/>
      <c r="X497" s="303"/>
      <c r="Y497" s="305"/>
      <c r="Z497" s="305"/>
      <c r="AA497" s="305"/>
      <c r="AB497" s="304"/>
      <c r="AC497" s="305"/>
      <c r="AD497" s="305"/>
      <c r="AE497" s="305"/>
      <c r="AF497" s="305"/>
      <c r="AG497" s="305"/>
      <c r="AH497" s="305"/>
      <c r="AI497" s="305"/>
      <c r="AJ497" s="305"/>
      <c r="AK497" s="305"/>
      <c r="AL497" s="305"/>
      <c r="AM497" s="305"/>
      <c r="AN497" s="305"/>
    </row>
    <row r="498" spans="1:40" s="306" customFormat="1" x14ac:dyDescent="0.3">
      <c r="A498" s="296"/>
      <c r="B498" s="303"/>
      <c r="C498" s="304"/>
      <c r="D498" s="303"/>
      <c r="E498" s="304"/>
      <c r="F498" s="304"/>
      <c r="G498" s="304"/>
      <c r="H498" s="305"/>
      <c r="I498" s="305"/>
      <c r="J498" s="305"/>
      <c r="K498" s="305"/>
      <c r="L498" s="305"/>
      <c r="M498" s="305"/>
      <c r="N498" s="305"/>
      <c r="O498" s="305"/>
      <c r="P498" s="305"/>
      <c r="Q498" s="305"/>
      <c r="R498" s="305"/>
      <c r="S498" s="305"/>
      <c r="T498" s="305"/>
      <c r="U498" s="296"/>
      <c r="V498" s="303"/>
      <c r="W498" s="303"/>
      <c r="X498" s="303"/>
      <c r="Y498" s="305"/>
      <c r="Z498" s="305"/>
      <c r="AA498" s="305"/>
      <c r="AB498" s="304"/>
      <c r="AC498" s="305"/>
      <c r="AD498" s="305"/>
      <c r="AE498" s="305"/>
      <c r="AF498" s="305"/>
      <c r="AG498" s="305"/>
      <c r="AH498" s="305"/>
      <c r="AI498" s="305"/>
      <c r="AJ498" s="305"/>
      <c r="AK498" s="305"/>
      <c r="AL498" s="305"/>
      <c r="AM498" s="305"/>
      <c r="AN498" s="305"/>
    </row>
    <row r="499" spans="1:40" s="306" customFormat="1" x14ac:dyDescent="0.3">
      <c r="A499" s="296"/>
      <c r="B499" s="303"/>
      <c r="C499" s="304"/>
      <c r="D499" s="303"/>
      <c r="E499" s="304"/>
      <c r="F499" s="304"/>
      <c r="G499" s="304"/>
      <c r="H499" s="305"/>
      <c r="I499" s="305"/>
      <c r="J499" s="305"/>
      <c r="K499" s="305"/>
      <c r="L499" s="305"/>
      <c r="M499" s="305"/>
      <c r="N499" s="305"/>
      <c r="O499" s="305"/>
      <c r="P499" s="305"/>
      <c r="Q499" s="305"/>
      <c r="R499" s="305"/>
      <c r="S499" s="305"/>
      <c r="T499" s="305"/>
      <c r="U499" s="296"/>
      <c r="V499" s="303"/>
      <c r="W499" s="303"/>
      <c r="X499" s="303"/>
      <c r="Y499" s="305"/>
      <c r="Z499" s="305"/>
      <c r="AA499" s="305"/>
      <c r="AB499" s="304"/>
      <c r="AC499" s="305"/>
      <c r="AD499" s="305"/>
      <c r="AE499" s="305"/>
      <c r="AF499" s="305"/>
      <c r="AG499" s="305"/>
      <c r="AH499" s="305"/>
      <c r="AI499" s="305"/>
      <c r="AJ499" s="305"/>
      <c r="AK499" s="305"/>
      <c r="AL499" s="305"/>
      <c r="AM499" s="305"/>
      <c r="AN499" s="305"/>
    </row>
    <row r="500" spans="1:40" s="306" customFormat="1" x14ac:dyDescent="0.3">
      <c r="A500" s="296"/>
      <c r="B500" s="303"/>
      <c r="C500" s="304"/>
      <c r="D500" s="303"/>
      <c r="E500" s="304"/>
      <c r="F500" s="304"/>
      <c r="G500" s="304"/>
      <c r="H500" s="305"/>
      <c r="I500" s="305"/>
      <c r="J500" s="305"/>
      <c r="K500" s="305"/>
      <c r="L500" s="305"/>
      <c r="M500" s="305"/>
      <c r="N500" s="305"/>
      <c r="O500" s="305"/>
      <c r="P500" s="305"/>
      <c r="Q500" s="305"/>
      <c r="R500" s="305"/>
      <c r="S500" s="305"/>
      <c r="T500" s="305"/>
      <c r="U500" s="296"/>
      <c r="V500" s="303"/>
      <c r="W500" s="303"/>
      <c r="X500" s="303"/>
      <c r="Y500" s="305"/>
      <c r="Z500" s="305"/>
      <c r="AA500" s="305"/>
      <c r="AB500" s="304"/>
      <c r="AC500" s="305"/>
      <c r="AD500" s="305"/>
      <c r="AE500" s="305"/>
      <c r="AF500" s="305"/>
      <c r="AG500" s="305"/>
      <c r="AH500" s="305"/>
      <c r="AI500" s="305"/>
      <c r="AJ500" s="305"/>
      <c r="AK500" s="305"/>
      <c r="AL500" s="305"/>
      <c r="AM500" s="305"/>
      <c r="AN500" s="305"/>
    </row>
    <row r="501" spans="1:40" s="306" customFormat="1" x14ac:dyDescent="0.3">
      <c r="A501" s="296"/>
      <c r="B501" s="303"/>
      <c r="C501" s="304"/>
      <c r="D501" s="303"/>
      <c r="E501" s="304"/>
      <c r="F501" s="304"/>
      <c r="G501" s="304"/>
      <c r="H501" s="305"/>
      <c r="I501" s="305"/>
      <c r="J501" s="305"/>
      <c r="K501" s="305"/>
      <c r="L501" s="305"/>
      <c r="M501" s="305"/>
      <c r="N501" s="305"/>
      <c r="O501" s="305"/>
      <c r="P501" s="305"/>
      <c r="Q501" s="305"/>
      <c r="R501" s="305"/>
      <c r="S501" s="305"/>
      <c r="T501" s="305"/>
      <c r="U501" s="296"/>
      <c r="V501" s="303"/>
      <c r="W501" s="303"/>
      <c r="X501" s="303"/>
      <c r="Y501" s="305"/>
      <c r="Z501" s="305"/>
      <c r="AA501" s="305"/>
      <c r="AB501" s="304"/>
      <c r="AC501" s="305"/>
      <c r="AD501" s="305"/>
      <c r="AE501" s="305"/>
      <c r="AF501" s="305"/>
      <c r="AG501" s="305"/>
      <c r="AH501" s="305"/>
      <c r="AI501" s="305"/>
      <c r="AJ501" s="305"/>
      <c r="AK501" s="305"/>
      <c r="AL501" s="305"/>
      <c r="AM501" s="305"/>
      <c r="AN501" s="305"/>
    </row>
    <row r="502" spans="1:40" s="306" customFormat="1" x14ac:dyDescent="0.3">
      <c r="A502" s="296"/>
      <c r="B502" s="303"/>
      <c r="C502" s="304"/>
      <c r="D502" s="303"/>
      <c r="E502" s="304"/>
      <c r="F502" s="304"/>
      <c r="G502" s="304"/>
      <c r="H502" s="305"/>
      <c r="I502" s="305"/>
      <c r="J502" s="305"/>
      <c r="K502" s="305"/>
      <c r="L502" s="305"/>
      <c r="M502" s="305"/>
      <c r="N502" s="305"/>
      <c r="O502" s="305"/>
      <c r="P502" s="305"/>
      <c r="Q502" s="305"/>
      <c r="R502" s="305"/>
      <c r="S502" s="305"/>
      <c r="T502" s="305"/>
      <c r="U502" s="296"/>
      <c r="V502" s="303"/>
      <c r="W502" s="303"/>
      <c r="X502" s="303"/>
      <c r="Y502" s="305"/>
      <c r="Z502" s="305"/>
      <c r="AA502" s="305"/>
      <c r="AB502" s="304"/>
      <c r="AC502" s="305"/>
      <c r="AD502" s="305"/>
      <c r="AE502" s="305"/>
      <c r="AF502" s="305"/>
      <c r="AG502" s="305"/>
      <c r="AH502" s="305"/>
      <c r="AI502" s="305"/>
      <c r="AJ502" s="305"/>
      <c r="AK502" s="305"/>
      <c r="AL502" s="305"/>
      <c r="AM502" s="305"/>
      <c r="AN502" s="305"/>
    </row>
    <row r="503" spans="1:40" s="306" customFormat="1" x14ac:dyDescent="0.3">
      <c r="A503" s="296"/>
      <c r="B503" s="303"/>
      <c r="C503" s="304"/>
      <c r="D503" s="303"/>
      <c r="E503" s="304"/>
      <c r="F503" s="304"/>
      <c r="G503" s="304"/>
      <c r="H503" s="305"/>
      <c r="I503" s="305"/>
      <c r="J503" s="305"/>
      <c r="K503" s="305"/>
      <c r="L503" s="305"/>
      <c r="M503" s="305"/>
      <c r="N503" s="305"/>
      <c r="O503" s="305"/>
      <c r="P503" s="305"/>
      <c r="Q503" s="305"/>
      <c r="R503" s="305"/>
      <c r="S503" s="305"/>
      <c r="T503" s="305"/>
      <c r="U503" s="296"/>
      <c r="V503" s="303"/>
      <c r="W503" s="303"/>
      <c r="X503" s="303"/>
      <c r="Y503" s="305"/>
      <c r="Z503" s="305"/>
      <c r="AA503" s="305"/>
      <c r="AB503" s="304"/>
      <c r="AC503" s="305"/>
      <c r="AD503" s="305"/>
      <c r="AE503" s="305"/>
      <c r="AF503" s="305"/>
      <c r="AG503" s="305"/>
      <c r="AH503" s="305"/>
      <c r="AI503" s="305"/>
      <c r="AJ503" s="305"/>
      <c r="AK503" s="305"/>
      <c r="AL503" s="305"/>
      <c r="AM503" s="305"/>
      <c r="AN503" s="305"/>
    </row>
    <row r="504" spans="1:40" s="306" customFormat="1" x14ac:dyDescent="0.3">
      <c r="A504" s="296"/>
      <c r="B504" s="303"/>
      <c r="C504" s="304"/>
      <c r="D504" s="303"/>
      <c r="E504" s="304"/>
      <c r="F504" s="304"/>
      <c r="G504" s="304"/>
      <c r="H504" s="305"/>
      <c r="I504" s="305"/>
      <c r="J504" s="305"/>
      <c r="K504" s="305"/>
      <c r="L504" s="305"/>
      <c r="M504" s="305"/>
      <c r="N504" s="305"/>
      <c r="O504" s="305"/>
      <c r="P504" s="305"/>
      <c r="Q504" s="305"/>
      <c r="R504" s="305"/>
      <c r="S504" s="305"/>
      <c r="T504" s="305"/>
      <c r="U504" s="296"/>
      <c r="V504" s="303"/>
      <c r="W504" s="303"/>
      <c r="X504" s="303"/>
      <c r="Y504" s="305"/>
      <c r="Z504" s="305"/>
      <c r="AA504" s="305"/>
      <c r="AB504" s="304"/>
      <c r="AC504" s="305"/>
      <c r="AD504" s="305"/>
      <c r="AE504" s="305"/>
      <c r="AF504" s="305"/>
      <c r="AG504" s="305"/>
      <c r="AH504" s="305"/>
      <c r="AI504" s="305"/>
      <c r="AJ504" s="305"/>
      <c r="AK504" s="305"/>
      <c r="AL504" s="305"/>
      <c r="AM504" s="305"/>
      <c r="AN504" s="305"/>
    </row>
    <row r="505" spans="1:40" s="306" customFormat="1" x14ac:dyDescent="0.3">
      <c r="A505" s="296"/>
      <c r="B505" s="303"/>
      <c r="C505" s="304"/>
      <c r="D505" s="303"/>
      <c r="E505" s="304"/>
      <c r="F505" s="304"/>
      <c r="G505" s="304"/>
      <c r="H505" s="305"/>
      <c r="I505" s="305"/>
      <c r="J505" s="305"/>
      <c r="K505" s="305"/>
      <c r="L505" s="305"/>
      <c r="M505" s="305"/>
      <c r="N505" s="305"/>
      <c r="O505" s="305"/>
      <c r="P505" s="305"/>
      <c r="Q505" s="305"/>
      <c r="R505" s="305"/>
      <c r="S505" s="305"/>
      <c r="T505" s="305"/>
      <c r="U505" s="296"/>
      <c r="V505" s="303"/>
      <c r="W505" s="303"/>
      <c r="X505" s="303"/>
      <c r="Y505" s="305"/>
      <c r="Z505" s="305"/>
      <c r="AA505" s="305"/>
      <c r="AB505" s="304"/>
      <c r="AC505" s="305"/>
      <c r="AD505" s="305"/>
      <c r="AE505" s="305"/>
      <c r="AF505" s="305"/>
      <c r="AG505" s="305"/>
      <c r="AH505" s="305"/>
      <c r="AI505" s="305"/>
      <c r="AJ505" s="305"/>
      <c r="AK505" s="305"/>
      <c r="AL505" s="305"/>
      <c r="AM505" s="305"/>
      <c r="AN505" s="305"/>
    </row>
    <row r="506" spans="1:40" s="306" customFormat="1" x14ac:dyDescent="0.3">
      <c r="A506" s="296"/>
      <c r="B506" s="303"/>
      <c r="C506" s="304"/>
      <c r="D506" s="303"/>
      <c r="E506" s="304"/>
      <c r="F506" s="304"/>
      <c r="G506" s="304"/>
      <c r="H506" s="305"/>
      <c r="I506" s="305"/>
      <c r="J506" s="305"/>
      <c r="K506" s="305"/>
      <c r="L506" s="305"/>
      <c r="M506" s="305"/>
      <c r="N506" s="305"/>
      <c r="O506" s="305"/>
      <c r="P506" s="305"/>
      <c r="Q506" s="305"/>
      <c r="R506" s="305"/>
      <c r="S506" s="305"/>
      <c r="T506" s="305"/>
      <c r="U506" s="296"/>
      <c r="V506" s="303"/>
      <c r="W506" s="303"/>
      <c r="X506" s="303"/>
      <c r="Y506" s="305"/>
      <c r="Z506" s="305"/>
      <c r="AA506" s="305"/>
      <c r="AB506" s="304"/>
      <c r="AC506" s="305"/>
      <c r="AD506" s="305"/>
      <c r="AE506" s="305"/>
      <c r="AF506" s="305"/>
      <c r="AG506" s="305"/>
      <c r="AH506" s="305"/>
      <c r="AI506" s="305"/>
      <c r="AJ506" s="305"/>
      <c r="AK506" s="305"/>
      <c r="AL506" s="305"/>
      <c r="AM506" s="305"/>
      <c r="AN506" s="305"/>
    </row>
    <row r="507" spans="1:40" s="306" customFormat="1" x14ac:dyDescent="0.3">
      <c r="A507" s="296"/>
      <c r="B507" s="303"/>
      <c r="C507" s="304"/>
      <c r="D507" s="303"/>
      <c r="E507" s="304"/>
      <c r="F507" s="304"/>
      <c r="G507" s="304"/>
      <c r="H507" s="305"/>
      <c r="I507" s="305"/>
      <c r="J507" s="305"/>
      <c r="K507" s="305"/>
      <c r="L507" s="305"/>
      <c r="M507" s="305"/>
      <c r="N507" s="305"/>
      <c r="O507" s="305"/>
      <c r="P507" s="305"/>
      <c r="Q507" s="305"/>
      <c r="R507" s="305"/>
      <c r="S507" s="305"/>
      <c r="T507" s="305"/>
      <c r="U507" s="296"/>
      <c r="V507" s="303"/>
      <c r="W507" s="303"/>
      <c r="X507" s="303"/>
      <c r="Y507" s="305"/>
      <c r="Z507" s="305"/>
      <c r="AA507" s="305"/>
      <c r="AB507" s="304"/>
      <c r="AC507" s="305"/>
      <c r="AD507" s="305"/>
      <c r="AE507" s="305"/>
      <c r="AF507" s="305"/>
      <c r="AG507" s="305"/>
      <c r="AH507" s="305"/>
      <c r="AI507" s="305"/>
      <c r="AJ507" s="305"/>
      <c r="AK507" s="305"/>
      <c r="AL507" s="305"/>
      <c r="AM507" s="305"/>
      <c r="AN507" s="305"/>
    </row>
    <row r="508" spans="1:40" s="306" customFormat="1" x14ac:dyDescent="0.3">
      <c r="A508" s="296"/>
      <c r="B508" s="303"/>
      <c r="C508" s="304"/>
      <c r="D508" s="303"/>
      <c r="E508" s="304"/>
      <c r="F508" s="304"/>
      <c r="G508" s="304"/>
      <c r="H508" s="305"/>
      <c r="I508" s="305"/>
      <c r="J508" s="305"/>
      <c r="K508" s="305"/>
      <c r="L508" s="305"/>
      <c r="M508" s="305"/>
      <c r="N508" s="305"/>
      <c r="O508" s="305"/>
      <c r="P508" s="305"/>
      <c r="Q508" s="305"/>
      <c r="R508" s="305"/>
      <c r="S508" s="305"/>
      <c r="T508" s="305"/>
      <c r="U508" s="296"/>
      <c r="V508" s="303"/>
      <c r="W508" s="303"/>
      <c r="X508" s="303"/>
      <c r="Y508" s="305"/>
      <c r="Z508" s="305"/>
      <c r="AA508" s="305"/>
      <c r="AB508" s="304"/>
      <c r="AC508" s="305"/>
      <c r="AD508" s="305"/>
      <c r="AE508" s="305"/>
      <c r="AF508" s="305"/>
      <c r="AG508" s="305"/>
      <c r="AH508" s="305"/>
      <c r="AI508" s="305"/>
      <c r="AJ508" s="305"/>
      <c r="AK508" s="305"/>
      <c r="AL508" s="305"/>
      <c r="AM508" s="305"/>
      <c r="AN508" s="305"/>
    </row>
    <row r="509" spans="1:40" s="306" customFormat="1" x14ac:dyDescent="0.3">
      <c r="A509" s="296"/>
      <c r="B509" s="303"/>
      <c r="C509" s="304"/>
      <c r="D509" s="303"/>
      <c r="E509" s="304"/>
      <c r="F509" s="304"/>
      <c r="G509" s="304"/>
      <c r="H509" s="305"/>
      <c r="I509" s="305"/>
      <c r="J509" s="305"/>
      <c r="K509" s="305"/>
      <c r="L509" s="305"/>
      <c r="M509" s="305"/>
      <c r="N509" s="305"/>
      <c r="O509" s="305"/>
      <c r="P509" s="305"/>
      <c r="Q509" s="305"/>
      <c r="R509" s="305"/>
      <c r="S509" s="305"/>
      <c r="T509" s="305"/>
      <c r="U509" s="296"/>
      <c r="V509" s="303"/>
      <c r="W509" s="303"/>
      <c r="X509" s="303"/>
      <c r="Y509" s="305"/>
      <c r="Z509" s="305"/>
      <c r="AA509" s="305"/>
      <c r="AB509" s="304"/>
      <c r="AC509" s="305"/>
      <c r="AD509" s="305"/>
      <c r="AE509" s="305"/>
      <c r="AF509" s="305"/>
      <c r="AG509" s="305"/>
      <c r="AH509" s="305"/>
      <c r="AI509" s="305"/>
      <c r="AJ509" s="305"/>
      <c r="AK509" s="305"/>
      <c r="AL509" s="305"/>
      <c r="AM509" s="305"/>
      <c r="AN509" s="305"/>
    </row>
    <row r="510" spans="1:40" s="306" customFormat="1" x14ac:dyDescent="0.3">
      <c r="A510" s="296"/>
      <c r="B510" s="303"/>
      <c r="C510" s="304"/>
      <c r="D510" s="303"/>
      <c r="E510" s="304"/>
      <c r="F510" s="304"/>
      <c r="G510" s="304"/>
      <c r="H510" s="305"/>
      <c r="I510" s="305"/>
      <c r="J510" s="305"/>
      <c r="K510" s="305"/>
      <c r="L510" s="305"/>
      <c r="M510" s="305"/>
      <c r="N510" s="305"/>
      <c r="O510" s="305"/>
      <c r="P510" s="305"/>
      <c r="Q510" s="305"/>
      <c r="R510" s="305"/>
      <c r="S510" s="305"/>
      <c r="T510" s="305"/>
      <c r="U510" s="296"/>
      <c r="V510" s="303"/>
      <c r="W510" s="303"/>
      <c r="X510" s="303"/>
      <c r="Y510" s="305"/>
      <c r="Z510" s="305"/>
      <c r="AA510" s="305"/>
      <c r="AB510" s="304"/>
      <c r="AC510" s="305"/>
      <c r="AD510" s="305"/>
      <c r="AE510" s="305"/>
      <c r="AF510" s="305"/>
      <c r="AG510" s="305"/>
      <c r="AH510" s="305"/>
      <c r="AI510" s="305"/>
      <c r="AJ510" s="305"/>
      <c r="AK510" s="305"/>
      <c r="AL510" s="305"/>
      <c r="AM510" s="305"/>
      <c r="AN510" s="305"/>
    </row>
    <row r="511" spans="1:40" s="306" customFormat="1" x14ac:dyDescent="0.3">
      <c r="A511" s="296"/>
      <c r="B511" s="303"/>
      <c r="C511" s="304"/>
      <c r="D511" s="303"/>
      <c r="E511" s="304"/>
      <c r="F511" s="304"/>
      <c r="G511" s="304"/>
      <c r="H511" s="305"/>
      <c r="I511" s="305"/>
      <c r="J511" s="305"/>
      <c r="K511" s="305"/>
      <c r="L511" s="305"/>
      <c r="M511" s="305"/>
      <c r="N511" s="305"/>
      <c r="O511" s="305"/>
      <c r="P511" s="305"/>
      <c r="Q511" s="305"/>
      <c r="R511" s="305"/>
      <c r="S511" s="305"/>
      <c r="T511" s="305"/>
      <c r="U511" s="296"/>
      <c r="V511" s="303"/>
      <c r="W511" s="303"/>
      <c r="X511" s="303"/>
      <c r="Y511" s="305"/>
      <c r="Z511" s="305"/>
      <c r="AA511" s="305"/>
      <c r="AB511" s="304"/>
      <c r="AC511" s="305"/>
      <c r="AD511" s="305"/>
      <c r="AE511" s="305"/>
      <c r="AF511" s="305"/>
      <c r="AG511" s="305"/>
      <c r="AH511" s="305"/>
      <c r="AI511" s="305"/>
      <c r="AJ511" s="305"/>
      <c r="AK511" s="305"/>
      <c r="AL511" s="305"/>
      <c r="AM511" s="305"/>
      <c r="AN511" s="305"/>
    </row>
    <row r="512" spans="1:40" s="306" customFormat="1" x14ac:dyDescent="0.3">
      <c r="A512" s="296"/>
      <c r="B512" s="303"/>
      <c r="C512" s="304"/>
      <c r="D512" s="303"/>
      <c r="E512" s="304"/>
      <c r="F512" s="304"/>
      <c r="G512" s="304"/>
      <c r="H512" s="305"/>
      <c r="I512" s="305"/>
      <c r="J512" s="305"/>
      <c r="K512" s="305"/>
      <c r="L512" s="305"/>
      <c r="M512" s="305"/>
      <c r="N512" s="305"/>
      <c r="O512" s="305"/>
      <c r="P512" s="305"/>
      <c r="Q512" s="305"/>
      <c r="R512" s="305"/>
      <c r="S512" s="305"/>
      <c r="T512" s="305"/>
      <c r="U512" s="296"/>
      <c r="V512" s="303"/>
      <c r="W512" s="303"/>
      <c r="X512" s="303"/>
      <c r="Y512" s="305"/>
      <c r="Z512" s="305"/>
      <c r="AA512" s="305"/>
      <c r="AB512" s="304"/>
      <c r="AC512" s="305"/>
      <c r="AD512" s="305"/>
      <c r="AE512" s="305"/>
      <c r="AF512" s="305"/>
      <c r="AG512" s="305"/>
      <c r="AH512" s="305"/>
      <c r="AI512" s="305"/>
      <c r="AJ512" s="305"/>
      <c r="AK512" s="305"/>
      <c r="AL512" s="305"/>
      <c r="AM512" s="305"/>
      <c r="AN512" s="305"/>
    </row>
    <row r="513" spans="1:40" s="306" customFormat="1" x14ac:dyDescent="0.3">
      <c r="A513" s="296"/>
      <c r="B513" s="303"/>
      <c r="C513" s="304"/>
      <c r="D513" s="303"/>
      <c r="E513" s="304"/>
      <c r="F513" s="304"/>
      <c r="G513" s="304"/>
      <c r="H513" s="305"/>
      <c r="I513" s="305"/>
      <c r="J513" s="305"/>
      <c r="K513" s="305"/>
      <c r="L513" s="305"/>
      <c r="M513" s="305"/>
      <c r="N513" s="305"/>
      <c r="O513" s="305"/>
      <c r="P513" s="305"/>
      <c r="Q513" s="305"/>
      <c r="R513" s="305"/>
      <c r="S513" s="305"/>
      <c r="T513" s="305"/>
      <c r="U513" s="296"/>
      <c r="V513" s="303"/>
      <c r="W513" s="303"/>
      <c r="X513" s="303"/>
      <c r="Y513" s="305"/>
      <c r="Z513" s="305"/>
      <c r="AA513" s="305"/>
      <c r="AB513" s="304"/>
      <c r="AC513" s="305"/>
      <c r="AD513" s="305"/>
      <c r="AE513" s="305"/>
      <c r="AF513" s="305"/>
      <c r="AG513" s="305"/>
      <c r="AH513" s="305"/>
      <c r="AI513" s="305"/>
      <c r="AJ513" s="305"/>
      <c r="AK513" s="305"/>
      <c r="AL513" s="305"/>
      <c r="AM513" s="305"/>
      <c r="AN513" s="305"/>
    </row>
    <row r="514" spans="1:40" s="306" customFormat="1" x14ac:dyDescent="0.3">
      <c r="A514" s="296"/>
      <c r="B514" s="303"/>
      <c r="C514" s="304"/>
      <c r="D514" s="303"/>
      <c r="E514" s="304"/>
      <c r="F514" s="304"/>
      <c r="G514" s="304"/>
      <c r="H514" s="305"/>
      <c r="I514" s="305"/>
      <c r="J514" s="305"/>
      <c r="K514" s="305"/>
      <c r="L514" s="305"/>
      <c r="M514" s="305"/>
      <c r="N514" s="305"/>
      <c r="O514" s="305"/>
      <c r="P514" s="305"/>
      <c r="Q514" s="305"/>
      <c r="R514" s="305"/>
      <c r="S514" s="305"/>
      <c r="T514" s="305"/>
      <c r="U514" s="296"/>
      <c r="V514" s="303"/>
      <c r="W514" s="303"/>
      <c r="X514" s="303"/>
      <c r="Y514" s="305"/>
      <c r="Z514" s="305"/>
      <c r="AA514" s="305"/>
      <c r="AB514" s="304"/>
      <c r="AC514" s="305"/>
      <c r="AD514" s="305"/>
      <c r="AE514" s="305"/>
      <c r="AF514" s="305"/>
      <c r="AG514" s="305"/>
      <c r="AH514" s="305"/>
      <c r="AI514" s="305"/>
      <c r="AJ514" s="305"/>
      <c r="AK514" s="305"/>
      <c r="AL514" s="305"/>
      <c r="AM514" s="305"/>
      <c r="AN514" s="305"/>
    </row>
    <row r="515" spans="1:40" s="306" customFormat="1" x14ac:dyDescent="0.3">
      <c r="A515" s="296"/>
      <c r="B515" s="303"/>
      <c r="C515" s="304"/>
      <c r="D515" s="303"/>
      <c r="E515" s="304"/>
      <c r="F515" s="304"/>
      <c r="G515" s="304"/>
      <c r="H515" s="305"/>
      <c r="I515" s="305"/>
      <c r="J515" s="305"/>
      <c r="K515" s="305"/>
      <c r="L515" s="305"/>
      <c r="M515" s="305"/>
      <c r="N515" s="305"/>
      <c r="O515" s="305"/>
      <c r="P515" s="305"/>
      <c r="Q515" s="305"/>
      <c r="R515" s="305"/>
      <c r="S515" s="305"/>
      <c r="T515" s="305"/>
      <c r="U515" s="296"/>
      <c r="V515" s="303"/>
      <c r="W515" s="303"/>
      <c r="X515" s="303"/>
      <c r="Y515" s="305"/>
      <c r="Z515" s="305"/>
      <c r="AA515" s="305"/>
      <c r="AB515" s="304"/>
      <c r="AC515" s="305"/>
      <c r="AD515" s="305"/>
      <c r="AE515" s="305"/>
      <c r="AF515" s="305"/>
      <c r="AG515" s="305"/>
      <c r="AH515" s="305"/>
      <c r="AI515" s="305"/>
      <c r="AJ515" s="305"/>
      <c r="AK515" s="305"/>
      <c r="AL515" s="305"/>
      <c r="AM515" s="305"/>
      <c r="AN515" s="305"/>
    </row>
    <row r="516" spans="1:40" s="306" customFormat="1" x14ac:dyDescent="0.3">
      <c r="A516" s="296"/>
      <c r="B516" s="303"/>
      <c r="C516" s="304"/>
      <c r="D516" s="303"/>
      <c r="E516" s="304"/>
      <c r="F516" s="304"/>
      <c r="G516" s="304"/>
      <c r="H516" s="305"/>
      <c r="I516" s="305"/>
      <c r="J516" s="305"/>
      <c r="K516" s="305"/>
      <c r="L516" s="305"/>
      <c r="M516" s="305"/>
      <c r="N516" s="305"/>
      <c r="O516" s="305"/>
      <c r="P516" s="305"/>
      <c r="Q516" s="305"/>
      <c r="R516" s="305"/>
      <c r="S516" s="305"/>
      <c r="T516" s="305"/>
      <c r="U516" s="296"/>
      <c r="V516" s="303"/>
      <c r="W516" s="303"/>
      <c r="X516" s="303"/>
      <c r="Y516" s="305"/>
      <c r="Z516" s="305"/>
      <c r="AA516" s="305"/>
      <c r="AB516" s="304"/>
      <c r="AC516" s="305"/>
      <c r="AD516" s="305"/>
      <c r="AE516" s="305"/>
      <c r="AF516" s="305"/>
      <c r="AG516" s="305"/>
      <c r="AH516" s="305"/>
      <c r="AI516" s="305"/>
      <c r="AJ516" s="305"/>
      <c r="AK516" s="305"/>
      <c r="AL516" s="305"/>
      <c r="AM516" s="305"/>
      <c r="AN516" s="305"/>
    </row>
    <row r="517" spans="1:40" s="306" customFormat="1" x14ac:dyDescent="0.3">
      <c r="A517" s="296"/>
      <c r="B517" s="303"/>
      <c r="C517" s="304"/>
      <c r="D517" s="303"/>
      <c r="E517" s="304"/>
      <c r="F517" s="304"/>
      <c r="G517" s="304"/>
      <c r="H517" s="305"/>
      <c r="I517" s="305"/>
      <c r="J517" s="305"/>
      <c r="K517" s="305"/>
      <c r="L517" s="305"/>
      <c r="M517" s="305"/>
      <c r="N517" s="305"/>
      <c r="O517" s="305"/>
      <c r="P517" s="305"/>
      <c r="Q517" s="305"/>
      <c r="R517" s="305"/>
      <c r="S517" s="305"/>
      <c r="T517" s="305"/>
      <c r="U517" s="296"/>
      <c r="V517" s="303"/>
      <c r="W517" s="303"/>
      <c r="X517" s="303"/>
      <c r="Y517" s="305"/>
      <c r="Z517" s="305"/>
      <c r="AA517" s="305"/>
      <c r="AB517" s="304"/>
      <c r="AC517" s="305"/>
      <c r="AD517" s="305"/>
      <c r="AE517" s="305"/>
      <c r="AF517" s="305"/>
      <c r="AG517" s="305"/>
      <c r="AH517" s="305"/>
      <c r="AI517" s="305"/>
      <c r="AJ517" s="305"/>
      <c r="AK517" s="305"/>
      <c r="AL517" s="305"/>
      <c r="AM517" s="305"/>
      <c r="AN517" s="305"/>
    </row>
    <row r="518" spans="1:40" s="306" customFormat="1" x14ac:dyDescent="0.3">
      <c r="A518" s="296"/>
      <c r="B518" s="303"/>
      <c r="C518" s="304"/>
      <c r="D518" s="303"/>
      <c r="E518" s="304"/>
      <c r="F518" s="304"/>
      <c r="G518" s="304"/>
      <c r="H518" s="305"/>
      <c r="I518" s="305"/>
      <c r="J518" s="305"/>
      <c r="K518" s="305"/>
      <c r="L518" s="305"/>
      <c r="M518" s="305"/>
      <c r="N518" s="305"/>
      <c r="O518" s="305"/>
      <c r="P518" s="305"/>
      <c r="Q518" s="305"/>
      <c r="R518" s="305"/>
      <c r="S518" s="305"/>
      <c r="T518" s="305"/>
      <c r="U518" s="296"/>
      <c r="V518" s="303"/>
      <c r="W518" s="303"/>
      <c r="X518" s="303"/>
      <c r="Y518" s="305"/>
      <c r="Z518" s="305"/>
      <c r="AA518" s="305"/>
      <c r="AB518" s="304"/>
      <c r="AC518" s="305"/>
      <c r="AD518" s="305"/>
      <c r="AE518" s="305"/>
      <c r="AF518" s="305"/>
      <c r="AG518" s="305"/>
      <c r="AH518" s="305"/>
      <c r="AI518" s="305"/>
      <c r="AJ518" s="305"/>
      <c r="AK518" s="305"/>
      <c r="AL518" s="305"/>
      <c r="AM518" s="305"/>
      <c r="AN518" s="305"/>
    </row>
    <row r="519" spans="1:40" s="306" customFormat="1" x14ac:dyDescent="0.3">
      <c r="A519" s="296"/>
      <c r="B519" s="303"/>
      <c r="C519" s="304"/>
      <c r="D519" s="303"/>
      <c r="E519" s="304"/>
      <c r="F519" s="304"/>
      <c r="G519" s="304"/>
      <c r="H519" s="305"/>
      <c r="I519" s="305"/>
      <c r="J519" s="305"/>
      <c r="K519" s="305"/>
      <c r="L519" s="305"/>
      <c r="M519" s="305"/>
      <c r="N519" s="305"/>
      <c r="O519" s="305"/>
      <c r="P519" s="305"/>
      <c r="Q519" s="305"/>
      <c r="R519" s="305"/>
      <c r="S519" s="305"/>
      <c r="T519" s="305"/>
      <c r="U519" s="296"/>
      <c r="V519" s="303"/>
      <c r="W519" s="303"/>
      <c r="X519" s="303"/>
      <c r="Y519" s="305"/>
      <c r="Z519" s="305"/>
      <c r="AA519" s="305"/>
      <c r="AB519" s="304"/>
      <c r="AC519" s="305"/>
      <c r="AD519" s="305"/>
      <c r="AE519" s="305"/>
      <c r="AF519" s="305"/>
      <c r="AG519" s="305"/>
      <c r="AH519" s="305"/>
      <c r="AI519" s="305"/>
      <c r="AJ519" s="305"/>
      <c r="AK519" s="305"/>
      <c r="AL519" s="305"/>
      <c r="AM519" s="305"/>
      <c r="AN519" s="305"/>
    </row>
    <row r="520" spans="1:40" s="306" customFormat="1" x14ac:dyDescent="0.3">
      <c r="A520" s="296"/>
      <c r="B520" s="303"/>
      <c r="C520" s="304"/>
      <c r="D520" s="303"/>
      <c r="E520" s="304"/>
      <c r="F520" s="304"/>
      <c r="G520" s="304"/>
      <c r="H520" s="305"/>
      <c r="I520" s="305"/>
      <c r="J520" s="305"/>
      <c r="K520" s="305"/>
      <c r="L520" s="305"/>
      <c r="M520" s="305"/>
      <c r="N520" s="305"/>
      <c r="O520" s="305"/>
      <c r="P520" s="305"/>
      <c r="Q520" s="305"/>
      <c r="R520" s="305"/>
      <c r="S520" s="305"/>
      <c r="T520" s="305"/>
      <c r="U520" s="296"/>
      <c r="V520" s="303"/>
      <c r="W520" s="303"/>
      <c r="X520" s="303"/>
      <c r="Y520" s="305"/>
      <c r="Z520" s="305"/>
      <c r="AA520" s="305"/>
      <c r="AB520" s="304"/>
      <c r="AC520" s="305"/>
      <c r="AD520" s="305"/>
      <c r="AE520" s="305"/>
      <c r="AF520" s="305"/>
      <c r="AG520" s="305"/>
      <c r="AH520" s="305"/>
      <c r="AI520" s="305"/>
      <c r="AJ520" s="305"/>
      <c r="AK520" s="305"/>
      <c r="AL520" s="305"/>
      <c r="AM520" s="305"/>
      <c r="AN520" s="305"/>
    </row>
    <row r="521" spans="1:40" s="306" customFormat="1" x14ac:dyDescent="0.3">
      <c r="A521" s="296"/>
      <c r="B521" s="303"/>
      <c r="C521" s="304"/>
      <c r="D521" s="303"/>
      <c r="E521" s="304"/>
      <c r="F521" s="304"/>
      <c r="G521" s="304"/>
      <c r="H521" s="305"/>
      <c r="I521" s="305"/>
      <c r="J521" s="305"/>
      <c r="K521" s="305"/>
      <c r="L521" s="305"/>
      <c r="M521" s="305"/>
      <c r="N521" s="305"/>
      <c r="O521" s="305"/>
      <c r="P521" s="305"/>
      <c r="Q521" s="305"/>
      <c r="R521" s="305"/>
      <c r="S521" s="305"/>
      <c r="T521" s="305"/>
      <c r="U521" s="296"/>
      <c r="V521" s="303"/>
      <c r="W521" s="303"/>
      <c r="X521" s="303"/>
      <c r="Y521" s="305"/>
      <c r="Z521" s="305"/>
      <c r="AA521" s="305"/>
      <c r="AB521" s="304"/>
      <c r="AC521" s="305"/>
      <c r="AD521" s="305"/>
      <c r="AE521" s="305"/>
      <c r="AF521" s="305"/>
      <c r="AG521" s="305"/>
      <c r="AH521" s="305"/>
      <c r="AI521" s="305"/>
      <c r="AJ521" s="305"/>
      <c r="AK521" s="305"/>
      <c r="AL521" s="305"/>
      <c r="AM521" s="305"/>
      <c r="AN521" s="305"/>
    </row>
    <row r="522" spans="1:40" s="306" customFormat="1" x14ac:dyDescent="0.3">
      <c r="A522" s="296"/>
      <c r="B522" s="303"/>
      <c r="C522" s="304"/>
      <c r="D522" s="303"/>
      <c r="E522" s="304"/>
      <c r="F522" s="304"/>
      <c r="G522" s="304"/>
      <c r="H522" s="305"/>
      <c r="I522" s="305"/>
      <c r="J522" s="305"/>
      <c r="K522" s="305"/>
      <c r="L522" s="305"/>
      <c r="M522" s="305"/>
      <c r="N522" s="305"/>
      <c r="O522" s="305"/>
      <c r="P522" s="305"/>
      <c r="Q522" s="305"/>
      <c r="R522" s="305"/>
      <c r="S522" s="305"/>
      <c r="T522" s="305"/>
      <c r="U522" s="296"/>
      <c r="V522" s="303"/>
      <c r="W522" s="303"/>
      <c r="X522" s="303"/>
      <c r="Y522" s="305"/>
      <c r="Z522" s="305"/>
      <c r="AA522" s="305"/>
      <c r="AB522" s="304"/>
      <c r="AC522" s="305"/>
      <c r="AD522" s="305"/>
      <c r="AE522" s="305"/>
      <c r="AF522" s="305"/>
      <c r="AG522" s="305"/>
      <c r="AH522" s="305"/>
      <c r="AI522" s="305"/>
      <c r="AJ522" s="305"/>
      <c r="AK522" s="305"/>
      <c r="AL522" s="305"/>
      <c r="AM522" s="305"/>
      <c r="AN522" s="305"/>
    </row>
    <row r="523" spans="1:40" s="306" customFormat="1" x14ac:dyDescent="0.3">
      <c r="A523" s="296"/>
      <c r="B523" s="303"/>
      <c r="C523" s="304"/>
      <c r="D523" s="303"/>
      <c r="E523" s="304"/>
      <c r="F523" s="304"/>
      <c r="G523" s="304"/>
      <c r="H523" s="305"/>
      <c r="I523" s="305"/>
      <c r="J523" s="305"/>
      <c r="K523" s="305"/>
      <c r="L523" s="305"/>
      <c r="M523" s="305"/>
      <c r="N523" s="305"/>
      <c r="O523" s="305"/>
      <c r="P523" s="305"/>
      <c r="Q523" s="305"/>
      <c r="R523" s="305"/>
      <c r="S523" s="305"/>
      <c r="T523" s="305"/>
      <c r="U523" s="296"/>
      <c r="V523" s="303"/>
      <c r="W523" s="303"/>
      <c r="X523" s="303"/>
      <c r="Y523" s="305"/>
      <c r="Z523" s="305"/>
      <c r="AA523" s="305"/>
      <c r="AB523" s="304"/>
      <c r="AC523" s="305"/>
      <c r="AD523" s="305"/>
      <c r="AE523" s="305"/>
      <c r="AF523" s="305"/>
      <c r="AG523" s="305"/>
      <c r="AH523" s="305"/>
      <c r="AI523" s="305"/>
      <c r="AJ523" s="305"/>
      <c r="AK523" s="305"/>
      <c r="AL523" s="305"/>
      <c r="AM523" s="305"/>
      <c r="AN523" s="305"/>
    </row>
    <row r="524" spans="1:40" s="306" customFormat="1" x14ac:dyDescent="0.3">
      <c r="A524" s="296"/>
      <c r="B524" s="303"/>
      <c r="C524" s="304"/>
      <c r="D524" s="303"/>
      <c r="E524" s="304"/>
      <c r="F524" s="304"/>
      <c r="G524" s="304"/>
      <c r="H524" s="305"/>
      <c r="I524" s="305"/>
      <c r="J524" s="305"/>
      <c r="K524" s="305"/>
      <c r="L524" s="305"/>
      <c r="M524" s="305"/>
      <c r="N524" s="305"/>
      <c r="O524" s="305"/>
      <c r="P524" s="305"/>
      <c r="Q524" s="305"/>
      <c r="R524" s="305"/>
      <c r="S524" s="305"/>
      <c r="T524" s="305"/>
      <c r="U524" s="296"/>
      <c r="V524" s="303"/>
      <c r="W524" s="303"/>
      <c r="X524" s="303"/>
      <c r="Y524" s="305"/>
      <c r="Z524" s="305"/>
      <c r="AA524" s="305"/>
      <c r="AB524" s="304"/>
      <c r="AC524" s="305"/>
      <c r="AD524" s="305"/>
      <c r="AE524" s="305"/>
      <c r="AF524" s="305"/>
      <c r="AG524" s="305"/>
      <c r="AH524" s="305"/>
      <c r="AI524" s="305"/>
      <c r="AJ524" s="305"/>
      <c r="AK524" s="305"/>
      <c r="AL524" s="305"/>
      <c r="AM524" s="305"/>
      <c r="AN524" s="305"/>
    </row>
    <row r="525" spans="1:40" s="306" customFormat="1" x14ac:dyDescent="0.3">
      <c r="A525" s="296"/>
      <c r="B525" s="303"/>
      <c r="C525" s="304"/>
      <c r="D525" s="303"/>
      <c r="E525" s="304"/>
      <c r="F525" s="304"/>
      <c r="G525" s="304"/>
      <c r="H525" s="305"/>
      <c r="I525" s="305"/>
      <c r="J525" s="305"/>
      <c r="K525" s="305"/>
      <c r="L525" s="305"/>
      <c r="M525" s="305"/>
      <c r="N525" s="305"/>
      <c r="O525" s="305"/>
      <c r="P525" s="305"/>
      <c r="Q525" s="305"/>
      <c r="R525" s="305"/>
      <c r="S525" s="305"/>
      <c r="T525" s="305"/>
      <c r="U525" s="296"/>
      <c r="V525" s="303"/>
      <c r="W525" s="303"/>
      <c r="X525" s="303"/>
      <c r="Y525" s="305"/>
      <c r="Z525" s="305"/>
      <c r="AA525" s="305"/>
      <c r="AB525" s="304"/>
      <c r="AC525" s="305"/>
      <c r="AD525" s="305"/>
      <c r="AE525" s="305"/>
      <c r="AF525" s="305"/>
      <c r="AG525" s="305"/>
      <c r="AH525" s="305"/>
      <c r="AI525" s="305"/>
      <c r="AJ525" s="305"/>
      <c r="AK525" s="305"/>
      <c r="AL525" s="305"/>
      <c r="AM525" s="305"/>
      <c r="AN525" s="305"/>
    </row>
    <row r="526" spans="1:40" s="306" customFormat="1" x14ac:dyDescent="0.3">
      <c r="A526" s="296"/>
      <c r="B526" s="303"/>
      <c r="C526" s="304"/>
      <c r="D526" s="303"/>
      <c r="E526" s="304"/>
      <c r="F526" s="304"/>
      <c r="G526" s="304"/>
      <c r="H526" s="305"/>
      <c r="I526" s="305"/>
      <c r="J526" s="305"/>
      <c r="K526" s="305"/>
      <c r="L526" s="305"/>
      <c r="M526" s="305"/>
      <c r="N526" s="305"/>
      <c r="O526" s="305"/>
      <c r="P526" s="305"/>
      <c r="Q526" s="305"/>
      <c r="R526" s="305"/>
      <c r="S526" s="305"/>
      <c r="T526" s="305"/>
      <c r="U526" s="296"/>
      <c r="V526" s="303"/>
      <c r="W526" s="303"/>
      <c r="X526" s="303"/>
      <c r="Y526" s="305"/>
      <c r="Z526" s="305"/>
      <c r="AA526" s="305"/>
      <c r="AB526" s="304"/>
      <c r="AC526" s="305"/>
      <c r="AD526" s="305"/>
      <c r="AE526" s="305"/>
      <c r="AF526" s="305"/>
      <c r="AG526" s="305"/>
      <c r="AH526" s="305"/>
      <c r="AI526" s="305"/>
      <c r="AJ526" s="305"/>
      <c r="AK526" s="305"/>
      <c r="AL526" s="305"/>
      <c r="AM526" s="305"/>
      <c r="AN526" s="305"/>
    </row>
    <row r="527" spans="1:40" s="306" customFormat="1" x14ac:dyDescent="0.3">
      <c r="A527" s="296"/>
      <c r="B527" s="303"/>
      <c r="C527" s="304"/>
      <c r="D527" s="303"/>
      <c r="E527" s="304"/>
      <c r="F527" s="304"/>
      <c r="G527" s="304"/>
      <c r="H527" s="305"/>
      <c r="I527" s="305"/>
      <c r="J527" s="305"/>
      <c r="K527" s="305"/>
      <c r="L527" s="305"/>
      <c r="M527" s="305"/>
      <c r="N527" s="305"/>
      <c r="O527" s="305"/>
      <c r="P527" s="305"/>
      <c r="Q527" s="305"/>
      <c r="R527" s="305"/>
      <c r="S527" s="305"/>
      <c r="T527" s="305"/>
      <c r="U527" s="296"/>
      <c r="V527" s="303"/>
      <c r="W527" s="303"/>
      <c r="X527" s="303"/>
      <c r="Y527" s="305"/>
      <c r="Z527" s="305"/>
      <c r="AA527" s="305"/>
      <c r="AB527" s="304"/>
      <c r="AC527" s="305"/>
      <c r="AD527" s="305"/>
      <c r="AE527" s="305"/>
      <c r="AF527" s="305"/>
      <c r="AG527" s="305"/>
      <c r="AH527" s="305"/>
      <c r="AI527" s="305"/>
      <c r="AJ527" s="305"/>
      <c r="AK527" s="305"/>
      <c r="AL527" s="305"/>
      <c r="AM527" s="305"/>
      <c r="AN527" s="305"/>
    </row>
    <row r="528" spans="1:40" s="306" customFormat="1" x14ac:dyDescent="0.3">
      <c r="A528" s="296"/>
      <c r="B528" s="303"/>
      <c r="C528" s="304"/>
      <c r="D528" s="303"/>
      <c r="E528" s="304"/>
      <c r="F528" s="304"/>
      <c r="G528" s="304"/>
      <c r="H528" s="305"/>
      <c r="I528" s="305"/>
      <c r="J528" s="305"/>
      <c r="K528" s="305"/>
      <c r="L528" s="305"/>
      <c r="M528" s="305"/>
      <c r="N528" s="305"/>
      <c r="O528" s="305"/>
      <c r="P528" s="305"/>
      <c r="Q528" s="305"/>
      <c r="R528" s="305"/>
      <c r="S528" s="305"/>
      <c r="T528" s="305"/>
      <c r="U528" s="296"/>
      <c r="V528" s="303"/>
      <c r="W528" s="303"/>
      <c r="X528" s="303"/>
      <c r="Y528" s="305"/>
      <c r="Z528" s="305"/>
      <c r="AA528" s="305"/>
      <c r="AB528" s="304"/>
      <c r="AC528" s="305"/>
      <c r="AD528" s="305"/>
      <c r="AE528" s="305"/>
      <c r="AF528" s="305"/>
      <c r="AG528" s="305"/>
      <c r="AH528" s="305"/>
      <c r="AI528" s="305"/>
      <c r="AJ528" s="305"/>
      <c r="AK528" s="305"/>
      <c r="AL528" s="305"/>
      <c r="AM528" s="305"/>
      <c r="AN528" s="305"/>
    </row>
    <row r="529" spans="1:40" s="306" customFormat="1" x14ac:dyDescent="0.3">
      <c r="A529" s="296"/>
      <c r="B529" s="303"/>
      <c r="C529" s="304"/>
      <c r="D529" s="303"/>
      <c r="E529" s="304"/>
      <c r="F529" s="304"/>
      <c r="G529" s="304"/>
      <c r="H529" s="305"/>
      <c r="I529" s="305"/>
      <c r="J529" s="305"/>
      <c r="K529" s="305"/>
      <c r="L529" s="305"/>
      <c r="M529" s="305"/>
      <c r="N529" s="305"/>
      <c r="O529" s="305"/>
      <c r="P529" s="305"/>
      <c r="Q529" s="305"/>
      <c r="R529" s="305"/>
      <c r="S529" s="305"/>
      <c r="T529" s="305"/>
      <c r="U529" s="296"/>
      <c r="V529" s="303"/>
      <c r="W529" s="303"/>
      <c r="X529" s="303"/>
      <c r="Y529" s="305"/>
      <c r="Z529" s="305"/>
      <c r="AA529" s="305"/>
      <c r="AB529" s="304"/>
      <c r="AC529" s="305"/>
      <c r="AD529" s="305"/>
      <c r="AE529" s="305"/>
      <c r="AF529" s="305"/>
      <c r="AG529" s="305"/>
      <c r="AH529" s="305"/>
      <c r="AI529" s="305"/>
      <c r="AJ529" s="305"/>
      <c r="AK529" s="305"/>
      <c r="AL529" s="305"/>
      <c r="AM529" s="305"/>
      <c r="AN529" s="305"/>
    </row>
    <row r="530" spans="1:40" s="306" customFormat="1" x14ac:dyDescent="0.3">
      <c r="A530" s="296"/>
      <c r="B530" s="303"/>
      <c r="C530" s="304"/>
      <c r="D530" s="303"/>
      <c r="E530" s="304"/>
      <c r="F530" s="304"/>
      <c r="G530" s="304"/>
      <c r="H530" s="305"/>
      <c r="I530" s="305"/>
      <c r="J530" s="305"/>
      <c r="K530" s="305"/>
      <c r="L530" s="305"/>
      <c r="M530" s="305"/>
      <c r="N530" s="305"/>
      <c r="O530" s="305"/>
      <c r="P530" s="305"/>
      <c r="Q530" s="305"/>
      <c r="R530" s="305"/>
      <c r="S530" s="305"/>
      <c r="T530" s="305"/>
      <c r="U530" s="296"/>
      <c r="V530" s="303"/>
      <c r="W530" s="303"/>
      <c r="X530" s="303"/>
      <c r="Y530" s="305"/>
      <c r="Z530" s="305"/>
      <c r="AA530" s="305"/>
      <c r="AB530" s="304"/>
      <c r="AC530" s="305"/>
      <c r="AD530" s="305"/>
      <c r="AE530" s="305"/>
      <c r="AF530" s="305"/>
      <c r="AG530" s="305"/>
      <c r="AH530" s="305"/>
      <c r="AI530" s="305"/>
      <c r="AJ530" s="305"/>
      <c r="AK530" s="305"/>
      <c r="AL530" s="305"/>
      <c r="AM530" s="305"/>
      <c r="AN530" s="305"/>
    </row>
    <row r="531" spans="1:40" s="306" customFormat="1" x14ac:dyDescent="0.3">
      <c r="A531" s="296"/>
      <c r="B531" s="303"/>
      <c r="C531" s="304"/>
      <c r="D531" s="303"/>
      <c r="E531" s="304"/>
      <c r="F531" s="304"/>
      <c r="G531" s="304"/>
      <c r="H531" s="305"/>
      <c r="I531" s="305"/>
      <c r="J531" s="305"/>
      <c r="K531" s="305"/>
      <c r="L531" s="305"/>
      <c r="M531" s="305"/>
      <c r="N531" s="305"/>
      <c r="O531" s="305"/>
      <c r="P531" s="305"/>
      <c r="Q531" s="305"/>
      <c r="R531" s="305"/>
      <c r="S531" s="305"/>
      <c r="T531" s="305"/>
      <c r="U531" s="296"/>
      <c r="V531" s="303"/>
      <c r="W531" s="303"/>
      <c r="X531" s="303"/>
      <c r="Y531" s="305"/>
      <c r="Z531" s="305"/>
      <c r="AA531" s="305"/>
      <c r="AB531" s="304"/>
      <c r="AC531" s="305"/>
      <c r="AD531" s="305"/>
      <c r="AE531" s="305"/>
      <c r="AF531" s="305"/>
      <c r="AG531" s="305"/>
      <c r="AH531" s="305"/>
      <c r="AI531" s="305"/>
      <c r="AJ531" s="305"/>
      <c r="AK531" s="305"/>
      <c r="AL531" s="305"/>
      <c r="AM531" s="305"/>
      <c r="AN531" s="305"/>
    </row>
    <row r="532" spans="1:40" s="306" customFormat="1" x14ac:dyDescent="0.3">
      <c r="A532" s="296"/>
      <c r="B532" s="303"/>
      <c r="C532" s="304"/>
      <c r="D532" s="303"/>
      <c r="E532" s="304"/>
      <c r="F532" s="304"/>
      <c r="G532" s="304"/>
      <c r="H532" s="305"/>
      <c r="I532" s="305"/>
      <c r="J532" s="305"/>
      <c r="K532" s="305"/>
      <c r="L532" s="305"/>
      <c r="M532" s="305"/>
      <c r="N532" s="305"/>
      <c r="O532" s="305"/>
      <c r="P532" s="305"/>
      <c r="Q532" s="305"/>
      <c r="R532" s="305"/>
      <c r="S532" s="305"/>
      <c r="T532" s="305"/>
      <c r="U532" s="296"/>
      <c r="V532" s="303"/>
      <c r="W532" s="303"/>
      <c r="X532" s="303"/>
      <c r="Y532" s="305"/>
      <c r="Z532" s="305"/>
      <c r="AA532" s="305"/>
      <c r="AB532" s="304"/>
      <c r="AC532" s="305"/>
      <c r="AD532" s="305"/>
      <c r="AE532" s="305"/>
      <c r="AF532" s="305"/>
      <c r="AG532" s="305"/>
      <c r="AH532" s="305"/>
      <c r="AI532" s="305"/>
      <c r="AJ532" s="305"/>
      <c r="AK532" s="305"/>
      <c r="AL532" s="305"/>
      <c r="AM532" s="305"/>
      <c r="AN532" s="305"/>
    </row>
    <row r="533" spans="1:40" s="306" customFormat="1" x14ac:dyDescent="0.3">
      <c r="A533" s="296"/>
      <c r="B533" s="303"/>
      <c r="C533" s="304"/>
      <c r="D533" s="303"/>
      <c r="E533" s="304"/>
      <c r="F533" s="304"/>
      <c r="G533" s="304"/>
      <c r="H533" s="305"/>
      <c r="I533" s="305"/>
      <c r="J533" s="305"/>
      <c r="K533" s="305"/>
      <c r="L533" s="305"/>
      <c r="M533" s="305"/>
      <c r="N533" s="305"/>
      <c r="O533" s="305"/>
      <c r="P533" s="305"/>
      <c r="Q533" s="305"/>
      <c r="R533" s="305"/>
      <c r="S533" s="305"/>
      <c r="T533" s="305"/>
      <c r="U533" s="296"/>
      <c r="V533" s="303"/>
      <c r="W533" s="303"/>
      <c r="X533" s="303"/>
      <c r="Y533" s="305"/>
      <c r="Z533" s="305"/>
      <c r="AA533" s="305"/>
      <c r="AB533" s="304"/>
      <c r="AC533" s="305"/>
      <c r="AD533" s="305"/>
      <c r="AE533" s="305"/>
      <c r="AF533" s="305"/>
      <c r="AG533" s="305"/>
      <c r="AH533" s="305"/>
      <c r="AI533" s="305"/>
      <c r="AJ533" s="305"/>
      <c r="AK533" s="305"/>
      <c r="AL533" s="305"/>
      <c r="AM533" s="305"/>
      <c r="AN533" s="305"/>
    </row>
    <row r="534" spans="1:40" s="306" customFormat="1" x14ac:dyDescent="0.3">
      <c r="A534" s="296"/>
      <c r="B534" s="303"/>
      <c r="C534" s="304"/>
      <c r="D534" s="303"/>
      <c r="E534" s="304"/>
      <c r="F534" s="304"/>
      <c r="G534" s="304"/>
      <c r="H534" s="305"/>
      <c r="I534" s="305"/>
      <c r="J534" s="305"/>
      <c r="K534" s="305"/>
      <c r="L534" s="305"/>
      <c r="M534" s="305"/>
      <c r="N534" s="305"/>
      <c r="O534" s="305"/>
      <c r="P534" s="305"/>
      <c r="Q534" s="305"/>
      <c r="R534" s="305"/>
      <c r="S534" s="305"/>
      <c r="T534" s="305"/>
      <c r="U534" s="296"/>
      <c r="V534" s="303"/>
      <c r="W534" s="303"/>
      <c r="X534" s="303"/>
      <c r="Y534" s="305"/>
      <c r="Z534" s="305"/>
      <c r="AA534" s="305"/>
      <c r="AB534" s="304"/>
      <c r="AC534" s="305"/>
      <c r="AD534" s="305"/>
      <c r="AE534" s="305"/>
      <c r="AF534" s="305"/>
      <c r="AG534" s="305"/>
      <c r="AH534" s="305"/>
      <c r="AI534" s="305"/>
      <c r="AJ534" s="305"/>
      <c r="AK534" s="305"/>
      <c r="AL534" s="305"/>
      <c r="AM534" s="305"/>
      <c r="AN534" s="305"/>
    </row>
    <row r="535" spans="1:40" s="306" customFormat="1" x14ac:dyDescent="0.3">
      <c r="A535" s="296"/>
      <c r="B535" s="303"/>
      <c r="C535" s="304"/>
      <c r="D535" s="303"/>
      <c r="E535" s="304"/>
      <c r="F535" s="304"/>
      <c r="G535" s="304"/>
      <c r="H535" s="305"/>
      <c r="I535" s="305"/>
      <c r="J535" s="305"/>
      <c r="K535" s="305"/>
      <c r="L535" s="305"/>
      <c r="M535" s="305"/>
      <c r="N535" s="305"/>
      <c r="O535" s="305"/>
      <c r="P535" s="305"/>
      <c r="Q535" s="305"/>
      <c r="R535" s="305"/>
      <c r="S535" s="305"/>
      <c r="T535" s="305"/>
      <c r="U535" s="296"/>
      <c r="V535" s="303"/>
      <c r="W535" s="303"/>
      <c r="X535" s="303"/>
      <c r="Y535" s="305"/>
      <c r="Z535" s="305"/>
      <c r="AA535" s="305"/>
      <c r="AB535" s="304"/>
      <c r="AC535" s="305"/>
      <c r="AD535" s="305"/>
      <c r="AE535" s="305"/>
      <c r="AF535" s="305"/>
      <c r="AG535" s="305"/>
      <c r="AH535" s="305"/>
      <c r="AI535" s="305"/>
      <c r="AJ535" s="305"/>
      <c r="AK535" s="305"/>
      <c r="AL535" s="305"/>
      <c r="AM535" s="305"/>
      <c r="AN535" s="305"/>
    </row>
    <row r="536" spans="1:40" s="306" customFormat="1" x14ac:dyDescent="0.3">
      <c r="A536" s="296"/>
      <c r="B536" s="303"/>
      <c r="C536" s="304"/>
      <c r="D536" s="303"/>
      <c r="E536" s="304"/>
      <c r="F536" s="304"/>
      <c r="G536" s="304"/>
      <c r="H536" s="305"/>
      <c r="I536" s="305"/>
      <c r="J536" s="305"/>
      <c r="K536" s="305"/>
      <c r="L536" s="305"/>
      <c r="M536" s="305"/>
      <c r="N536" s="305"/>
      <c r="O536" s="305"/>
      <c r="P536" s="305"/>
      <c r="Q536" s="305"/>
      <c r="R536" s="305"/>
      <c r="S536" s="305"/>
      <c r="T536" s="305"/>
      <c r="U536" s="296"/>
      <c r="V536" s="303"/>
      <c r="W536" s="303"/>
      <c r="X536" s="303"/>
      <c r="Y536" s="305"/>
      <c r="Z536" s="305"/>
      <c r="AA536" s="305"/>
      <c r="AB536" s="304"/>
      <c r="AC536" s="305"/>
      <c r="AD536" s="305"/>
      <c r="AE536" s="305"/>
      <c r="AF536" s="305"/>
      <c r="AG536" s="305"/>
      <c r="AH536" s="305"/>
      <c r="AI536" s="305"/>
      <c r="AJ536" s="305"/>
      <c r="AK536" s="305"/>
      <c r="AL536" s="305"/>
      <c r="AM536" s="305"/>
      <c r="AN536" s="305"/>
    </row>
    <row r="537" spans="1:40" s="306" customFormat="1" x14ac:dyDescent="0.3">
      <c r="A537" s="296"/>
      <c r="B537" s="303"/>
      <c r="C537" s="304"/>
      <c r="D537" s="303"/>
      <c r="E537" s="304"/>
      <c r="F537" s="304"/>
      <c r="G537" s="304"/>
      <c r="H537" s="305"/>
      <c r="I537" s="305"/>
      <c r="J537" s="305"/>
      <c r="K537" s="305"/>
      <c r="L537" s="305"/>
      <c r="M537" s="305"/>
      <c r="N537" s="305"/>
      <c r="O537" s="305"/>
      <c r="P537" s="305"/>
      <c r="Q537" s="305"/>
      <c r="R537" s="305"/>
      <c r="S537" s="305"/>
      <c r="T537" s="305"/>
      <c r="U537" s="296"/>
      <c r="V537" s="303"/>
      <c r="W537" s="303"/>
      <c r="X537" s="303"/>
      <c r="Y537" s="305"/>
      <c r="Z537" s="305"/>
      <c r="AA537" s="305"/>
      <c r="AB537" s="304"/>
      <c r="AC537" s="305"/>
      <c r="AD537" s="305"/>
      <c r="AE537" s="305"/>
      <c r="AF537" s="305"/>
      <c r="AG537" s="305"/>
      <c r="AH537" s="305"/>
      <c r="AI537" s="305"/>
      <c r="AJ537" s="305"/>
      <c r="AK537" s="305"/>
      <c r="AL537" s="305"/>
      <c r="AM537" s="305"/>
      <c r="AN537" s="305"/>
    </row>
    <row r="538" spans="1:40" s="306" customFormat="1" x14ac:dyDescent="0.3">
      <c r="A538" s="296"/>
      <c r="B538" s="303"/>
      <c r="C538" s="304"/>
      <c r="D538" s="303"/>
      <c r="E538" s="304"/>
      <c r="F538" s="304"/>
      <c r="G538" s="304"/>
      <c r="H538" s="305"/>
      <c r="I538" s="305"/>
      <c r="J538" s="305"/>
      <c r="K538" s="305"/>
      <c r="L538" s="305"/>
      <c r="M538" s="305"/>
      <c r="N538" s="305"/>
      <c r="O538" s="305"/>
      <c r="P538" s="305"/>
      <c r="Q538" s="305"/>
      <c r="R538" s="305"/>
      <c r="S538" s="305"/>
      <c r="T538" s="305"/>
      <c r="U538" s="296"/>
      <c r="V538" s="303"/>
      <c r="W538" s="303"/>
      <c r="X538" s="303"/>
      <c r="Y538" s="305"/>
      <c r="Z538" s="305"/>
      <c r="AA538" s="305"/>
      <c r="AB538" s="304"/>
      <c r="AC538" s="305"/>
      <c r="AD538" s="305"/>
      <c r="AE538" s="305"/>
      <c r="AF538" s="305"/>
      <c r="AG538" s="305"/>
      <c r="AH538" s="305"/>
      <c r="AI538" s="305"/>
      <c r="AJ538" s="305"/>
      <c r="AK538" s="305"/>
      <c r="AL538" s="305"/>
      <c r="AM538" s="305"/>
      <c r="AN538" s="305"/>
    </row>
    <row r="539" spans="1:40" s="306" customFormat="1" x14ac:dyDescent="0.3">
      <c r="A539" s="296"/>
      <c r="B539" s="303"/>
      <c r="C539" s="304"/>
      <c r="D539" s="303"/>
      <c r="E539" s="304"/>
      <c r="F539" s="304"/>
      <c r="G539" s="304"/>
      <c r="H539" s="305"/>
      <c r="I539" s="305"/>
      <c r="J539" s="305"/>
      <c r="K539" s="305"/>
      <c r="L539" s="305"/>
      <c r="M539" s="305"/>
      <c r="N539" s="305"/>
      <c r="O539" s="305"/>
      <c r="P539" s="305"/>
      <c r="Q539" s="305"/>
      <c r="R539" s="305"/>
      <c r="S539" s="305"/>
      <c r="T539" s="305"/>
      <c r="U539" s="296"/>
      <c r="V539" s="303"/>
      <c r="W539" s="303"/>
      <c r="X539" s="303"/>
      <c r="Y539" s="305"/>
      <c r="Z539" s="305"/>
      <c r="AA539" s="305"/>
      <c r="AB539" s="304"/>
      <c r="AC539" s="305"/>
      <c r="AD539" s="305"/>
      <c r="AE539" s="305"/>
      <c r="AF539" s="305"/>
      <c r="AG539" s="305"/>
      <c r="AH539" s="305"/>
      <c r="AI539" s="305"/>
      <c r="AJ539" s="305"/>
      <c r="AK539" s="305"/>
      <c r="AL539" s="305"/>
      <c r="AM539" s="305"/>
      <c r="AN539" s="305"/>
    </row>
    <row r="540" spans="1:40" s="306" customFormat="1" x14ac:dyDescent="0.3">
      <c r="A540" s="296"/>
      <c r="B540" s="303"/>
      <c r="C540" s="304"/>
      <c r="D540" s="303"/>
      <c r="E540" s="304"/>
      <c r="F540" s="304"/>
      <c r="G540" s="304"/>
      <c r="H540" s="305"/>
      <c r="I540" s="305"/>
      <c r="J540" s="305"/>
      <c r="K540" s="305"/>
      <c r="L540" s="305"/>
      <c r="M540" s="305"/>
      <c r="N540" s="305"/>
      <c r="O540" s="305"/>
      <c r="P540" s="305"/>
      <c r="Q540" s="305"/>
      <c r="R540" s="305"/>
      <c r="S540" s="305"/>
      <c r="T540" s="305"/>
      <c r="U540" s="296"/>
      <c r="V540" s="303"/>
      <c r="W540" s="303"/>
      <c r="X540" s="303"/>
      <c r="Y540" s="305"/>
      <c r="Z540" s="305"/>
      <c r="AA540" s="305"/>
      <c r="AB540" s="304"/>
      <c r="AC540" s="305"/>
      <c r="AD540" s="305"/>
      <c r="AE540" s="305"/>
      <c r="AF540" s="305"/>
      <c r="AG540" s="305"/>
      <c r="AH540" s="305"/>
      <c r="AI540" s="305"/>
      <c r="AJ540" s="305"/>
      <c r="AK540" s="305"/>
      <c r="AL540" s="305"/>
      <c r="AM540" s="305"/>
      <c r="AN540" s="305"/>
    </row>
    <row r="541" spans="1:40" s="306" customFormat="1" x14ac:dyDescent="0.3">
      <c r="A541" s="296"/>
      <c r="B541" s="303"/>
      <c r="C541" s="304"/>
      <c r="D541" s="303"/>
      <c r="E541" s="304"/>
      <c r="F541" s="304"/>
      <c r="G541" s="304"/>
      <c r="H541" s="305"/>
      <c r="I541" s="305"/>
      <c r="J541" s="305"/>
      <c r="K541" s="305"/>
      <c r="L541" s="305"/>
      <c r="M541" s="305"/>
      <c r="N541" s="305"/>
      <c r="O541" s="305"/>
      <c r="P541" s="305"/>
      <c r="Q541" s="305"/>
      <c r="R541" s="305"/>
      <c r="S541" s="305"/>
      <c r="T541" s="305"/>
      <c r="U541" s="296"/>
      <c r="V541" s="303"/>
      <c r="W541" s="303"/>
      <c r="X541" s="303"/>
      <c r="Y541" s="305"/>
      <c r="Z541" s="305"/>
      <c r="AA541" s="305"/>
      <c r="AB541" s="304"/>
      <c r="AC541" s="305"/>
      <c r="AD541" s="305"/>
      <c r="AE541" s="305"/>
      <c r="AF541" s="305"/>
      <c r="AG541" s="305"/>
      <c r="AH541" s="305"/>
      <c r="AI541" s="305"/>
      <c r="AJ541" s="305"/>
      <c r="AK541" s="305"/>
      <c r="AL541" s="305"/>
      <c r="AM541" s="305"/>
      <c r="AN541" s="305"/>
    </row>
    <row r="542" spans="1:40" s="306" customFormat="1" x14ac:dyDescent="0.3">
      <c r="A542" s="296"/>
      <c r="B542" s="303"/>
      <c r="C542" s="304"/>
      <c r="D542" s="303"/>
      <c r="E542" s="304"/>
      <c r="F542" s="304"/>
      <c r="G542" s="304"/>
      <c r="H542" s="305"/>
      <c r="I542" s="305"/>
      <c r="J542" s="305"/>
      <c r="K542" s="305"/>
      <c r="L542" s="305"/>
      <c r="M542" s="305"/>
      <c r="N542" s="305"/>
      <c r="O542" s="305"/>
      <c r="P542" s="305"/>
      <c r="Q542" s="305"/>
      <c r="R542" s="305"/>
      <c r="S542" s="305"/>
      <c r="T542" s="305"/>
      <c r="U542" s="296"/>
      <c r="V542" s="303"/>
      <c r="W542" s="303"/>
      <c r="X542" s="303"/>
      <c r="Y542" s="305"/>
      <c r="Z542" s="305"/>
      <c r="AA542" s="305"/>
      <c r="AB542" s="304"/>
      <c r="AC542" s="305"/>
      <c r="AD542" s="305"/>
      <c r="AE542" s="305"/>
      <c r="AF542" s="305"/>
      <c r="AG542" s="305"/>
      <c r="AH542" s="305"/>
      <c r="AI542" s="305"/>
      <c r="AJ542" s="305"/>
      <c r="AK542" s="305"/>
      <c r="AL542" s="305"/>
      <c r="AM542" s="305"/>
      <c r="AN542" s="305"/>
    </row>
    <row r="543" spans="1:40" s="306" customFormat="1" x14ac:dyDescent="0.3">
      <c r="A543" s="296"/>
      <c r="B543" s="303"/>
      <c r="C543" s="304"/>
      <c r="D543" s="303"/>
      <c r="E543" s="304"/>
      <c r="F543" s="304"/>
      <c r="G543" s="304"/>
      <c r="H543" s="305"/>
      <c r="I543" s="305"/>
      <c r="J543" s="305"/>
      <c r="K543" s="305"/>
      <c r="L543" s="305"/>
      <c r="M543" s="305"/>
      <c r="N543" s="305"/>
      <c r="O543" s="305"/>
      <c r="P543" s="305"/>
      <c r="Q543" s="305"/>
      <c r="R543" s="305"/>
      <c r="S543" s="305"/>
      <c r="T543" s="305"/>
      <c r="U543" s="296"/>
      <c r="V543" s="303"/>
      <c r="W543" s="303"/>
      <c r="X543" s="303"/>
      <c r="Y543" s="305"/>
      <c r="Z543" s="305"/>
      <c r="AA543" s="305"/>
      <c r="AB543" s="304"/>
      <c r="AC543" s="305"/>
      <c r="AD543" s="305"/>
      <c r="AE543" s="305"/>
      <c r="AF543" s="305"/>
      <c r="AG543" s="305"/>
      <c r="AH543" s="305"/>
      <c r="AI543" s="305"/>
      <c r="AJ543" s="305"/>
      <c r="AK543" s="305"/>
      <c r="AL543" s="305"/>
      <c r="AM543" s="305"/>
      <c r="AN543" s="305"/>
    </row>
    <row r="544" spans="1:40" s="306" customFormat="1" x14ac:dyDescent="0.3">
      <c r="A544" s="296"/>
      <c r="B544" s="303"/>
      <c r="C544" s="304"/>
      <c r="D544" s="303"/>
      <c r="E544" s="304"/>
      <c r="F544" s="304"/>
      <c r="G544" s="304"/>
      <c r="H544" s="305"/>
      <c r="I544" s="305"/>
      <c r="J544" s="305"/>
      <c r="K544" s="305"/>
      <c r="L544" s="305"/>
      <c r="M544" s="305"/>
      <c r="N544" s="305"/>
      <c r="O544" s="305"/>
      <c r="P544" s="305"/>
      <c r="Q544" s="305"/>
      <c r="R544" s="305"/>
      <c r="S544" s="305"/>
      <c r="T544" s="305"/>
      <c r="U544" s="296"/>
      <c r="V544" s="303"/>
      <c r="W544" s="303"/>
      <c r="X544" s="303"/>
      <c r="Y544" s="305"/>
      <c r="Z544" s="305"/>
      <c r="AA544" s="305"/>
      <c r="AB544" s="304"/>
      <c r="AC544" s="305"/>
      <c r="AD544" s="305"/>
      <c r="AE544" s="305"/>
      <c r="AF544" s="305"/>
      <c r="AG544" s="305"/>
      <c r="AH544" s="305"/>
      <c r="AI544" s="305"/>
      <c r="AJ544" s="305"/>
      <c r="AK544" s="305"/>
      <c r="AL544" s="305"/>
      <c r="AM544" s="305"/>
      <c r="AN544" s="305"/>
    </row>
    <row r="545" spans="1:40" s="306" customFormat="1" x14ac:dyDescent="0.3">
      <c r="A545" s="296"/>
      <c r="B545" s="303"/>
      <c r="C545" s="304"/>
      <c r="D545" s="303"/>
      <c r="E545" s="304"/>
      <c r="F545" s="304"/>
      <c r="G545" s="304"/>
      <c r="H545" s="305"/>
      <c r="I545" s="305"/>
      <c r="J545" s="305"/>
      <c r="K545" s="305"/>
      <c r="L545" s="305"/>
      <c r="M545" s="305"/>
      <c r="N545" s="305"/>
      <c r="O545" s="305"/>
      <c r="P545" s="305"/>
      <c r="Q545" s="305"/>
      <c r="R545" s="305"/>
      <c r="S545" s="305"/>
      <c r="T545" s="305"/>
      <c r="U545" s="296"/>
      <c r="V545" s="303"/>
      <c r="W545" s="303"/>
      <c r="X545" s="303"/>
      <c r="Y545" s="305"/>
      <c r="Z545" s="305"/>
      <c r="AA545" s="305"/>
      <c r="AB545" s="304"/>
      <c r="AC545" s="305"/>
      <c r="AD545" s="305"/>
      <c r="AE545" s="305"/>
      <c r="AF545" s="305"/>
      <c r="AG545" s="305"/>
      <c r="AH545" s="305"/>
      <c r="AI545" s="305"/>
      <c r="AJ545" s="305"/>
      <c r="AK545" s="305"/>
      <c r="AL545" s="305"/>
      <c r="AM545" s="305"/>
      <c r="AN545" s="305"/>
    </row>
    <row r="546" spans="1:40" s="306" customFormat="1" x14ac:dyDescent="0.3">
      <c r="A546" s="296"/>
      <c r="B546" s="303"/>
      <c r="C546" s="304"/>
      <c r="D546" s="303"/>
      <c r="E546" s="304"/>
      <c r="F546" s="304"/>
      <c r="G546" s="304"/>
      <c r="H546" s="305"/>
      <c r="I546" s="305"/>
      <c r="J546" s="305"/>
      <c r="K546" s="305"/>
      <c r="L546" s="305"/>
      <c r="M546" s="305"/>
      <c r="N546" s="305"/>
      <c r="O546" s="305"/>
      <c r="P546" s="305"/>
      <c r="Q546" s="305"/>
      <c r="R546" s="305"/>
      <c r="S546" s="305"/>
      <c r="T546" s="305"/>
      <c r="U546" s="296"/>
      <c r="V546" s="303"/>
      <c r="W546" s="303"/>
      <c r="X546" s="303"/>
      <c r="Y546" s="305"/>
      <c r="Z546" s="305"/>
      <c r="AA546" s="305"/>
      <c r="AB546" s="304"/>
      <c r="AC546" s="305"/>
      <c r="AD546" s="305"/>
      <c r="AE546" s="305"/>
      <c r="AF546" s="305"/>
      <c r="AG546" s="305"/>
      <c r="AH546" s="305"/>
      <c r="AI546" s="305"/>
      <c r="AJ546" s="305"/>
      <c r="AK546" s="305"/>
      <c r="AL546" s="305"/>
      <c r="AM546" s="305"/>
      <c r="AN546" s="305"/>
    </row>
    <row r="547" spans="1:40" s="306" customFormat="1" x14ac:dyDescent="0.3">
      <c r="A547" s="296"/>
      <c r="B547" s="303"/>
      <c r="C547" s="304"/>
      <c r="D547" s="303"/>
      <c r="E547" s="304"/>
      <c r="F547" s="304"/>
      <c r="G547" s="304"/>
      <c r="H547" s="305"/>
      <c r="I547" s="305"/>
      <c r="J547" s="305"/>
      <c r="K547" s="305"/>
      <c r="L547" s="305"/>
      <c r="M547" s="305"/>
      <c r="N547" s="305"/>
      <c r="O547" s="305"/>
      <c r="P547" s="305"/>
      <c r="Q547" s="305"/>
      <c r="R547" s="305"/>
      <c r="S547" s="305"/>
      <c r="T547" s="305"/>
      <c r="U547" s="296"/>
      <c r="V547" s="303"/>
      <c r="W547" s="303"/>
      <c r="X547" s="303"/>
      <c r="Y547" s="305"/>
      <c r="Z547" s="305"/>
      <c r="AA547" s="305"/>
      <c r="AB547" s="304"/>
      <c r="AC547" s="305"/>
      <c r="AD547" s="305"/>
      <c r="AE547" s="305"/>
      <c r="AF547" s="305"/>
      <c r="AG547" s="305"/>
      <c r="AH547" s="305"/>
      <c r="AI547" s="305"/>
      <c r="AJ547" s="305"/>
      <c r="AK547" s="305"/>
      <c r="AL547" s="305"/>
      <c r="AM547" s="305"/>
      <c r="AN547" s="305"/>
    </row>
    <row r="548" spans="1:40" s="306" customFormat="1" x14ac:dyDescent="0.3">
      <c r="A548" s="296"/>
      <c r="B548" s="303"/>
      <c r="C548" s="304"/>
      <c r="D548" s="303"/>
      <c r="E548" s="304"/>
      <c r="F548" s="304"/>
      <c r="G548" s="304"/>
      <c r="H548" s="305"/>
      <c r="I548" s="305"/>
      <c r="J548" s="305"/>
      <c r="K548" s="305"/>
      <c r="L548" s="305"/>
      <c r="M548" s="305"/>
      <c r="N548" s="305"/>
      <c r="O548" s="305"/>
      <c r="P548" s="305"/>
      <c r="Q548" s="305"/>
      <c r="R548" s="305"/>
      <c r="S548" s="305"/>
      <c r="T548" s="305"/>
      <c r="U548" s="296"/>
      <c r="V548" s="303"/>
      <c r="W548" s="303"/>
      <c r="X548" s="303"/>
      <c r="Y548" s="305"/>
      <c r="Z548" s="305"/>
      <c r="AA548" s="305"/>
      <c r="AB548" s="304"/>
      <c r="AC548" s="305"/>
      <c r="AD548" s="305"/>
      <c r="AE548" s="305"/>
      <c r="AF548" s="305"/>
      <c r="AG548" s="305"/>
      <c r="AH548" s="305"/>
      <c r="AI548" s="305"/>
      <c r="AJ548" s="305"/>
      <c r="AK548" s="305"/>
      <c r="AL548" s="305"/>
      <c r="AM548" s="305"/>
      <c r="AN548" s="305"/>
    </row>
    <row r="549" spans="1:40" s="306" customFormat="1" x14ac:dyDescent="0.3">
      <c r="A549" s="296"/>
      <c r="B549" s="303"/>
      <c r="C549" s="304"/>
      <c r="D549" s="303"/>
      <c r="E549" s="304"/>
      <c r="F549" s="304"/>
      <c r="G549" s="304"/>
      <c r="H549" s="305"/>
      <c r="I549" s="305"/>
      <c r="J549" s="305"/>
      <c r="K549" s="305"/>
      <c r="L549" s="305"/>
      <c r="M549" s="305"/>
      <c r="N549" s="305"/>
      <c r="O549" s="305"/>
      <c r="P549" s="305"/>
      <c r="Q549" s="305"/>
      <c r="R549" s="305"/>
      <c r="S549" s="305"/>
      <c r="T549" s="305"/>
      <c r="U549" s="296"/>
      <c r="V549" s="303"/>
      <c r="W549" s="303"/>
      <c r="X549" s="303"/>
      <c r="Y549" s="305"/>
      <c r="Z549" s="305"/>
      <c r="AA549" s="305"/>
      <c r="AB549" s="304"/>
      <c r="AC549" s="305"/>
      <c r="AD549" s="305"/>
      <c r="AE549" s="305"/>
      <c r="AF549" s="305"/>
      <c r="AG549" s="305"/>
      <c r="AH549" s="305"/>
      <c r="AI549" s="305"/>
      <c r="AJ549" s="305"/>
      <c r="AK549" s="305"/>
      <c r="AL549" s="305"/>
      <c r="AM549" s="305"/>
      <c r="AN549" s="305"/>
    </row>
    <row r="550" spans="1:40" s="306" customFormat="1" x14ac:dyDescent="0.3">
      <c r="A550" s="296"/>
      <c r="B550" s="303"/>
      <c r="C550" s="304"/>
      <c r="D550" s="303"/>
      <c r="E550" s="304"/>
      <c r="F550" s="304"/>
      <c r="G550" s="304"/>
      <c r="H550" s="305"/>
      <c r="I550" s="305"/>
      <c r="J550" s="305"/>
      <c r="K550" s="305"/>
      <c r="L550" s="305"/>
      <c r="M550" s="305"/>
      <c r="N550" s="305"/>
      <c r="O550" s="305"/>
      <c r="P550" s="305"/>
      <c r="Q550" s="305"/>
      <c r="R550" s="305"/>
      <c r="S550" s="305"/>
      <c r="T550" s="305"/>
      <c r="U550" s="296"/>
      <c r="V550" s="303"/>
      <c r="W550" s="303"/>
      <c r="X550" s="303"/>
      <c r="Y550" s="305"/>
      <c r="Z550" s="305"/>
      <c r="AA550" s="305"/>
      <c r="AB550" s="304"/>
      <c r="AC550" s="305"/>
      <c r="AD550" s="305"/>
      <c r="AE550" s="305"/>
      <c r="AF550" s="305"/>
      <c r="AG550" s="305"/>
      <c r="AH550" s="305"/>
      <c r="AI550" s="305"/>
      <c r="AJ550" s="305"/>
      <c r="AK550" s="305"/>
      <c r="AL550" s="305"/>
      <c r="AM550" s="305"/>
      <c r="AN550" s="305"/>
    </row>
    <row r="551" spans="1:40" s="306" customFormat="1" x14ac:dyDescent="0.3">
      <c r="A551" s="296"/>
      <c r="B551" s="303"/>
      <c r="C551" s="304"/>
      <c r="D551" s="303"/>
      <c r="E551" s="304"/>
      <c r="F551" s="304"/>
      <c r="G551" s="304"/>
      <c r="H551" s="305"/>
      <c r="I551" s="305"/>
      <c r="J551" s="305"/>
      <c r="K551" s="305"/>
      <c r="L551" s="305"/>
      <c r="M551" s="305"/>
      <c r="N551" s="305"/>
      <c r="O551" s="305"/>
      <c r="P551" s="305"/>
      <c r="Q551" s="305"/>
      <c r="R551" s="305"/>
      <c r="S551" s="305"/>
      <c r="T551" s="305"/>
      <c r="U551" s="296"/>
      <c r="V551" s="303"/>
      <c r="W551" s="303"/>
      <c r="X551" s="303"/>
      <c r="Y551" s="305"/>
      <c r="Z551" s="305"/>
      <c r="AA551" s="305"/>
      <c r="AB551" s="304"/>
      <c r="AC551" s="305"/>
      <c r="AD551" s="305"/>
      <c r="AE551" s="305"/>
      <c r="AF551" s="305"/>
      <c r="AG551" s="305"/>
      <c r="AH551" s="305"/>
      <c r="AI551" s="305"/>
      <c r="AJ551" s="305"/>
      <c r="AK551" s="305"/>
      <c r="AL551" s="305"/>
      <c r="AM551" s="305"/>
      <c r="AN551" s="305"/>
    </row>
    <row r="552" spans="1:40" s="306" customFormat="1" x14ac:dyDescent="0.3">
      <c r="A552" s="296"/>
      <c r="B552" s="303"/>
      <c r="C552" s="304"/>
      <c r="D552" s="303"/>
      <c r="E552" s="304"/>
      <c r="F552" s="304"/>
      <c r="G552" s="304"/>
      <c r="H552" s="305"/>
      <c r="I552" s="305"/>
      <c r="J552" s="305"/>
      <c r="K552" s="305"/>
      <c r="L552" s="305"/>
      <c r="M552" s="305"/>
      <c r="N552" s="305"/>
      <c r="O552" s="305"/>
      <c r="P552" s="305"/>
      <c r="Q552" s="305"/>
      <c r="R552" s="305"/>
      <c r="S552" s="305"/>
      <c r="T552" s="305"/>
      <c r="U552" s="296"/>
      <c r="V552" s="303"/>
      <c r="W552" s="303"/>
      <c r="X552" s="303"/>
      <c r="Y552" s="305"/>
      <c r="Z552" s="305"/>
      <c r="AA552" s="305"/>
      <c r="AB552" s="304"/>
      <c r="AC552" s="305"/>
      <c r="AD552" s="305"/>
      <c r="AE552" s="305"/>
      <c r="AF552" s="305"/>
      <c r="AG552" s="305"/>
      <c r="AH552" s="305"/>
      <c r="AI552" s="305"/>
      <c r="AJ552" s="305"/>
      <c r="AK552" s="305"/>
      <c r="AL552" s="305"/>
      <c r="AM552" s="305"/>
      <c r="AN552" s="305"/>
    </row>
    <row r="553" spans="1:40" s="306" customFormat="1" x14ac:dyDescent="0.3">
      <c r="A553" s="296"/>
      <c r="B553" s="303"/>
      <c r="C553" s="304"/>
      <c r="D553" s="303"/>
      <c r="E553" s="304"/>
      <c r="F553" s="304"/>
      <c r="G553" s="304"/>
      <c r="H553" s="305"/>
      <c r="I553" s="305"/>
      <c r="J553" s="305"/>
      <c r="K553" s="305"/>
      <c r="L553" s="305"/>
      <c r="M553" s="305"/>
      <c r="N553" s="305"/>
      <c r="O553" s="305"/>
      <c r="P553" s="305"/>
      <c r="Q553" s="305"/>
      <c r="R553" s="305"/>
      <c r="S553" s="305"/>
      <c r="T553" s="305"/>
      <c r="U553" s="296"/>
      <c r="V553" s="303"/>
      <c r="W553" s="303"/>
      <c r="X553" s="303"/>
      <c r="Y553" s="305"/>
      <c r="Z553" s="305"/>
      <c r="AA553" s="305"/>
      <c r="AB553" s="304"/>
      <c r="AC553" s="305"/>
      <c r="AD553" s="305"/>
      <c r="AE553" s="305"/>
      <c r="AF553" s="305"/>
      <c r="AG553" s="305"/>
      <c r="AH553" s="305"/>
      <c r="AI553" s="305"/>
      <c r="AJ553" s="305"/>
      <c r="AK553" s="305"/>
      <c r="AL553" s="305"/>
      <c r="AM553" s="305"/>
      <c r="AN553" s="305"/>
    </row>
    <row r="554" spans="1:40" s="306" customFormat="1" x14ac:dyDescent="0.3">
      <c r="A554" s="296"/>
      <c r="B554" s="303"/>
      <c r="C554" s="304"/>
      <c r="D554" s="303"/>
      <c r="E554" s="304"/>
      <c r="F554" s="304"/>
      <c r="G554" s="304"/>
      <c r="H554" s="305"/>
      <c r="I554" s="305"/>
      <c r="J554" s="305"/>
      <c r="K554" s="305"/>
      <c r="L554" s="305"/>
      <c r="M554" s="305"/>
      <c r="N554" s="305"/>
      <c r="O554" s="305"/>
      <c r="P554" s="305"/>
      <c r="Q554" s="305"/>
      <c r="R554" s="305"/>
      <c r="S554" s="305"/>
      <c r="T554" s="305"/>
      <c r="U554" s="296"/>
      <c r="V554" s="303"/>
      <c r="W554" s="303"/>
      <c r="X554" s="303"/>
      <c r="Y554" s="305"/>
      <c r="Z554" s="305"/>
      <c r="AA554" s="305"/>
      <c r="AB554" s="304"/>
      <c r="AC554" s="305"/>
      <c r="AD554" s="305"/>
      <c r="AE554" s="305"/>
      <c r="AF554" s="305"/>
      <c r="AG554" s="305"/>
      <c r="AH554" s="305"/>
      <c r="AI554" s="305"/>
      <c r="AJ554" s="305"/>
      <c r="AK554" s="305"/>
      <c r="AL554" s="305"/>
      <c r="AM554" s="305"/>
      <c r="AN554" s="305"/>
    </row>
    <row r="555" spans="1:40" s="306" customFormat="1" x14ac:dyDescent="0.3">
      <c r="A555" s="296"/>
      <c r="B555" s="303"/>
      <c r="C555" s="304"/>
      <c r="D555" s="303"/>
      <c r="E555" s="304"/>
      <c r="F555" s="304"/>
      <c r="G555" s="304"/>
      <c r="H555" s="305"/>
      <c r="I555" s="305"/>
      <c r="J555" s="305"/>
      <c r="K555" s="305"/>
      <c r="L555" s="305"/>
      <c r="M555" s="305"/>
      <c r="N555" s="305"/>
      <c r="O555" s="305"/>
      <c r="P555" s="305"/>
      <c r="Q555" s="305"/>
      <c r="R555" s="305"/>
      <c r="S555" s="305"/>
      <c r="T555" s="305"/>
      <c r="U555" s="296"/>
      <c r="V555" s="303"/>
      <c r="W555" s="303"/>
      <c r="X555" s="303"/>
      <c r="Y555" s="305"/>
      <c r="Z555" s="305"/>
      <c r="AA555" s="305"/>
      <c r="AB555" s="304"/>
      <c r="AC555" s="305"/>
      <c r="AD555" s="305"/>
      <c r="AE555" s="305"/>
      <c r="AF555" s="305"/>
      <c r="AG555" s="305"/>
      <c r="AH555" s="305"/>
      <c r="AI555" s="305"/>
      <c r="AJ555" s="305"/>
      <c r="AK555" s="305"/>
      <c r="AL555" s="305"/>
      <c r="AM555" s="305"/>
      <c r="AN555" s="305"/>
    </row>
    <row r="556" spans="1:40" s="306" customFormat="1" x14ac:dyDescent="0.3">
      <c r="A556" s="296"/>
      <c r="B556" s="303"/>
      <c r="C556" s="304"/>
      <c r="D556" s="303"/>
      <c r="E556" s="304"/>
      <c r="F556" s="304"/>
      <c r="G556" s="304"/>
      <c r="H556" s="305"/>
      <c r="I556" s="305"/>
      <c r="J556" s="305"/>
      <c r="K556" s="305"/>
      <c r="L556" s="305"/>
      <c r="M556" s="305"/>
      <c r="N556" s="305"/>
      <c r="O556" s="305"/>
      <c r="P556" s="305"/>
      <c r="Q556" s="305"/>
      <c r="R556" s="305"/>
      <c r="S556" s="305"/>
      <c r="T556" s="305"/>
      <c r="U556" s="296"/>
      <c r="V556" s="303"/>
      <c r="W556" s="303"/>
      <c r="X556" s="303"/>
      <c r="Y556" s="305"/>
      <c r="Z556" s="305"/>
      <c r="AA556" s="305"/>
      <c r="AB556" s="304"/>
      <c r="AC556" s="305"/>
      <c r="AD556" s="305"/>
      <c r="AE556" s="305"/>
      <c r="AF556" s="305"/>
      <c r="AG556" s="305"/>
      <c r="AH556" s="305"/>
      <c r="AI556" s="305"/>
      <c r="AJ556" s="305"/>
      <c r="AK556" s="305"/>
      <c r="AL556" s="305"/>
      <c r="AM556" s="305"/>
      <c r="AN556" s="305"/>
    </row>
    <row r="557" spans="1:40" s="306" customFormat="1" x14ac:dyDescent="0.3">
      <c r="A557" s="296"/>
      <c r="B557" s="303"/>
      <c r="C557" s="304"/>
      <c r="D557" s="303"/>
      <c r="E557" s="304"/>
      <c r="F557" s="304"/>
      <c r="G557" s="304"/>
      <c r="H557" s="305"/>
      <c r="I557" s="305"/>
      <c r="J557" s="305"/>
      <c r="K557" s="305"/>
      <c r="L557" s="305"/>
      <c r="M557" s="305"/>
      <c r="N557" s="305"/>
      <c r="O557" s="305"/>
      <c r="P557" s="305"/>
      <c r="Q557" s="305"/>
      <c r="R557" s="305"/>
      <c r="S557" s="305"/>
      <c r="T557" s="305"/>
      <c r="U557" s="296"/>
      <c r="V557" s="303"/>
      <c r="W557" s="303"/>
      <c r="X557" s="303"/>
      <c r="Y557" s="305"/>
      <c r="Z557" s="305"/>
      <c r="AA557" s="305"/>
      <c r="AB557" s="304"/>
      <c r="AC557" s="305"/>
      <c r="AD557" s="305"/>
      <c r="AE557" s="305"/>
      <c r="AF557" s="305"/>
      <c r="AG557" s="305"/>
      <c r="AH557" s="305"/>
      <c r="AI557" s="305"/>
      <c r="AJ557" s="305"/>
      <c r="AK557" s="305"/>
      <c r="AL557" s="305"/>
      <c r="AM557" s="305"/>
      <c r="AN557" s="305"/>
    </row>
    <row r="558" spans="1:40" s="306" customFormat="1" x14ac:dyDescent="0.3">
      <c r="A558" s="296"/>
      <c r="B558" s="303"/>
      <c r="C558" s="304"/>
      <c r="D558" s="303"/>
      <c r="E558" s="304"/>
      <c r="F558" s="304"/>
      <c r="G558" s="304"/>
      <c r="H558" s="305"/>
      <c r="I558" s="305"/>
      <c r="J558" s="305"/>
      <c r="K558" s="305"/>
      <c r="L558" s="305"/>
      <c r="M558" s="305"/>
      <c r="N558" s="305"/>
      <c r="O558" s="305"/>
      <c r="P558" s="305"/>
      <c r="Q558" s="305"/>
      <c r="R558" s="305"/>
      <c r="S558" s="305"/>
      <c r="T558" s="305"/>
      <c r="U558" s="296"/>
      <c r="V558" s="303"/>
      <c r="W558" s="303"/>
      <c r="X558" s="303"/>
      <c r="Y558" s="305"/>
      <c r="Z558" s="305"/>
      <c r="AA558" s="305"/>
      <c r="AB558" s="304"/>
      <c r="AC558" s="305"/>
      <c r="AD558" s="305"/>
      <c r="AE558" s="305"/>
      <c r="AF558" s="305"/>
      <c r="AG558" s="305"/>
      <c r="AH558" s="305"/>
      <c r="AI558" s="305"/>
      <c r="AJ558" s="305"/>
      <c r="AK558" s="305"/>
      <c r="AL558" s="305"/>
      <c r="AM558" s="305"/>
      <c r="AN558" s="305"/>
    </row>
    <row r="559" spans="1:40" s="306" customFormat="1" x14ac:dyDescent="0.3">
      <c r="A559" s="296"/>
      <c r="B559" s="303"/>
      <c r="C559" s="304"/>
      <c r="D559" s="303"/>
      <c r="E559" s="304"/>
      <c r="F559" s="304"/>
      <c r="G559" s="304"/>
      <c r="H559" s="305"/>
      <c r="I559" s="305"/>
      <c r="J559" s="305"/>
      <c r="K559" s="305"/>
      <c r="L559" s="305"/>
      <c r="M559" s="305"/>
      <c r="N559" s="305"/>
      <c r="O559" s="305"/>
      <c r="P559" s="305"/>
      <c r="Q559" s="305"/>
      <c r="R559" s="305"/>
      <c r="S559" s="305"/>
      <c r="T559" s="305"/>
      <c r="U559" s="296"/>
      <c r="V559" s="303"/>
      <c r="W559" s="303"/>
      <c r="X559" s="303"/>
      <c r="Y559" s="305"/>
      <c r="Z559" s="305"/>
      <c r="AA559" s="305"/>
      <c r="AB559" s="304"/>
      <c r="AC559" s="305"/>
      <c r="AD559" s="305"/>
      <c r="AE559" s="305"/>
      <c r="AF559" s="305"/>
      <c r="AG559" s="305"/>
      <c r="AH559" s="305"/>
      <c r="AI559" s="305"/>
      <c r="AJ559" s="305"/>
      <c r="AK559" s="305"/>
      <c r="AL559" s="305"/>
      <c r="AM559" s="305"/>
      <c r="AN559" s="305"/>
    </row>
    <row r="560" spans="1:40" s="306" customFormat="1" x14ac:dyDescent="0.3">
      <c r="A560" s="296"/>
      <c r="B560" s="303"/>
      <c r="C560" s="304"/>
      <c r="D560" s="303"/>
      <c r="E560" s="304"/>
      <c r="F560" s="304"/>
      <c r="G560" s="304"/>
      <c r="H560" s="305"/>
      <c r="I560" s="305"/>
      <c r="J560" s="305"/>
      <c r="K560" s="305"/>
      <c r="L560" s="305"/>
      <c r="M560" s="305"/>
      <c r="N560" s="305"/>
      <c r="O560" s="305"/>
      <c r="P560" s="305"/>
      <c r="Q560" s="305"/>
      <c r="R560" s="305"/>
      <c r="S560" s="305"/>
      <c r="T560" s="305"/>
      <c r="U560" s="296"/>
      <c r="V560" s="303"/>
      <c r="W560" s="303"/>
      <c r="X560" s="303"/>
      <c r="Y560" s="305"/>
      <c r="Z560" s="305"/>
      <c r="AA560" s="305"/>
      <c r="AB560" s="304"/>
      <c r="AC560" s="305"/>
      <c r="AD560" s="305"/>
      <c r="AE560" s="305"/>
      <c r="AF560" s="305"/>
      <c r="AG560" s="305"/>
      <c r="AH560" s="305"/>
      <c r="AI560" s="305"/>
      <c r="AJ560" s="305"/>
      <c r="AK560" s="305"/>
      <c r="AL560" s="305"/>
      <c r="AM560" s="305"/>
      <c r="AN560" s="305"/>
    </row>
    <row r="561" spans="1:40" s="306" customFormat="1" x14ac:dyDescent="0.3">
      <c r="A561" s="296"/>
      <c r="B561" s="303"/>
      <c r="C561" s="304"/>
      <c r="D561" s="303"/>
      <c r="E561" s="304"/>
      <c r="F561" s="304"/>
      <c r="G561" s="304"/>
      <c r="H561" s="305"/>
      <c r="I561" s="305"/>
      <c r="J561" s="305"/>
      <c r="K561" s="305"/>
      <c r="L561" s="305"/>
      <c r="M561" s="305"/>
      <c r="N561" s="305"/>
      <c r="O561" s="305"/>
      <c r="P561" s="305"/>
      <c r="Q561" s="305"/>
      <c r="R561" s="305"/>
      <c r="S561" s="305"/>
      <c r="T561" s="305"/>
      <c r="U561" s="296"/>
      <c r="V561" s="303"/>
      <c r="W561" s="303"/>
      <c r="X561" s="303"/>
      <c r="Y561" s="305"/>
      <c r="Z561" s="305"/>
      <c r="AA561" s="305"/>
      <c r="AB561" s="304"/>
      <c r="AC561" s="305"/>
      <c r="AD561" s="305"/>
      <c r="AE561" s="305"/>
      <c r="AF561" s="305"/>
      <c r="AG561" s="305"/>
      <c r="AH561" s="305"/>
      <c r="AI561" s="305"/>
      <c r="AJ561" s="305"/>
      <c r="AK561" s="305"/>
      <c r="AL561" s="305"/>
      <c r="AM561" s="305"/>
      <c r="AN561" s="305"/>
    </row>
    <row r="562" spans="1:40" s="306" customFormat="1" x14ac:dyDescent="0.3">
      <c r="A562" s="296"/>
      <c r="B562" s="303"/>
      <c r="C562" s="304"/>
      <c r="D562" s="303"/>
      <c r="E562" s="304"/>
      <c r="F562" s="304"/>
      <c r="G562" s="304"/>
      <c r="H562" s="305"/>
      <c r="I562" s="305"/>
      <c r="J562" s="305"/>
      <c r="K562" s="305"/>
      <c r="L562" s="305"/>
      <c r="M562" s="305"/>
      <c r="N562" s="305"/>
      <c r="O562" s="305"/>
      <c r="P562" s="305"/>
      <c r="Q562" s="305"/>
      <c r="R562" s="305"/>
      <c r="S562" s="305"/>
      <c r="T562" s="305"/>
      <c r="U562" s="296"/>
      <c r="V562" s="303"/>
      <c r="W562" s="303"/>
      <c r="X562" s="303"/>
      <c r="Y562" s="305"/>
      <c r="Z562" s="305"/>
      <c r="AA562" s="305"/>
      <c r="AB562" s="304"/>
      <c r="AC562" s="305"/>
      <c r="AD562" s="305"/>
      <c r="AE562" s="305"/>
      <c r="AF562" s="305"/>
      <c r="AG562" s="305"/>
      <c r="AH562" s="305"/>
      <c r="AI562" s="305"/>
      <c r="AJ562" s="305"/>
      <c r="AK562" s="305"/>
      <c r="AL562" s="305"/>
      <c r="AM562" s="305"/>
      <c r="AN562" s="305"/>
    </row>
    <row r="563" spans="1:40" s="306" customFormat="1" x14ac:dyDescent="0.3">
      <c r="A563" s="296"/>
      <c r="B563" s="303"/>
      <c r="C563" s="304"/>
      <c r="D563" s="303"/>
      <c r="E563" s="304"/>
      <c r="F563" s="304"/>
      <c r="G563" s="304"/>
      <c r="H563" s="305"/>
      <c r="I563" s="305"/>
      <c r="J563" s="305"/>
      <c r="K563" s="305"/>
      <c r="L563" s="305"/>
      <c r="M563" s="305"/>
      <c r="N563" s="305"/>
      <c r="O563" s="305"/>
      <c r="P563" s="305"/>
      <c r="Q563" s="305"/>
      <c r="R563" s="305"/>
      <c r="S563" s="305"/>
      <c r="T563" s="305"/>
      <c r="U563" s="296"/>
      <c r="V563" s="303"/>
      <c r="W563" s="303"/>
      <c r="X563" s="303"/>
      <c r="Y563" s="305"/>
      <c r="Z563" s="305"/>
      <c r="AA563" s="305"/>
      <c r="AB563" s="304"/>
      <c r="AC563" s="305"/>
      <c r="AD563" s="305"/>
      <c r="AE563" s="305"/>
      <c r="AF563" s="305"/>
      <c r="AG563" s="305"/>
      <c r="AH563" s="305"/>
      <c r="AI563" s="305"/>
      <c r="AJ563" s="305"/>
      <c r="AK563" s="305"/>
      <c r="AL563" s="305"/>
      <c r="AM563" s="305"/>
      <c r="AN563" s="305"/>
    </row>
    <row r="564" spans="1:40" s="306" customFormat="1" x14ac:dyDescent="0.3">
      <c r="A564" s="296"/>
      <c r="B564" s="303"/>
      <c r="C564" s="304"/>
      <c r="D564" s="303"/>
      <c r="E564" s="304"/>
      <c r="F564" s="304"/>
      <c r="G564" s="304"/>
      <c r="H564" s="305"/>
      <c r="I564" s="305"/>
      <c r="J564" s="305"/>
      <c r="K564" s="305"/>
      <c r="L564" s="305"/>
      <c r="M564" s="305"/>
      <c r="N564" s="305"/>
      <c r="O564" s="305"/>
      <c r="P564" s="305"/>
      <c r="Q564" s="305"/>
      <c r="R564" s="305"/>
      <c r="S564" s="305"/>
      <c r="T564" s="305"/>
      <c r="U564" s="296"/>
      <c r="V564" s="303"/>
      <c r="W564" s="303"/>
      <c r="X564" s="303"/>
      <c r="Y564" s="305"/>
      <c r="Z564" s="305"/>
      <c r="AA564" s="305"/>
      <c r="AB564" s="304"/>
      <c r="AC564" s="305"/>
      <c r="AD564" s="305"/>
      <c r="AE564" s="305"/>
      <c r="AF564" s="305"/>
      <c r="AG564" s="305"/>
      <c r="AH564" s="305"/>
      <c r="AI564" s="305"/>
      <c r="AJ564" s="305"/>
      <c r="AK564" s="305"/>
      <c r="AL564" s="305"/>
      <c r="AM564" s="305"/>
      <c r="AN564" s="305"/>
    </row>
    <row r="565" spans="1:40" s="306" customFormat="1" x14ac:dyDescent="0.3">
      <c r="A565" s="296"/>
      <c r="B565" s="303"/>
      <c r="C565" s="304"/>
      <c r="D565" s="303"/>
      <c r="E565" s="304"/>
      <c r="F565" s="304"/>
      <c r="G565" s="304"/>
      <c r="H565" s="305"/>
      <c r="I565" s="305"/>
      <c r="J565" s="305"/>
      <c r="K565" s="305"/>
      <c r="L565" s="305"/>
      <c r="M565" s="305"/>
      <c r="N565" s="305"/>
      <c r="O565" s="305"/>
      <c r="P565" s="305"/>
      <c r="Q565" s="305"/>
      <c r="R565" s="305"/>
      <c r="S565" s="305"/>
      <c r="T565" s="305"/>
      <c r="U565" s="296"/>
      <c r="V565" s="303"/>
      <c r="W565" s="303"/>
      <c r="X565" s="303"/>
      <c r="Y565" s="305"/>
      <c r="Z565" s="305"/>
      <c r="AA565" s="305"/>
      <c r="AB565" s="304"/>
      <c r="AC565" s="305"/>
      <c r="AD565" s="305"/>
      <c r="AE565" s="305"/>
      <c r="AF565" s="305"/>
      <c r="AG565" s="305"/>
      <c r="AH565" s="305"/>
      <c r="AI565" s="305"/>
      <c r="AJ565" s="305"/>
      <c r="AK565" s="305"/>
      <c r="AL565" s="305"/>
      <c r="AM565" s="305"/>
      <c r="AN565" s="305"/>
    </row>
    <row r="566" spans="1:40" s="306" customFormat="1" x14ac:dyDescent="0.3">
      <c r="A566" s="296"/>
      <c r="B566" s="303"/>
      <c r="C566" s="304"/>
      <c r="D566" s="303"/>
      <c r="E566" s="304"/>
      <c r="F566" s="304"/>
      <c r="G566" s="304"/>
      <c r="H566" s="305"/>
      <c r="I566" s="305"/>
      <c r="J566" s="305"/>
      <c r="K566" s="305"/>
      <c r="L566" s="305"/>
      <c r="M566" s="305"/>
      <c r="N566" s="305"/>
      <c r="O566" s="305"/>
      <c r="P566" s="305"/>
      <c r="Q566" s="305"/>
      <c r="R566" s="305"/>
      <c r="S566" s="305"/>
      <c r="T566" s="305"/>
      <c r="U566" s="296"/>
      <c r="V566" s="303"/>
      <c r="W566" s="303"/>
      <c r="X566" s="303"/>
      <c r="Y566" s="305"/>
      <c r="Z566" s="305"/>
      <c r="AA566" s="305"/>
      <c r="AB566" s="304"/>
      <c r="AC566" s="305"/>
      <c r="AD566" s="305"/>
      <c r="AE566" s="305"/>
      <c r="AF566" s="305"/>
      <c r="AG566" s="305"/>
      <c r="AH566" s="305"/>
      <c r="AI566" s="305"/>
      <c r="AJ566" s="305"/>
      <c r="AK566" s="305"/>
      <c r="AL566" s="305"/>
      <c r="AM566" s="305"/>
      <c r="AN566" s="305"/>
    </row>
    <row r="567" spans="1:40" s="306" customFormat="1" x14ac:dyDescent="0.3">
      <c r="A567" s="296"/>
      <c r="B567" s="303"/>
      <c r="C567" s="304"/>
      <c r="D567" s="303"/>
      <c r="E567" s="304"/>
      <c r="F567" s="304"/>
      <c r="G567" s="304"/>
      <c r="H567" s="305"/>
      <c r="I567" s="305"/>
      <c r="J567" s="305"/>
      <c r="K567" s="305"/>
      <c r="L567" s="305"/>
      <c r="M567" s="305"/>
      <c r="N567" s="305"/>
      <c r="O567" s="305"/>
      <c r="P567" s="305"/>
      <c r="Q567" s="305"/>
      <c r="R567" s="305"/>
      <c r="S567" s="305"/>
      <c r="T567" s="305"/>
      <c r="U567" s="296"/>
      <c r="V567" s="303"/>
      <c r="W567" s="303"/>
      <c r="X567" s="303"/>
      <c r="Y567" s="305"/>
      <c r="Z567" s="305"/>
      <c r="AA567" s="305"/>
      <c r="AB567" s="304"/>
      <c r="AC567" s="305"/>
      <c r="AD567" s="305"/>
      <c r="AE567" s="305"/>
      <c r="AF567" s="305"/>
      <c r="AG567" s="305"/>
      <c r="AH567" s="305"/>
      <c r="AI567" s="305"/>
      <c r="AJ567" s="305"/>
      <c r="AK567" s="305"/>
      <c r="AL567" s="305"/>
      <c r="AM567" s="305"/>
      <c r="AN567" s="305"/>
    </row>
    <row r="568" spans="1:40" s="306" customFormat="1" x14ac:dyDescent="0.3">
      <c r="A568" s="296"/>
      <c r="B568" s="303"/>
      <c r="C568" s="304"/>
      <c r="D568" s="303"/>
      <c r="E568" s="304"/>
      <c r="F568" s="304"/>
      <c r="G568" s="304"/>
      <c r="H568" s="305"/>
      <c r="I568" s="305"/>
      <c r="J568" s="305"/>
      <c r="K568" s="305"/>
      <c r="L568" s="305"/>
      <c r="M568" s="305"/>
      <c r="N568" s="305"/>
      <c r="O568" s="305"/>
      <c r="P568" s="305"/>
      <c r="Q568" s="305"/>
      <c r="R568" s="305"/>
      <c r="S568" s="305"/>
      <c r="T568" s="305"/>
      <c r="U568" s="296"/>
      <c r="V568" s="303"/>
      <c r="W568" s="303"/>
      <c r="X568" s="303"/>
      <c r="Y568" s="305"/>
      <c r="Z568" s="305"/>
      <c r="AA568" s="305"/>
      <c r="AB568" s="304"/>
      <c r="AC568" s="305"/>
      <c r="AD568" s="305"/>
      <c r="AE568" s="305"/>
      <c r="AF568" s="305"/>
      <c r="AG568" s="305"/>
      <c r="AH568" s="305"/>
      <c r="AI568" s="305"/>
      <c r="AJ568" s="305"/>
      <c r="AK568" s="305"/>
      <c r="AL568" s="305"/>
      <c r="AM568" s="305"/>
      <c r="AN568" s="305"/>
    </row>
    <row r="569" spans="1:40" s="306" customFormat="1" x14ac:dyDescent="0.3">
      <c r="A569" s="296"/>
      <c r="B569" s="303"/>
      <c r="C569" s="304"/>
      <c r="D569" s="303"/>
      <c r="E569" s="304"/>
      <c r="F569" s="304"/>
      <c r="G569" s="304"/>
      <c r="H569" s="305"/>
      <c r="I569" s="305"/>
      <c r="J569" s="305"/>
      <c r="K569" s="305"/>
      <c r="L569" s="305"/>
      <c r="M569" s="305"/>
      <c r="N569" s="305"/>
      <c r="O569" s="305"/>
      <c r="P569" s="305"/>
      <c r="Q569" s="305"/>
      <c r="R569" s="305"/>
      <c r="S569" s="305"/>
      <c r="T569" s="305"/>
      <c r="U569" s="296"/>
      <c r="V569" s="303"/>
      <c r="W569" s="303"/>
      <c r="X569" s="303"/>
      <c r="Y569" s="305"/>
      <c r="Z569" s="305"/>
      <c r="AA569" s="305"/>
      <c r="AB569" s="304"/>
      <c r="AC569" s="305"/>
      <c r="AD569" s="305"/>
      <c r="AE569" s="305"/>
      <c r="AF569" s="305"/>
      <c r="AG569" s="305"/>
      <c r="AH569" s="305"/>
      <c r="AI569" s="305"/>
      <c r="AJ569" s="305"/>
      <c r="AK569" s="305"/>
      <c r="AL569" s="305"/>
      <c r="AM569" s="305"/>
      <c r="AN569" s="305"/>
    </row>
    <row r="570" spans="1:40" s="306" customFormat="1" x14ac:dyDescent="0.3">
      <c r="A570" s="296"/>
      <c r="B570" s="303"/>
      <c r="C570" s="304"/>
      <c r="D570" s="303"/>
      <c r="E570" s="304"/>
      <c r="F570" s="304"/>
      <c r="G570" s="304"/>
      <c r="H570" s="305"/>
      <c r="I570" s="305"/>
      <c r="J570" s="305"/>
      <c r="K570" s="305"/>
      <c r="L570" s="305"/>
      <c r="M570" s="305"/>
      <c r="N570" s="305"/>
      <c r="O570" s="305"/>
      <c r="P570" s="305"/>
      <c r="Q570" s="305"/>
      <c r="R570" s="305"/>
      <c r="S570" s="305"/>
      <c r="T570" s="305"/>
      <c r="U570" s="296"/>
      <c r="V570" s="303"/>
      <c r="W570" s="303"/>
      <c r="X570" s="303"/>
      <c r="Y570" s="305"/>
      <c r="Z570" s="305"/>
      <c r="AA570" s="305"/>
      <c r="AB570" s="304"/>
      <c r="AC570" s="305"/>
      <c r="AD570" s="305"/>
      <c r="AE570" s="305"/>
      <c r="AF570" s="305"/>
      <c r="AG570" s="305"/>
      <c r="AH570" s="305"/>
      <c r="AI570" s="305"/>
      <c r="AJ570" s="305"/>
      <c r="AK570" s="305"/>
      <c r="AL570" s="305"/>
      <c r="AM570" s="305"/>
      <c r="AN570" s="305"/>
    </row>
    <row r="571" spans="1:40" s="306" customFormat="1" x14ac:dyDescent="0.3">
      <c r="A571" s="296"/>
      <c r="B571" s="303"/>
      <c r="C571" s="304"/>
      <c r="D571" s="303"/>
      <c r="E571" s="304"/>
      <c r="F571" s="304"/>
      <c r="G571" s="304"/>
      <c r="H571" s="305"/>
      <c r="I571" s="305"/>
      <c r="J571" s="305"/>
      <c r="K571" s="305"/>
      <c r="L571" s="305"/>
      <c r="M571" s="305"/>
      <c r="N571" s="305"/>
      <c r="O571" s="305"/>
      <c r="P571" s="305"/>
      <c r="Q571" s="305"/>
      <c r="R571" s="305"/>
      <c r="S571" s="305"/>
      <c r="T571" s="305"/>
      <c r="U571" s="296"/>
      <c r="V571" s="303"/>
      <c r="W571" s="303"/>
      <c r="X571" s="303"/>
      <c r="Y571" s="305"/>
      <c r="Z571" s="305"/>
      <c r="AA571" s="305"/>
      <c r="AB571" s="304"/>
      <c r="AC571" s="305"/>
      <c r="AD571" s="305"/>
      <c r="AE571" s="305"/>
      <c r="AF571" s="305"/>
      <c r="AG571" s="305"/>
      <c r="AH571" s="305"/>
      <c r="AI571" s="305"/>
      <c r="AJ571" s="305"/>
      <c r="AK571" s="305"/>
      <c r="AL571" s="305"/>
      <c r="AM571" s="305"/>
      <c r="AN571" s="305"/>
    </row>
    <row r="572" spans="1:40" s="306" customFormat="1" x14ac:dyDescent="0.3">
      <c r="A572" s="296"/>
      <c r="B572" s="303"/>
      <c r="C572" s="304"/>
      <c r="D572" s="303"/>
      <c r="E572" s="304"/>
      <c r="F572" s="304"/>
      <c r="G572" s="304"/>
      <c r="H572" s="305"/>
      <c r="I572" s="305"/>
      <c r="J572" s="305"/>
      <c r="K572" s="305"/>
      <c r="L572" s="305"/>
      <c r="M572" s="305"/>
      <c r="N572" s="305"/>
      <c r="O572" s="305"/>
      <c r="P572" s="305"/>
      <c r="Q572" s="305"/>
      <c r="R572" s="305"/>
      <c r="S572" s="305"/>
      <c r="T572" s="305"/>
      <c r="U572" s="296"/>
      <c r="V572" s="303"/>
      <c r="W572" s="303"/>
      <c r="X572" s="303"/>
      <c r="Y572" s="305"/>
      <c r="Z572" s="305"/>
      <c r="AA572" s="305"/>
      <c r="AB572" s="304"/>
      <c r="AC572" s="305"/>
      <c r="AD572" s="305"/>
      <c r="AE572" s="305"/>
      <c r="AF572" s="305"/>
      <c r="AG572" s="305"/>
      <c r="AH572" s="305"/>
      <c r="AI572" s="305"/>
      <c r="AJ572" s="305"/>
      <c r="AK572" s="305"/>
      <c r="AL572" s="305"/>
      <c r="AM572" s="305"/>
      <c r="AN572" s="305"/>
    </row>
    <row r="573" spans="1:40" s="306" customFormat="1" x14ac:dyDescent="0.3">
      <c r="A573" s="296"/>
      <c r="B573" s="303"/>
      <c r="C573" s="304"/>
      <c r="D573" s="303"/>
      <c r="E573" s="304"/>
      <c r="F573" s="304"/>
      <c r="G573" s="304"/>
      <c r="H573" s="305"/>
      <c r="I573" s="305"/>
      <c r="J573" s="305"/>
      <c r="K573" s="305"/>
      <c r="L573" s="305"/>
      <c r="M573" s="305"/>
      <c r="N573" s="305"/>
      <c r="O573" s="305"/>
      <c r="P573" s="305"/>
      <c r="Q573" s="305"/>
      <c r="R573" s="305"/>
      <c r="S573" s="305"/>
      <c r="T573" s="305"/>
      <c r="U573" s="296"/>
      <c r="V573" s="303"/>
      <c r="W573" s="303"/>
      <c r="X573" s="303"/>
      <c r="Y573" s="305"/>
      <c r="Z573" s="305"/>
      <c r="AA573" s="305"/>
      <c r="AB573" s="304"/>
      <c r="AC573" s="305"/>
      <c r="AD573" s="305"/>
      <c r="AE573" s="305"/>
      <c r="AF573" s="305"/>
      <c r="AG573" s="305"/>
      <c r="AH573" s="305"/>
      <c r="AI573" s="305"/>
      <c r="AJ573" s="305"/>
      <c r="AK573" s="305"/>
      <c r="AL573" s="305"/>
      <c r="AM573" s="305"/>
      <c r="AN573" s="305"/>
    </row>
    <row r="574" spans="1:40" s="306" customFormat="1" x14ac:dyDescent="0.3">
      <c r="A574" s="296"/>
      <c r="B574" s="303"/>
      <c r="C574" s="304"/>
      <c r="D574" s="303"/>
      <c r="E574" s="304"/>
      <c r="F574" s="304"/>
      <c r="G574" s="304"/>
      <c r="H574" s="305"/>
      <c r="I574" s="305"/>
      <c r="J574" s="305"/>
      <c r="K574" s="305"/>
      <c r="L574" s="305"/>
      <c r="M574" s="305"/>
      <c r="N574" s="305"/>
      <c r="O574" s="305"/>
      <c r="P574" s="305"/>
      <c r="Q574" s="305"/>
      <c r="R574" s="305"/>
      <c r="S574" s="305"/>
      <c r="T574" s="305"/>
      <c r="U574" s="296"/>
      <c r="V574" s="303"/>
      <c r="W574" s="303"/>
      <c r="X574" s="303"/>
      <c r="Y574" s="305"/>
      <c r="Z574" s="305"/>
      <c r="AA574" s="305"/>
      <c r="AB574" s="304"/>
      <c r="AC574" s="305"/>
      <c r="AD574" s="305"/>
      <c r="AE574" s="305"/>
      <c r="AF574" s="305"/>
      <c r="AG574" s="305"/>
      <c r="AH574" s="305"/>
      <c r="AI574" s="305"/>
      <c r="AJ574" s="305"/>
      <c r="AK574" s="305"/>
      <c r="AL574" s="305"/>
      <c r="AM574" s="305"/>
      <c r="AN574" s="305"/>
    </row>
    <row r="575" spans="1:40" s="306" customFormat="1" x14ac:dyDescent="0.3">
      <c r="A575" s="296"/>
      <c r="B575" s="303"/>
      <c r="C575" s="304"/>
      <c r="D575" s="303"/>
      <c r="E575" s="304"/>
      <c r="F575" s="304"/>
      <c r="G575" s="304"/>
      <c r="H575" s="305"/>
      <c r="I575" s="305"/>
      <c r="J575" s="305"/>
      <c r="K575" s="305"/>
      <c r="L575" s="305"/>
      <c r="M575" s="305"/>
      <c r="N575" s="305"/>
      <c r="O575" s="305"/>
      <c r="P575" s="305"/>
      <c r="Q575" s="305"/>
      <c r="R575" s="305"/>
      <c r="S575" s="305"/>
      <c r="T575" s="305"/>
      <c r="U575" s="296"/>
      <c r="V575" s="303"/>
      <c r="W575" s="303"/>
      <c r="X575" s="303"/>
      <c r="Y575" s="305"/>
      <c r="Z575" s="305"/>
      <c r="AA575" s="305"/>
      <c r="AB575" s="304"/>
      <c r="AC575" s="305"/>
      <c r="AD575" s="305"/>
      <c r="AE575" s="305"/>
      <c r="AF575" s="305"/>
      <c r="AG575" s="305"/>
      <c r="AH575" s="305"/>
      <c r="AI575" s="305"/>
      <c r="AJ575" s="305"/>
      <c r="AK575" s="305"/>
      <c r="AL575" s="305"/>
      <c r="AM575" s="305"/>
      <c r="AN575" s="305"/>
    </row>
    <row r="576" spans="1:40" s="306" customFormat="1" x14ac:dyDescent="0.3">
      <c r="A576" s="296"/>
      <c r="B576" s="303"/>
      <c r="C576" s="304"/>
      <c r="D576" s="303"/>
      <c r="E576" s="304"/>
      <c r="F576" s="304"/>
      <c r="G576" s="304"/>
      <c r="H576" s="305"/>
      <c r="I576" s="305"/>
      <c r="J576" s="305"/>
      <c r="K576" s="305"/>
      <c r="L576" s="305"/>
      <c r="M576" s="305"/>
      <c r="N576" s="305"/>
      <c r="O576" s="305"/>
      <c r="P576" s="305"/>
      <c r="Q576" s="305"/>
      <c r="R576" s="305"/>
      <c r="S576" s="305"/>
      <c r="T576" s="305"/>
      <c r="U576" s="296"/>
      <c r="V576" s="303"/>
      <c r="W576" s="303"/>
      <c r="X576" s="303"/>
      <c r="Y576" s="305"/>
      <c r="Z576" s="305"/>
      <c r="AA576" s="305"/>
      <c r="AB576" s="304"/>
      <c r="AC576" s="305"/>
      <c r="AD576" s="305"/>
      <c r="AE576" s="305"/>
      <c r="AF576" s="305"/>
      <c r="AG576" s="305"/>
      <c r="AH576" s="305"/>
      <c r="AI576" s="305"/>
      <c r="AJ576" s="305"/>
      <c r="AK576" s="305"/>
      <c r="AL576" s="305"/>
      <c r="AM576" s="305"/>
      <c r="AN576" s="305"/>
    </row>
    <row r="577" spans="1:40" s="306" customFormat="1" x14ac:dyDescent="0.3">
      <c r="A577" s="296"/>
      <c r="B577" s="303"/>
      <c r="C577" s="304"/>
      <c r="D577" s="303"/>
      <c r="E577" s="304"/>
      <c r="F577" s="304"/>
      <c r="G577" s="304"/>
      <c r="H577" s="305"/>
      <c r="I577" s="305"/>
      <c r="J577" s="305"/>
      <c r="K577" s="305"/>
      <c r="L577" s="305"/>
      <c r="M577" s="305"/>
      <c r="N577" s="305"/>
      <c r="O577" s="305"/>
      <c r="P577" s="305"/>
      <c r="Q577" s="305"/>
      <c r="R577" s="305"/>
      <c r="S577" s="305"/>
      <c r="T577" s="305"/>
      <c r="U577" s="296"/>
      <c r="V577" s="303"/>
      <c r="W577" s="303"/>
      <c r="X577" s="303"/>
      <c r="Y577" s="305"/>
      <c r="Z577" s="305"/>
      <c r="AA577" s="305"/>
      <c r="AB577" s="304"/>
      <c r="AC577" s="305"/>
      <c r="AD577" s="305"/>
      <c r="AE577" s="305"/>
      <c r="AF577" s="305"/>
      <c r="AG577" s="305"/>
      <c r="AH577" s="305"/>
      <c r="AI577" s="305"/>
      <c r="AJ577" s="305"/>
      <c r="AK577" s="305"/>
      <c r="AL577" s="305"/>
      <c r="AM577" s="305"/>
      <c r="AN577" s="305"/>
    </row>
    <row r="578" spans="1:40" s="306" customFormat="1" x14ac:dyDescent="0.3">
      <c r="A578" s="296"/>
      <c r="B578" s="303"/>
      <c r="C578" s="304"/>
      <c r="D578" s="303"/>
      <c r="E578" s="304"/>
      <c r="F578" s="304"/>
      <c r="G578" s="304"/>
      <c r="H578" s="305"/>
      <c r="I578" s="305"/>
      <c r="J578" s="305"/>
      <c r="K578" s="305"/>
      <c r="L578" s="305"/>
      <c r="M578" s="305"/>
      <c r="N578" s="305"/>
      <c r="O578" s="305"/>
      <c r="P578" s="305"/>
      <c r="Q578" s="305"/>
      <c r="R578" s="305"/>
      <c r="S578" s="305"/>
      <c r="T578" s="305"/>
      <c r="U578" s="296"/>
      <c r="V578" s="303"/>
      <c r="W578" s="303"/>
      <c r="X578" s="303"/>
      <c r="Y578" s="305"/>
      <c r="Z578" s="305"/>
      <c r="AA578" s="305"/>
      <c r="AB578" s="304"/>
      <c r="AC578" s="305"/>
      <c r="AD578" s="305"/>
      <c r="AE578" s="305"/>
      <c r="AF578" s="305"/>
      <c r="AG578" s="305"/>
      <c r="AH578" s="305"/>
      <c r="AI578" s="305"/>
      <c r="AJ578" s="305"/>
      <c r="AK578" s="305"/>
      <c r="AL578" s="305"/>
      <c r="AM578" s="305"/>
      <c r="AN578" s="305"/>
    </row>
    <row r="579" spans="1:40" s="306" customFormat="1" x14ac:dyDescent="0.3">
      <c r="A579" s="296"/>
      <c r="B579" s="303"/>
      <c r="C579" s="304"/>
      <c r="D579" s="303"/>
      <c r="E579" s="304"/>
      <c r="F579" s="304"/>
      <c r="G579" s="304"/>
      <c r="H579" s="305"/>
      <c r="I579" s="305"/>
      <c r="J579" s="305"/>
      <c r="K579" s="305"/>
      <c r="L579" s="305"/>
      <c r="M579" s="305"/>
      <c r="N579" s="305"/>
      <c r="O579" s="305"/>
      <c r="P579" s="305"/>
      <c r="Q579" s="305"/>
      <c r="R579" s="305"/>
      <c r="S579" s="305"/>
      <c r="T579" s="305"/>
      <c r="U579" s="296"/>
      <c r="V579" s="303"/>
      <c r="W579" s="303"/>
      <c r="X579" s="303"/>
      <c r="Y579" s="305"/>
      <c r="Z579" s="305"/>
      <c r="AA579" s="305"/>
      <c r="AB579" s="304"/>
      <c r="AC579" s="305"/>
      <c r="AD579" s="305"/>
      <c r="AE579" s="305"/>
      <c r="AF579" s="305"/>
      <c r="AG579" s="305"/>
      <c r="AH579" s="305"/>
      <c r="AI579" s="305"/>
      <c r="AJ579" s="305"/>
      <c r="AK579" s="305"/>
      <c r="AL579" s="305"/>
      <c r="AM579" s="305"/>
      <c r="AN579" s="305"/>
    </row>
    <row r="580" spans="1:40" s="306" customFormat="1" x14ac:dyDescent="0.3">
      <c r="A580" s="296"/>
      <c r="B580" s="303"/>
      <c r="C580" s="304"/>
      <c r="D580" s="303"/>
      <c r="E580" s="304"/>
      <c r="F580" s="304"/>
      <c r="G580" s="304"/>
      <c r="H580" s="305"/>
      <c r="I580" s="305"/>
      <c r="J580" s="305"/>
      <c r="K580" s="305"/>
      <c r="L580" s="305"/>
      <c r="M580" s="305"/>
      <c r="N580" s="305"/>
      <c r="O580" s="305"/>
      <c r="P580" s="305"/>
      <c r="Q580" s="305"/>
      <c r="R580" s="305"/>
      <c r="S580" s="305"/>
      <c r="T580" s="305"/>
      <c r="U580" s="296"/>
      <c r="V580" s="303"/>
      <c r="W580" s="303"/>
      <c r="X580" s="303"/>
      <c r="Y580" s="305"/>
      <c r="Z580" s="305"/>
      <c r="AA580" s="305"/>
      <c r="AB580" s="304"/>
      <c r="AC580" s="305"/>
      <c r="AD580" s="305"/>
      <c r="AE580" s="305"/>
      <c r="AF580" s="305"/>
      <c r="AG580" s="305"/>
      <c r="AH580" s="305"/>
      <c r="AI580" s="305"/>
      <c r="AJ580" s="305"/>
      <c r="AK580" s="305"/>
      <c r="AL580" s="305"/>
      <c r="AM580" s="305"/>
      <c r="AN580" s="305"/>
    </row>
    <row r="581" spans="1:40" s="306" customFormat="1" x14ac:dyDescent="0.3">
      <c r="A581" s="296"/>
      <c r="B581" s="303"/>
      <c r="C581" s="304"/>
      <c r="D581" s="303"/>
      <c r="E581" s="304"/>
      <c r="F581" s="304"/>
      <c r="G581" s="304"/>
      <c r="H581" s="305"/>
      <c r="I581" s="305"/>
      <c r="J581" s="305"/>
      <c r="K581" s="305"/>
      <c r="L581" s="305"/>
      <c r="M581" s="305"/>
      <c r="N581" s="305"/>
      <c r="O581" s="305"/>
      <c r="P581" s="305"/>
      <c r="Q581" s="305"/>
      <c r="R581" s="305"/>
      <c r="S581" s="305"/>
      <c r="T581" s="305"/>
      <c r="U581" s="296"/>
      <c r="V581" s="303"/>
      <c r="W581" s="303"/>
      <c r="X581" s="303"/>
      <c r="Y581" s="305"/>
      <c r="Z581" s="305"/>
      <c r="AA581" s="305"/>
      <c r="AB581" s="304"/>
      <c r="AC581" s="305"/>
      <c r="AD581" s="305"/>
      <c r="AE581" s="305"/>
      <c r="AF581" s="305"/>
      <c r="AG581" s="305"/>
      <c r="AH581" s="305"/>
      <c r="AI581" s="305"/>
      <c r="AJ581" s="305"/>
      <c r="AK581" s="305"/>
      <c r="AL581" s="305"/>
      <c r="AM581" s="305"/>
      <c r="AN581" s="305"/>
    </row>
    <row r="582" spans="1:40" s="306" customFormat="1" x14ac:dyDescent="0.3">
      <c r="A582" s="296"/>
      <c r="B582" s="303"/>
      <c r="C582" s="304"/>
      <c r="D582" s="303"/>
      <c r="E582" s="304"/>
      <c r="F582" s="304"/>
      <c r="G582" s="304"/>
      <c r="H582" s="305"/>
      <c r="I582" s="305"/>
      <c r="J582" s="305"/>
      <c r="K582" s="305"/>
      <c r="L582" s="305"/>
      <c r="M582" s="305"/>
      <c r="N582" s="305"/>
      <c r="O582" s="305"/>
      <c r="P582" s="305"/>
      <c r="Q582" s="305"/>
      <c r="R582" s="305"/>
      <c r="S582" s="305"/>
      <c r="T582" s="305"/>
      <c r="U582" s="296"/>
      <c r="V582" s="303"/>
      <c r="W582" s="303"/>
      <c r="X582" s="303"/>
      <c r="Y582" s="305"/>
      <c r="Z582" s="305"/>
      <c r="AA582" s="305"/>
      <c r="AB582" s="304"/>
      <c r="AC582" s="305"/>
      <c r="AD582" s="305"/>
      <c r="AE582" s="305"/>
      <c r="AF582" s="305"/>
      <c r="AG582" s="305"/>
      <c r="AH582" s="305"/>
      <c r="AI582" s="305"/>
      <c r="AJ582" s="305"/>
      <c r="AK582" s="305"/>
      <c r="AL582" s="305"/>
      <c r="AM582" s="305"/>
      <c r="AN582" s="305"/>
    </row>
    <row r="583" spans="1:40" s="306" customFormat="1" x14ac:dyDescent="0.3">
      <c r="A583" s="296"/>
      <c r="B583" s="303"/>
      <c r="C583" s="304"/>
      <c r="D583" s="303"/>
      <c r="E583" s="304"/>
      <c r="F583" s="304"/>
      <c r="G583" s="304"/>
      <c r="H583" s="305"/>
      <c r="I583" s="305"/>
      <c r="J583" s="305"/>
      <c r="K583" s="305"/>
      <c r="L583" s="305"/>
      <c r="M583" s="305"/>
      <c r="N583" s="305"/>
      <c r="O583" s="305"/>
      <c r="P583" s="305"/>
      <c r="Q583" s="305"/>
      <c r="R583" s="305"/>
      <c r="S583" s="305"/>
      <c r="T583" s="305"/>
      <c r="U583" s="296"/>
      <c r="V583" s="303"/>
      <c r="W583" s="303"/>
      <c r="X583" s="303"/>
      <c r="Y583" s="305"/>
      <c r="Z583" s="305"/>
      <c r="AA583" s="305"/>
      <c r="AB583" s="304"/>
      <c r="AC583" s="305"/>
      <c r="AD583" s="305"/>
      <c r="AE583" s="305"/>
      <c r="AF583" s="305"/>
      <c r="AG583" s="305"/>
      <c r="AH583" s="305"/>
      <c r="AI583" s="305"/>
      <c r="AJ583" s="305"/>
      <c r="AK583" s="305"/>
      <c r="AL583" s="305"/>
      <c r="AM583" s="305"/>
      <c r="AN583" s="305"/>
    </row>
    <row r="584" spans="1:40" s="306" customFormat="1" x14ac:dyDescent="0.3">
      <c r="A584" s="296"/>
      <c r="B584" s="303"/>
      <c r="C584" s="304"/>
      <c r="D584" s="303"/>
      <c r="E584" s="304"/>
      <c r="F584" s="304"/>
      <c r="G584" s="304"/>
      <c r="H584" s="305"/>
      <c r="I584" s="305"/>
      <c r="J584" s="305"/>
      <c r="K584" s="305"/>
      <c r="L584" s="305"/>
      <c r="M584" s="305"/>
      <c r="N584" s="305"/>
      <c r="O584" s="305"/>
      <c r="P584" s="305"/>
      <c r="Q584" s="305"/>
      <c r="R584" s="305"/>
      <c r="S584" s="305"/>
      <c r="T584" s="305"/>
      <c r="U584" s="296"/>
      <c r="V584" s="303"/>
      <c r="W584" s="303"/>
      <c r="X584" s="303"/>
      <c r="Y584" s="305"/>
      <c r="Z584" s="305"/>
      <c r="AA584" s="305"/>
      <c r="AB584" s="304"/>
      <c r="AC584" s="305"/>
      <c r="AD584" s="305"/>
      <c r="AE584" s="305"/>
      <c r="AF584" s="305"/>
      <c r="AG584" s="305"/>
      <c r="AH584" s="305"/>
      <c r="AI584" s="305"/>
      <c r="AJ584" s="305"/>
      <c r="AK584" s="305"/>
      <c r="AL584" s="305"/>
      <c r="AM584" s="305"/>
      <c r="AN584" s="305"/>
    </row>
    <row r="585" spans="1:40" s="306" customFormat="1" x14ac:dyDescent="0.3">
      <c r="A585" s="296"/>
      <c r="B585" s="303"/>
      <c r="C585" s="304"/>
      <c r="D585" s="303"/>
      <c r="E585" s="304"/>
      <c r="F585" s="304"/>
      <c r="G585" s="304"/>
      <c r="H585" s="305"/>
      <c r="I585" s="305"/>
      <c r="J585" s="305"/>
      <c r="K585" s="305"/>
      <c r="L585" s="305"/>
      <c r="M585" s="305"/>
      <c r="N585" s="305"/>
      <c r="O585" s="305"/>
      <c r="P585" s="305"/>
      <c r="Q585" s="305"/>
      <c r="R585" s="305"/>
      <c r="S585" s="305"/>
      <c r="T585" s="305"/>
      <c r="U585" s="296"/>
      <c r="V585" s="303"/>
      <c r="W585" s="303"/>
      <c r="X585" s="303"/>
      <c r="Y585" s="305"/>
      <c r="Z585" s="305"/>
      <c r="AA585" s="305"/>
      <c r="AB585" s="304"/>
      <c r="AC585" s="305"/>
      <c r="AD585" s="305"/>
      <c r="AE585" s="305"/>
      <c r="AF585" s="305"/>
      <c r="AG585" s="305"/>
      <c r="AH585" s="305"/>
      <c r="AI585" s="305"/>
      <c r="AJ585" s="305"/>
      <c r="AK585" s="305"/>
      <c r="AL585" s="305"/>
      <c r="AM585" s="305"/>
      <c r="AN585" s="305"/>
    </row>
    <row r="586" spans="1:40" s="306" customFormat="1" x14ac:dyDescent="0.3">
      <c r="A586" s="296"/>
      <c r="B586" s="303"/>
      <c r="C586" s="304"/>
      <c r="D586" s="303"/>
      <c r="E586" s="304"/>
      <c r="F586" s="304"/>
      <c r="G586" s="304"/>
      <c r="H586" s="305"/>
      <c r="I586" s="305"/>
      <c r="J586" s="305"/>
      <c r="K586" s="305"/>
      <c r="L586" s="305"/>
      <c r="M586" s="305"/>
      <c r="N586" s="305"/>
      <c r="O586" s="305"/>
      <c r="P586" s="305"/>
      <c r="Q586" s="305"/>
      <c r="R586" s="305"/>
      <c r="S586" s="305"/>
      <c r="T586" s="305"/>
      <c r="U586" s="296"/>
      <c r="V586" s="303"/>
      <c r="W586" s="303"/>
      <c r="X586" s="303"/>
      <c r="Y586" s="305"/>
      <c r="Z586" s="305"/>
      <c r="AA586" s="305"/>
      <c r="AB586" s="304"/>
      <c r="AC586" s="305"/>
      <c r="AD586" s="305"/>
      <c r="AE586" s="305"/>
      <c r="AF586" s="305"/>
      <c r="AG586" s="305"/>
      <c r="AH586" s="305"/>
      <c r="AI586" s="305"/>
      <c r="AJ586" s="305"/>
      <c r="AK586" s="305"/>
      <c r="AL586" s="305"/>
      <c r="AM586" s="305"/>
      <c r="AN586" s="305"/>
    </row>
    <row r="587" spans="1:40" s="306" customFormat="1" x14ac:dyDescent="0.3">
      <c r="A587" s="296"/>
      <c r="B587" s="303"/>
      <c r="C587" s="304"/>
      <c r="D587" s="303"/>
      <c r="E587" s="304"/>
      <c r="F587" s="304"/>
      <c r="G587" s="304"/>
      <c r="H587" s="305"/>
      <c r="I587" s="305"/>
      <c r="J587" s="305"/>
      <c r="K587" s="305"/>
      <c r="L587" s="305"/>
      <c r="M587" s="305"/>
      <c r="N587" s="305"/>
      <c r="O587" s="305"/>
      <c r="P587" s="305"/>
      <c r="Q587" s="305"/>
      <c r="R587" s="305"/>
      <c r="S587" s="305"/>
      <c r="T587" s="305"/>
      <c r="U587" s="296"/>
      <c r="V587" s="303"/>
      <c r="W587" s="303"/>
      <c r="X587" s="303"/>
      <c r="Y587" s="305"/>
      <c r="Z587" s="305"/>
      <c r="AA587" s="305"/>
      <c r="AB587" s="304"/>
      <c r="AC587" s="305"/>
      <c r="AD587" s="305"/>
      <c r="AE587" s="305"/>
      <c r="AF587" s="305"/>
      <c r="AG587" s="305"/>
      <c r="AH587" s="305"/>
      <c r="AI587" s="305"/>
      <c r="AJ587" s="305"/>
      <c r="AK587" s="305"/>
      <c r="AL587" s="305"/>
      <c r="AM587" s="305"/>
      <c r="AN587" s="305"/>
    </row>
    <row r="588" spans="1:40" s="306" customFormat="1" x14ac:dyDescent="0.3">
      <c r="A588" s="296"/>
      <c r="B588" s="303"/>
      <c r="C588" s="304"/>
      <c r="D588" s="303"/>
      <c r="E588" s="304"/>
      <c r="F588" s="304"/>
      <c r="G588" s="304"/>
      <c r="H588" s="305"/>
      <c r="I588" s="305"/>
      <c r="J588" s="305"/>
      <c r="K588" s="305"/>
      <c r="L588" s="305"/>
      <c r="M588" s="305"/>
      <c r="N588" s="305"/>
      <c r="O588" s="305"/>
      <c r="P588" s="305"/>
      <c r="Q588" s="305"/>
      <c r="R588" s="305"/>
      <c r="S588" s="305"/>
      <c r="T588" s="305"/>
      <c r="U588" s="296"/>
      <c r="V588" s="303"/>
      <c r="W588" s="303"/>
      <c r="X588" s="303"/>
      <c r="Y588" s="305"/>
      <c r="Z588" s="305"/>
      <c r="AA588" s="305"/>
      <c r="AB588" s="304"/>
      <c r="AC588" s="305"/>
      <c r="AD588" s="305"/>
      <c r="AE588" s="305"/>
      <c r="AF588" s="305"/>
      <c r="AG588" s="305"/>
      <c r="AH588" s="305"/>
      <c r="AI588" s="305"/>
      <c r="AJ588" s="305"/>
      <c r="AK588" s="305"/>
      <c r="AL588" s="305"/>
      <c r="AM588" s="305"/>
      <c r="AN588" s="305"/>
    </row>
    <row r="589" spans="1:40" s="306" customFormat="1" x14ac:dyDescent="0.3">
      <c r="A589" s="296"/>
      <c r="B589" s="303"/>
      <c r="C589" s="304"/>
      <c r="D589" s="303"/>
      <c r="E589" s="304"/>
      <c r="F589" s="304"/>
      <c r="G589" s="304"/>
      <c r="H589" s="305"/>
      <c r="I589" s="305"/>
      <c r="J589" s="305"/>
      <c r="K589" s="305"/>
      <c r="L589" s="305"/>
      <c r="M589" s="305"/>
      <c r="N589" s="305"/>
      <c r="O589" s="305"/>
      <c r="P589" s="305"/>
      <c r="Q589" s="305"/>
      <c r="R589" s="305"/>
      <c r="S589" s="305"/>
      <c r="T589" s="305"/>
      <c r="U589" s="296"/>
      <c r="V589" s="303"/>
      <c r="W589" s="303"/>
      <c r="X589" s="303"/>
      <c r="Y589" s="305"/>
      <c r="Z589" s="305"/>
      <c r="AA589" s="305"/>
      <c r="AB589" s="304"/>
      <c r="AC589" s="305"/>
      <c r="AD589" s="305"/>
      <c r="AE589" s="305"/>
      <c r="AF589" s="305"/>
      <c r="AG589" s="305"/>
      <c r="AH589" s="305"/>
      <c r="AI589" s="305"/>
      <c r="AJ589" s="305"/>
      <c r="AK589" s="305"/>
      <c r="AL589" s="305"/>
      <c r="AM589" s="305"/>
      <c r="AN589" s="305"/>
    </row>
    <row r="590" spans="1:40" s="306" customFormat="1" x14ac:dyDescent="0.3">
      <c r="A590" s="296"/>
      <c r="B590" s="303"/>
      <c r="C590" s="304"/>
      <c r="D590" s="303"/>
      <c r="E590" s="304"/>
      <c r="F590" s="304"/>
      <c r="G590" s="304"/>
      <c r="H590" s="305"/>
      <c r="I590" s="305"/>
      <c r="J590" s="305"/>
      <c r="K590" s="305"/>
      <c r="L590" s="305"/>
      <c r="M590" s="305"/>
      <c r="N590" s="305"/>
      <c r="O590" s="305"/>
      <c r="P590" s="305"/>
      <c r="Q590" s="305"/>
      <c r="R590" s="305"/>
      <c r="S590" s="305"/>
      <c r="T590" s="305"/>
      <c r="U590" s="296"/>
      <c r="V590" s="303"/>
      <c r="W590" s="303"/>
      <c r="X590" s="303"/>
      <c r="Y590" s="305"/>
      <c r="Z590" s="305"/>
      <c r="AA590" s="305"/>
      <c r="AB590" s="304"/>
      <c r="AC590" s="305"/>
      <c r="AD590" s="305"/>
      <c r="AE590" s="305"/>
      <c r="AF590" s="305"/>
      <c r="AG590" s="305"/>
      <c r="AH590" s="305"/>
      <c r="AI590" s="305"/>
      <c r="AJ590" s="305"/>
      <c r="AK590" s="305"/>
      <c r="AL590" s="305"/>
      <c r="AM590" s="305"/>
      <c r="AN590" s="305"/>
    </row>
    <row r="591" spans="1:40" s="306" customFormat="1" x14ac:dyDescent="0.3">
      <c r="A591" s="296"/>
      <c r="B591" s="303"/>
      <c r="C591" s="304"/>
      <c r="D591" s="303"/>
      <c r="E591" s="304"/>
      <c r="F591" s="304"/>
      <c r="G591" s="304"/>
      <c r="H591" s="305"/>
      <c r="I591" s="305"/>
      <c r="J591" s="305"/>
      <c r="K591" s="305"/>
      <c r="L591" s="305"/>
      <c r="M591" s="305"/>
      <c r="N591" s="305"/>
      <c r="O591" s="305"/>
      <c r="P591" s="305"/>
      <c r="Q591" s="305"/>
      <c r="R591" s="305"/>
      <c r="S591" s="305"/>
      <c r="T591" s="305"/>
      <c r="U591" s="296"/>
      <c r="V591" s="303"/>
      <c r="W591" s="303"/>
      <c r="X591" s="303"/>
      <c r="Y591" s="305"/>
      <c r="Z591" s="305"/>
      <c r="AA591" s="305"/>
      <c r="AB591" s="304"/>
      <c r="AC591" s="305"/>
      <c r="AD591" s="305"/>
      <c r="AE591" s="305"/>
      <c r="AF591" s="305"/>
      <c r="AG591" s="305"/>
      <c r="AH591" s="305"/>
      <c r="AI591" s="305"/>
      <c r="AJ591" s="305"/>
      <c r="AK591" s="305"/>
      <c r="AL591" s="305"/>
      <c r="AM591" s="305"/>
      <c r="AN591" s="305"/>
    </row>
    <row r="592" spans="1:40" s="306" customFormat="1" x14ac:dyDescent="0.3">
      <c r="A592" s="296"/>
      <c r="B592" s="303"/>
      <c r="C592" s="304"/>
      <c r="D592" s="303"/>
      <c r="E592" s="304"/>
      <c r="F592" s="304"/>
      <c r="G592" s="304"/>
      <c r="H592" s="305"/>
      <c r="I592" s="305"/>
      <c r="J592" s="305"/>
      <c r="K592" s="305"/>
      <c r="L592" s="305"/>
      <c r="M592" s="305"/>
      <c r="N592" s="305"/>
      <c r="O592" s="305"/>
      <c r="P592" s="305"/>
      <c r="Q592" s="305"/>
      <c r="R592" s="305"/>
      <c r="S592" s="305"/>
      <c r="T592" s="305"/>
      <c r="U592" s="296"/>
      <c r="V592" s="303"/>
      <c r="W592" s="303"/>
      <c r="X592" s="303"/>
      <c r="Y592" s="305"/>
      <c r="Z592" s="305"/>
      <c r="AA592" s="305"/>
      <c r="AB592" s="304"/>
      <c r="AC592" s="305"/>
      <c r="AD592" s="305"/>
      <c r="AE592" s="305"/>
      <c r="AF592" s="305"/>
      <c r="AG592" s="305"/>
      <c r="AH592" s="305"/>
      <c r="AI592" s="305"/>
      <c r="AJ592" s="305"/>
      <c r="AK592" s="305"/>
      <c r="AL592" s="305"/>
      <c r="AM592" s="305"/>
      <c r="AN592" s="305"/>
    </row>
    <row r="593" spans="1:40" s="306" customFormat="1" x14ac:dyDescent="0.3">
      <c r="A593" s="296"/>
      <c r="B593" s="303"/>
      <c r="C593" s="304"/>
      <c r="D593" s="303"/>
      <c r="E593" s="304"/>
      <c r="F593" s="304"/>
      <c r="G593" s="304"/>
      <c r="H593" s="305"/>
      <c r="I593" s="305"/>
      <c r="J593" s="305"/>
      <c r="K593" s="305"/>
      <c r="L593" s="305"/>
      <c r="M593" s="305"/>
      <c r="N593" s="305"/>
      <c r="O593" s="305"/>
      <c r="P593" s="305"/>
      <c r="Q593" s="305"/>
      <c r="R593" s="305"/>
      <c r="S593" s="305"/>
      <c r="T593" s="305"/>
      <c r="U593" s="296"/>
      <c r="V593" s="303"/>
      <c r="W593" s="303"/>
      <c r="X593" s="303"/>
      <c r="Y593" s="305"/>
      <c r="Z593" s="305"/>
      <c r="AA593" s="305"/>
      <c r="AB593" s="304"/>
      <c r="AC593" s="305"/>
      <c r="AD593" s="305"/>
      <c r="AE593" s="305"/>
      <c r="AF593" s="305"/>
      <c r="AG593" s="305"/>
      <c r="AH593" s="305"/>
      <c r="AI593" s="305"/>
      <c r="AJ593" s="305"/>
      <c r="AK593" s="305"/>
      <c r="AL593" s="305"/>
      <c r="AM593" s="305"/>
      <c r="AN593" s="305"/>
    </row>
    <row r="594" spans="1:40" s="306" customFormat="1" x14ac:dyDescent="0.3">
      <c r="A594" s="296"/>
      <c r="B594" s="303"/>
      <c r="C594" s="304"/>
      <c r="D594" s="303"/>
      <c r="E594" s="304"/>
      <c r="F594" s="304"/>
      <c r="G594" s="304"/>
      <c r="H594" s="305"/>
      <c r="I594" s="305"/>
      <c r="J594" s="305"/>
      <c r="K594" s="305"/>
      <c r="L594" s="305"/>
      <c r="M594" s="305"/>
      <c r="N594" s="305"/>
      <c r="O594" s="305"/>
      <c r="P594" s="305"/>
      <c r="Q594" s="305"/>
      <c r="R594" s="305"/>
      <c r="S594" s="305"/>
      <c r="T594" s="305"/>
      <c r="U594" s="296"/>
      <c r="V594" s="303"/>
      <c r="W594" s="303"/>
      <c r="X594" s="303"/>
      <c r="Y594" s="305"/>
      <c r="Z594" s="305"/>
      <c r="AA594" s="305"/>
      <c r="AB594" s="304"/>
      <c r="AC594" s="305"/>
      <c r="AD594" s="305"/>
      <c r="AE594" s="305"/>
      <c r="AF594" s="305"/>
      <c r="AG594" s="305"/>
      <c r="AH594" s="305"/>
      <c r="AI594" s="305"/>
      <c r="AJ594" s="305"/>
      <c r="AK594" s="305"/>
      <c r="AL594" s="305"/>
      <c r="AM594" s="305"/>
      <c r="AN594" s="305"/>
    </row>
    <row r="595" spans="1:40" s="306" customFormat="1" x14ac:dyDescent="0.3">
      <c r="A595" s="296"/>
      <c r="B595" s="303"/>
      <c r="C595" s="304"/>
      <c r="D595" s="303"/>
      <c r="E595" s="304"/>
      <c r="F595" s="304"/>
      <c r="G595" s="304"/>
      <c r="H595" s="305"/>
      <c r="I595" s="305"/>
      <c r="J595" s="305"/>
      <c r="K595" s="305"/>
      <c r="L595" s="305"/>
      <c r="M595" s="305"/>
      <c r="N595" s="305"/>
      <c r="O595" s="305"/>
      <c r="P595" s="305"/>
      <c r="Q595" s="305"/>
      <c r="R595" s="305"/>
      <c r="S595" s="305"/>
      <c r="T595" s="305"/>
      <c r="U595" s="296"/>
      <c r="V595" s="303"/>
      <c r="W595" s="303"/>
      <c r="X595" s="303"/>
      <c r="Y595" s="305"/>
      <c r="Z595" s="305"/>
      <c r="AA595" s="305"/>
      <c r="AB595" s="304"/>
      <c r="AC595" s="305"/>
      <c r="AD595" s="305"/>
      <c r="AE595" s="305"/>
      <c r="AF595" s="305"/>
      <c r="AG595" s="305"/>
      <c r="AH595" s="305"/>
      <c r="AI595" s="305"/>
      <c r="AJ595" s="305"/>
      <c r="AK595" s="305"/>
      <c r="AL595" s="305"/>
      <c r="AM595" s="305"/>
      <c r="AN595" s="305"/>
    </row>
    <row r="596" spans="1:40" s="306" customFormat="1" x14ac:dyDescent="0.3">
      <c r="A596" s="296"/>
      <c r="B596" s="303"/>
      <c r="C596" s="304"/>
      <c r="D596" s="303"/>
      <c r="E596" s="304"/>
      <c r="F596" s="304"/>
      <c r="G596" s="304"/>
      <c r="H596" s="305"/>
      <c r="I596" s="305"/>
      <c r="J596" s="305"/>
      <c r="K596" s="305"/>
      <c r="L596" s="305"/>
      <c r="M596" s="305"/>
      <c r="N596" s="305"/>
      <c r="O596" s="305"/>
      <c r="P596" s="305"/>
      <c r="Q596" s="305"/>
      <c r="R596" s="305"/>
      <c r="S596" s="305"/>
      <c r="T596" s="305"/>
      <c r="U596" s="296"/>
      <c r="V596" s="303"/>
      <c r="W596" s="303"/>
      <c r="X596" s="303"/>
      <c r="Y596" s="305"/>
      <c r="Z596" s="305"/>
      <c r="AA596" s="305"/>
      <c r="AB596" s="304"/>
      <c r="AC596" s="305"/>
      <c r="AD596" s="305"/>
      <c r="AE596" s="305"/>
      <c r="AF596" s="305"/>
      <c r="AG596" s="305"/>
      <c r="AH596" s="305"/>
      <c r="AI596" s="305"/>
      <c r="AJ596" s="305"/>
      <c r="AK596" s="305"/>
      <c r="AL596" s="305"/>
      <c r="AM596" s="305"/>
      <c r="AN596" s="305"/>
    </row>
  </sheetData>
  <sheetProtection sort="0" autoFilter="0" pivotTables="0"/>
  <phoneticPr fontId="3" type="noConversion"/>
  <conditionalFormatting sqref="A2:S2">
    <cfRule type="cellIs" dxfId="7" priority="3" operator="notEqual">
      <formula>0</formula>
    </cfRule>
  </conditionalFormatting>
  <conditionalFormatting sqref="E309:F309">
    <cfRule type="expression" dxfId="6" priority="6">
      <formula>AND($I$3=$A$1,E309="")</formula>
    </cfRule>
  </conditionalFormatting>
  <conditionalFormatting sqref="G193">
    <cfRule type="cellIs" dxfId="5" priority="7" operator="notEqual">
      <formula>0</formula>
    </cfRule>
  </conditionalFormatting>
  <conditionalFormatting sqref="U2:AM2">
    <cfRule type="cellIs" dxfId="4" priority="2" operator="notEqual">
      <formula>0</formula>
    </cfRule>
  </conditionalFormatting>
  <conditionalFormatting sqref="Y309:AA309">
    <cfRule type="expression" dxfId="3" priority="4">
      <formula>AND($I$3=$A$1,Y309="")</formula>
    </cfRule>
  </conditionalFormatting>
  <conditionalFormatting sqref="AA193">
    <cfRule type="cellIs" dxfId="2" priority="5" operator="notEqual">
      <formula>0</formula>
    </cfRule>
  </conditionalFormatting>
  <conditionalFormatting sqref="AC193:AN193">
    <cfRule type="cellIs" dxfId="1" priority="1" operator="notEqual">
      <formula>0</formula>
    </cfRule>
  </conditionalFormatting>
  <conditionalFormatting sqref="AO2:XFD2 I193:T193">
    <cfRule type="cellIs" dxfId="0" priority="8" operator="notEqual">
      <formula>0</formula>
    </cfRule>
  </conditionalFormatting>
  <pageMargins left="0.23622047244094491" right="0.23622047244094491" top="0.23622047244094491" bottom="0.23622047244094491" header="0.31496062992125984" footer="0.31496062992125984"/>
  <pageSetup paperSize="9" scale="55" fitToHeight="0" orientation="landscape" r:id="rId1"/>
  <rowBreaks count="6" manualBreakCount="6">
    <brk id="62" max="16383" man="1"/>
    <brk id="100" max="16383" man="1"/>
    <brk id="149" max="16383" man="1"/>
    <brk id="192" min="2" max="19" man="1"/>
    <brk id="253" max="16383" man="1"/>
    <brk id="318" min="2" max="19" man="1"/>
  </rowBreaks>
  <legacyDrawing r:id="rId2"/>
</worksheet>
</file>

<file path=docMetadata/LabelInfo.xml><?xml version="1.0" encoding="utf-8"?>
<clbl:labelList xmlns:clbl="http://schemas.microsoft.com/office/2020/mipLabelMetadata">
  <clbl:label id="{ef1579f1-0b38-4219-8499-bb3216f8bc62}" enabled="1" method="Privileged" siteId="{88c3e3b5-abdd-4476-b47a-f563a26aae9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FS_M</vt:lpstr>
      <vt:lpstr>FS_M!Print_Area</vt:lpstr>
      <vt:lpstr>FS_M!Print_Titles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최경선 (Kyungsun Choi) COSMAX BTI</dc:creator>
  <cp:lastModifiedBy>최경선 (Kyungsun Choi) COSMAX BTI</cp:lastModifiedBy>
  <dcterms:created xsi:type="dcterms:W3CDTF">2026-01-23T07:27:30Z</dcterms:created>
  <dcterms:modified xsi:type="dcterms:W3CDTF">2026-01-23T07:28:21Z</dcterms:modified>
</cp:coreProperties>
</file>